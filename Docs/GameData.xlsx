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nums" sheetId="2" state="visible" r:id="rId2"/>
    <sheet name="ItemData_Fish" sheetId="3" state="visible" r:id="rId3"/>
    <sheet name="ItemData_Materials" sheetId="4" state="visible" r:id="rId4"/>
    <sheet name="ItemData_Equipment" sheetId="5" state="visible" r:id="rId5"/>
    <sheet name="EquipmentUpgrades" sheetId="6" state="visible" r:id="rId6"/>
    <sheet name="ItemData_Consumables" sheetId="7" state="visible" r:id="rId7"/>
    <sheet name="PlayerData" sheetId="8" state="visible" r:id="rId8"/>
    <sheet name="BattleFishData" sheetId="9" state="visible" r:id="rId9"/>
    <sheet name="StageData" sheetId="10" state="visible" r:id="rId10"/>
    <sheet name="StageTierPools" sheetId="11" state="visible" r:id="rId11"/>
    <sheet name="LicenseData" sheetId="12" state="visible" r:id="rId12"/>
    <sheet name="_Lookup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sz val="10"/>
    </font>
    <font>
      <name val="Malgun Gothic"/>
      <sz val="10"/>
    </font>
    <font>
      <name val="Malgun Gothic"/>
      <b val="1"/>
      <color rgb="001F4E79"/>
      <sz val="14"/>
    </font>
    <font>
      <name val="Malgun Gothic"/>
      <b val="1"/>
      <color rgb="00FFFFFF"/>
      <sz val="10"/>
    </font>
    <font>
      <name val="Malgun Gothic"/>
      <i val="1"/>
      <color rgb="00404040"/>
      <sz val="9"/>
    </font>
    <font>
      <name val="Malgun Gothic"/>
      <i val="1"/>
      <color rgb="00375623"/>
      <sz val="9"/>
    </font>
    <font>
      <name val="Malgun Gothic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53813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GameData 저작 스프레드시트</t>
        </is>
      </c>
      <c r="B1" s="2" t="inlineStr"/>
    </row>
    <row r="2">
      <c r="A2" s="3" t="inlineStr"/>
      <c r="B2" s="2" t="inlineStr"/>
    </row>
    <row r="3">
      <c r="A3" s="3" t="inlineStr">
        <is>
          <t>목적</t>
        </is>
      </c>
      <c r="B3" s="2" t="inlineStr">
        <is>
          <t>이 파일이 콘텐츠(정의) 데이터의 저작 원본. 변환 스크립트가 시트를 읽어 StreamingAssets/Data/*.json 생성(후속 제작).</t>
        </is>
      </c>
    </row>
    <row r="4">
      <c r="A4" s="3" t="inlineStr"/>
      <c r="B4" s="2" t="inlineStr"/>
    </row>
    <row r="5">
      <c r="A5" s="3" t="inlineStr">
        <is>
          <t>[공통 규칙]</t>
        </is>
      </c>
      <c r="B5" s="2" t="inlineStr"/>
    </row>
    <row r="6">
      <c r="A6" s="3" t="inlineStr">
        <is>
          <t>1행 = JSON 필드명</t>
        </is>
      </c>
      <c r="B6" s="2" t="inlineStr">
        <is>
          <t>변환기가 그대로 키로 사용. 수정 금지.</t>
        </is>
      </c>
    </row>
    <row r="7">
      <c r="A7" s="3" t="inlineStr">
        <is>
          <t>2행 = 설명</t>
        </is>
      </c>
      <c r="B7" s="2" t="inlineStr">
        <is>
          <t>사람용 안내. 변환기는 무시.</t>
        </is>
      </c>
    </row>
    <row r="8">
      <c r="A8" s="3" t="inlineStr">
        <is>
          <t>3행부터 데이터</t>
        </is>
      </c>
      <c r="B8" s="2" t="inlineStr">
        <is>
          <t>회색 행은 예시 — 실데이터로 교체할 것.</t>
        </is>
      </c>
    </row>
    <row r="9">
      <c r="A9" s="3" t="inlineStr">
        <is>
          <t>ID 규칙</t>
        </is>
      </c>
      <c r="B9" s="2" t="inlineStr">
        <is>
          <t>타입별로 유니크하면 됨(타입 다르면 중복 허용). 대역은 10만 단위: Fish 1xxxxx / Equipment 2xxxxx / Materials 3xxxxx / Consumables 4xxxxx / BattleFish 5xxxxx / Stage 6xxxxx / License 7xxxxx  (예: 100001)</t>
        </is>
      </c>
    </row>
    <row r="10">
      <c r="A10" s="3" t="inlineStr">
        <is>
          <t>참조(_id 접미)</t>
        </is>
      </c>
      <c r="B10" s="2" t="inlineStr">
        <is>
          <t>다른 시트의 m_id를 적는다. 대상 타입은 열 설명 참조. 빈칸 = null.</t>
        </is>
      </c>
    </row>
    <row r="11">
      <c r="A11" s="3" t="inlineStr">
        <is>
          <t>불리언</t>
        </is>
      </c>
      <c r="B11" s="2" t="inlineStr">
        <is>
          <t>TRUE / FALSE</t>
        </is>
      </c>
    </row>
    <row r="12">
      <c r="A12" s="3" t="inlineStr">
        <is>
          <t>서브시트 첫 열 = row_key (중복 금지)</t>
        </is>
      </c>
      <c r="B12" s="2" t="inlineStr">
        <is>
          <t>외부 변환 툴이 '첫 열 값'을 JSON 키로 쓰므로 중복되면 행이 소실됨. 서브시트(EquipmentUpgrades/StageTierPools)는 첫 열을 고유 row_key(예: 2001_1)로 쓰고, 부모 id는 둘째 열(equipment_id/stage_id)에 적는다. row_key 값 자체는 로더가 무시.</t>
        </is>
      </c>
    </row>
    <row r="13">
      <c r="A13" s="3" t="inlineStr">
        <is>
          <t># 접두 열 = 표시 전용 (JSON 변환 제외)</t>
        </is>
      </c>
      <c r="B13" s="2" t="inlineStr">
        <is>
          <t>헤더가 #로 시작하는 열은 사람용 표시(참조 이름 VLOOKUP·메모 등)이며 내장 변환기가 무시한다. 외부 툴(방법1)로 변환하면 JSON에 포함되지만 로더가 무시하므로 동작엔 영향 없음. 이름 열은 자동 수식이므로 직접 입력하지 말 것.</t>
        </is>
      </c>
    </row>
    <row r="14">
      <c r="A14" s="3" t="inlineStr">
        <is>
          <t>m_assetKey (에셋 키 규약, D18)</t>
        </is>
      </c>
      <c r="B14" s="2" t="inlineStr">
        <is>
          <t>비주얼 에셋(아이콘·모델)은 Addressables 주소 {클래스명}_{ID}_{용도}로 연결됨 (예: ItemData_Fish_100001_Icon). m_assetKey가 빈칸이면 이 규약 사용. 에셋을 공유(여러 항목이 같은 아이콘)하거나 예외일 때만 m_assetKey에 키 베이스를 입력 (예: Material_CommonFishMeat → 최종 키 Material_CommonFishMeat_Icon). 용도 접미: Icon(UI 아이콘) / Model(월드 프리팹) / Background(스테이지 배경).</t>
        </is>
      </c>
    </row>
    <row r="15">
      <c r="A15" s="3" t="inlineStr"/>
      <c r="B15" s="2" t="inlineStr"/>
    </row>
    <row r="16">
      <c r="A16" s="3" t="inlineStr">
        <is>
          <t>[압축 문자열 형식]  항목 구분 ';'  필드 구분 ':'</t>
        </is>
      </c>
      <c r="B16" s="2" t="inlineStr"/>
    </row>
    <row r="17">
      <c r="A17" s="3" t="inlineStr">
        <is>
          <t>modifiers</t>
        </is>
      </c>
      <c r="B17" s="2" t="inlineStr">
        <is>
          <t>Stat:Op:Value;...   예) DamagePerClick:Add:5;CriticalChance:Add:0.05   (Stat/Op 유효값은 Enums 시트)</t>
        </is>
      </c>
    </row>
    <row r="18">
      <c r="A18" s="3" t="inlineStr">
        <is>
          <t>materialCosts / craftMaterials</t>
        </is>
      </c>
      <c r="B18" s="2" t="inlineStr">
        <is>
          <t>materialId:count;...   예) 3001:2;3002:1</t>
        </is>
      </c>
    </row>
    <row r="19">
      <c r="A19" s="3" t="inlineStr">
        <is>
          <t>bossDrops</t>
        </is>
      </c>
      <c r="B19" s="2" t="inlineStr">
        <is>
          <t>타입:id:count:확률;...   예) ItemData_Materials:3001:5:0.5;ItemData_Equipment:2001:1:0.1   (확률 0~1)</t>
        </is>
      </c>
    </row>
    <row r="20">
      <c r="A20" s="3" t="inlineStr">
        <is>
          <t>qualityThresholds</t>
        </is>
      </c>
      <c r="B20" s="2" t="inlineStr">
        <is>
          <t>경계값 4개 오름차순 v1;v2;v3;v4   size&lt;v1→1성 … size&gt;=v4→5성</t>
        </is>
      </c>
    </row>
    <row r="21">
      <c r="A21" s="3" t="inlineStr">
        <is>
          <t>entries (티어풀)</t>
        </is>
      </c>
      <c r="B21" s="2" t="inlineStr">
        <is>
          <t>battleFishId:weight;...   예) 5001:70;5002:5</t>
        </is>
      </c>
    </row>
    <row r="22">
      <c r="A22" s="3" t="inlineStr"/>
      <c r="B22" s="2" t="inlineStr"/>
    </row>
    <row r="23">
      <c r="A23" s="3" t="inlineStr">
        <is>
          <t>[시트 → JSON 매핑]</t>
        </is>
      </c>
      <c r="B23" s="2" t="inlineStr"/>
    </row>
    <row r="24">
      <c r="A24" s="3" t="inlineStr">
        <is>
          <t>타입 시트(ItemData_Fish 등)</t>
        </is>
      </c>
      <c r="B24" s="2" t="inlineStr">
        <is>
          <t>행 1개 = JSON 항목 1개 (type은 시트명으로 변환기가 부여)</t>
        </is>
      </c>
    </row>
    <row r="25">
      <c r="A25" s="3" t="inlineStr">
        <is>
          <t>EquipmentUpgrades</t>
        </is>
      </c>
      <c r="B25" s="2" t="inlineStr">
        <is>
          <t>equipment_id별 level 순으로 묶여 해당 장비의 m_upgradeSteps 배열이 됨. 첫 열은 row_key(고유) — 부모 id 아님 주의</t>
        </is>
      </c>
    </row>
    <row r="26">
      <c r="A26" s="3" t="inlineStr">
        <is>
          <t>StageTierPools</t>
        </is>
      </c>
      <c r="B26" s="2" t="inlineStr">
        <is>
          <t>stage_id별로 묶여 해당 스테이지의 m_tierPools 배열이 됨. 첫 열은 row_key(고유) — 부모 id 아님 주의</t>
        </is>
      </c>
    </row>
    <row r="27">
      <c r="A27" s="3" t="inlineStr">
        <is>
          <t>Enums</t>
        </is>
      </c>
      <c r="B27" s="2" t="inlineStr">
        <is>
          <t>유효값 참조표 — 변환 대상 아님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4" t="inlineStr">
        <is>
          <t>PlayerStat</t>
        </is>
      </c>
      <c r="B1" s="4" t="inlineStr">
        <is>
          <t>ModifierOperation</t>
        </is>
      </c>
      <c r="C1" s="4" t="inlineStr">
        <is>
          <t>ItemRarity</t>
        </is>
      </c>
      <c r="D1" s="4" t="inlineStr">
        <is>
          <t>EquipmentMountingArea</t>
        </is>
      </c>
      <c r="E1" s="4" t="inlineStr">
        <is>
          <t>ItemType</t>
        </is>
      </c>
    </row>
    <row r="2">
      <c r="A2" s="5" t="inlineStr">
        <is>
          <t>DamagePerClick</t>
        </is>
      </c>
      <c r="B2" s="5" t="inlineStr">
        <is>
          <t>Add</t>
        </is>
      </c>
      <c r="C2" s="5" t="inlineStr">
        <is>
          <t>Normal</t>
        </is>
      </c>
      <c r="D2" s="5" t="inlineStr">
        <is>
          <t>FishingRod</t>
        </is>
      </c>
      <c r="E2" s="5" t="inlineStr">
        <is>
          <t>Fish</t>
        </is>
      </c>
    </row>
    <row r="3">
      <c r="A3" s="5" t="inlineStr">
        <is>
          <t>ManualDamagePerHitMultiply</t>
        </is>
      </c>
      <c r="B3" s="5" t="inlineStr">
        <is>
          <t>Multiply</t>
        </is>
      </c>
      <c r="C3" s="5" t="inlineStr">
        <is>
          <t>Uncommon</t>
        </is>
      </c>
      <c r="D3" s="5" t="inlineStr">
        <is>
          <t>FishingLine</t>
        </is>
      </c>
      <c r="E3" s="5" t="inlineStr">
        <is>
          <t>Materials</t>
        </is>
      </c>
    </row>
    <row r="4">
      <c r="A4" s="5" t="inlineStr">
        <is>
          <t>BattleTimeVariable</t>
        </is>
      </c>
      <c r="C4" s="5" t="inlineStr">
        <is>
          <t>Rare</t>
        </is>
      </c>
      <c r="D4" s="5" t="inlineStr">
        <is>
          <t>Reel</t>
        </is>
      </c>
      <c r="E4" s="5" t="inlineStr">
        <is>
          <t>Consumables</t>
        </is>
      </c>
    </row>
    <row r="5">
      <c r="A5" s="5" t="inlineStr">
        <is>
          <t>CriticalChance</t>
        </is>
      </c>
      <c r="C5" s="5" t="inlineStr">
        <is>
          <t>Epic</t>
        </is>
      </c>
      <c r="D5" s="5" t="inlineStr">
        <is>
          <t>Lure</t>
        </is>
      </c>
      <c r="E5" s="5" t="inlineStr">
        <is>
          <t>Equipment</t>
        </is>
      </c>
    </row>
    <row r="6">
      <c r="A6" s="5" t="inlineStr">
        <is>
          <t>CriticalMultiply</t>
        </is>
      </c>
      <c r="C6" s="5" t="inlineStr">
        <is>
          <t>Legendary</t>
        </is>
      </c>
      <c r="D6" s="5" t="inlineStr">
        <is>
          <t>Hat</t>
        </is>
      </c>
    </row>
    <row r="7">
      <c r="A7" s="5" t="inlineStr">
        <is>
          <t>AutoBattleCooltime</t>
        </is>
      </c>
      <c r="D7" s="5" t="inlineStr">
        <is>
          <t>Uniform</t>
        </is>
      </c>
    </row>
    <row r="8">
      <c r="A8" s="5" t="inlineStr">
        <is>
          <t>AutoSpeedPerTime</t>
        </is>
      </c>
      <c r="D8" s="5" t="inlineStr">
        <is>
          <t>Gloves</t>
        </is>
      </c>
    </row>
    <row r="9">
      <c r="A9" s="5" t="inlineStr">
        <is>
          <t>AutoDamagePerHitMultiply</t>
        </is>
      </c>
      <c r="D9" s="5" t="inlineStr">
        <is>
          <t>Engine</t>
        </is>
      </c>
    </row>
    <row r="10">
      <c r="A10" s="5" t="inlineStr">
        <is>
          <t>MapMovementSpeedPerTime</t>
        </is>
      </c>
      <c r="D10" s="5" t="inlineStr">
        <is>
          <t>Storage</t>
        </is>
      </c>
    </row>
    <row r="11">
      <c r="A11" s="5" t="inlineStr">
        <is>
          <t>InventorySize</t>
        </is>
      </c>
      <c r="D11" s="5" t="inlineStr">
        <is>
          <t>GPS</t>
        </is>
      </c>
    </row>
    <row r="12">
      <c r="A12" s="5" t="inlineStr">
        <is>
          <t>ProbabilityAtFishSize</t>
        </is>
      </c>
      <c r="D12" s="5" t="inlineStr">
        <is>
          <t>Bait</t>
        </is>
      </c>
    </row>
    <row r="13">
      <c r="A13" s="5" t="inlineStr">
        <is>
          <t>ProbabilityAtFishRarity</t>
        </is>
      </c>
      <c r="D13" s="5" t="inlineStr">
        <is>
          <t>Groundbait</t>
        </is>
      </c>
    </row>
    <row r="14">
      <c r="A14" s="5" t="inlineStr">
        <is>
          <t>GoldGettingMultiply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K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20" customWidth="1" min="7" max="7"/>
    <col width="16" customWidth="1" min="8" max="8"/>
    <col width="14" customWidth="1" min="9" max="9"/>
    <col width="22" customWidth="1" min="11" max="11"/>
  </cols>
  <sheetData>
    <row r="1">
      <c r="A1" s="6" t="inlineStr">
        <is>
          <t>m_id</t>
        </is>
      </c>
      <c r="B1" s="6" t="inlineStr">
        <is>
          <t>m_name</t>
        </is>
      </c>
      <c r="C1" s="6" t="inlineStr">
        <is>
          <t>m_type</t>
        </is>
      </c>
      <c r="D1" s="6" t="inlineStr">
        <is>
          <t>m_tier</t>
        </is>
      </c>
      <c r="E1" s="6" t="inlineStr">
        <is>
          <t>m_basePrice</t>
        </is>
      </c>
      <c r="F1" s="6" t="inlineStr">
        <is>
          <t>m_rarity</t>
        </is>
      </c>
      <c r="G1" s="6" t="inlineStr">
        <is>
          <t>m_aquariumMaterial_id</t>
        </is>
      </c>
      <c r="H1" s="9" t="inlineStr">
        <is>
          <t>#aquariumMaterial_name</t>
        </is>
      </c>
      <c r="I1" s="6" t="inlineStr">
        <is>
          <t>m_aquariumProduceTime</t>
        </is>
      </c>
      <c r="J1" s="6" t="inlineStr">
        <is>
          <t>m_aquariumDecreaseCount</t>
        </is>
      </c>
      <c r="K1" s="6" t="inlineStr">
        <is>
          <t>m_assetKey</t>
        </is>
      </c>
    </row>
    <row r="2" ht="42" customHeight="1">
      <c r="A2" s="7" t="inlineStr">
        <is>
          <t>고유 ID (int)</t>
        </is>
      </c>
      <c r="B2" s="7" t="inlineStr">
        <is>
          <t>이름</t>
        </is>
      </c>
      <c r="C2" s="7" t="inlineStr">
        <is>
          <t>Fish 고정</t>
        </is>
      </c>
      <c r="D2" s="7" t="inlineStr">
        <is>
          <t>티어 (int)</t>
        </is>
      </c>
      <c r="E2" s="7" t="inlineStr">
        <is>
          <t>기준 판매가 (0=판매불가)</t>
        </is>
      </c>
      <c r="F2" s="7" t="inlineStr">
        <is>
          <t>등급 — 종별 고정 (Enums)</t>
        </is>
      </c>
      <c r="G2" s="7" t="inlineStr">
        <is>
          <t>수족관 생산 재료 (ItemData_Materials m_id, 빈칸=없음)</t>
        </is>
      </c>
      <c r="H2" s="10" t="inlineStr">
        <is>
          <t>표시 전용(#) — JSON 변환 제외. 자동(VLOOKUP), 입력 금지</t>
        </is>
      </c>
      <c r="I2" s="7" t="inlineStr">
        <is>
          <t>기본 생산 주기(초)</t>
        </is>
      </c>
      <c r="J2" s="7" t="inlineStr">
        <is>
          <t>성급당 주기 감소량</t>
        </is>
      </c>
      <c r="K2" s="7" t="inlineStr">
        <is>
          <t>에셋 키 오버라이드 — 빈칸=규약({클래스명}_{ID}). 여러 항목이 에셋을 공유하거나 스킨/예외일 때만 입력</t>
        </is>
      </c>
    </row>
    <row r="3">
      <c r="A3" s="8" t="n">
        <v>100001</v>
      </c>
      <c r="B3" s="8" t="inlineStr">
        <is>
          <t>고등어</t>
        </is>
      </c>
      <c r="C3" s="8" t="inlineStr">
        <is>
          <t>Fish</t>
        </is>
      </c>
      <c r="D3" s="8" t="n">
        <v>1</v>
      </c>
      <c r="E3" s="8" t="n">
        <v>100</v>
      </c>
      <c r="F3" s="8" t="inlineStr">
        <is>
          <t>Normal</t>
        </is>
      </c>
      <c r="G3" s="8" t="n">
        <v>300001</v>
      </c>
      <c r="H3" s="11">
        <f>IFERROR(VLOOKUP(G3,ItemData_Materials!$A:$B,2,FALSE),"")</f>
        <v/>
      </c>
      <c r="I3" s="8" t="n">
        <v>60</v>
      </c>
      <c r="J3" s="8" t="n">
        <v>5</v>
      </c>
    </row>
    <row r="4">
      <c r="A4" s="8" t="n">
        <v>100002</v>
      </c>
      <c r="B4" s="8" t="inlineStr">
        <is>
          <t>참돔</t>
        </is>
      </c>
      <c r="C4" s="8" t="inlineStr">
        <is>
          <t>Fish</t>
        </is>
      </c>
      <c r="D4" s="8" t="n">
        <v>1</v>
      </c>
      <c r="E4" s="8" t="n">
        <v>300</v>
      </c>
      <c r="F4" s="8" t="inlineStr">
        <is>
          <t>Rare</t>
        </is>
      </c>
      <c r="G4" s="8" t="n">
        <v>300002</v>
      </c>
      <c r="H4" s="11">
        <f>IFERROR(VLOOKUP(G4,ItemData_Materials!$A:$B,2,FALSE),"")</f>
        <v/>
      </c>
      <c r="I4" s="8" t="n">
        <v>90</v>
      </c>
      <c r="J4" s="8" t="n">
        <v>8</v>
      </c>
    </row>
    <row r="5">
      <c r="H5" s="11">
        <f>IFERROR(VLOOKUP(G5,ItemData_Materials!$A:$B,2,FALSE),"")</f>
        <v/>
      </c>
    </row>
    <row r="6">
      <c r="H6" s="11">
        <f>IFERROR(VLOOKUP(G6,ItemData_Materials!$A:$B,2,FALSE),"")</f>
        <v/>
      </c>
    </row>
    <row r="7">
      <c r="H7" s="11">
        <f>IFERROR(VLOOKUP(G7,ItemData_Materials!$A:$B,2,FALSE),"")</f>
        <v/>
      </c>
    </row>
    <row r="8">
      <c r="H8" s="11">
        <f>IFERROR(VLOOKUP(G8,ItemData_Materials!$A:$B,2,FALSE),"")</f>
        <v/>
      </c>
    </row>
    <row r="9">
      <c r="H9" s="11">
        <f>IFERROR(VLOOKUP(G9,ItemData_Materials!$A:$B,2,FALSE),"")</f>
        <v/>
      </c>
    </row>
    <row r="10">
      <c r="H10" s="11">
        <f>IFERROR(VLOOKUP(G10,ItemData_Materials!$A:$B,2,FALSE),"")</f>
        <v/>
      </c>
    </row>
    <row r="11">
      <c r="H11" s="11">
        <f>IFERROR(VLOOKUP(G11,ItemData_Materials!$A:$B,2,FALSE),"")</f>
        <v/>
      </c>
    </row>
    <row r="12">
      <c r="H12" s="11">
        <f>IFERROR(VLOOKUP(G12,ItemData_Materials!$A:$B,2,FALSE),"")</f>
        <v/>
      </c>
    </row>
    <row r="13">
      <c r="H13" s="11">
        <f>IFERROR(VLOOKUP(G13,ItemData_Materials!$A:$B,2,FALSE),"")</f>
        <v/>
      </c>
    </row>
    <row r="14">
      <c r="H14" s="11">
        <f>IFERROR(VLOOKUP(G14,ItemData_Materials!$A:$B,2,FALSE),"")</f>
        <v/>
      </c>
    </row>
    <row r="15">
      <c r="H15" s="11">
        <f>IFERROR(VLOOKUP(G15,ItemData_Materials!$A:$B,2,FALSE),"")</f>
        <v/>
      </c>
    </row>
    <row r="16">
      <c r="H16" s="11">
        <f>IFERROR(VLOOKUP(G16,ItemData_Materials!$A:$B,2,FALSE),"")</f>
        <v/>
      </c>
    </row>
    <row r="17">
      <c r="H17" s="11">
        <f>IFERROR(VLOOKUP(G17,ItemData_Materials!$A:$B,2,FALSE),"")</f>
        <v/>
      </c>
    </row>
    <row r="18">
      <c r="H18" s="11">
        <f>IFERROR(VLOOKUP(G18,ItemData_Materials!$A:$B,2,FALSE),"")</f>
        <v/>
      </c>
    </row>
    <row r="19">
      <c r="H19" s="11">
        <f>IFERROR(VLOOKUP(G19,ItemData_Materials!$A:$B,2,FALSE),"")</f>
        <v/>
      </c>
    </row>
    <row r="20">
      <c r="H20" s="11">
        <f>IFERROR(VLOOKUP(G20,ItemData_Materials!$A:$B,2,FALSE),"")</f>
        <v/>
      </c>
    </row>
    <row r="21">
      <c r="H21" s="11">
        <f>IFERROR(VLOOKUP(G21,ItemData_Materials!$A:$B,2,FALSE),"")</f>
        <v/>
      </c>
    </row>
    <row r="22">
      <c r="H22" s="11">
        <f>IFERROR(VLOOKUP(G22,ItemData_Materials!$A:$B,2,FALSE),"")</f>
        <v/>
      </c>
    </row>
    <row r="23">
      <c r="H23" s="11">
        <f>IFERROR(VLOOKUP(G23,ItemData_Materials!$A:$B,2,FALSE),"")</f>
        <v/>
      </c>
    </row>
    <row r="24">
      <c r="H24" s="11">
        <f>IFERROR(VLOOKUP(G24,ItemData_Materials!$A:$B,2,FALSE),"")</f>
        <v/>
      </c>
    </row>
    <row r="25">
      <c r="H25" s="11">
        <f>IFERROR(VLOOKUP(G25,ItemData_Materials!$A:$B,2,FALSE),"")</f>
        <v/>
      </c>
    </row>
    <row r="26">
      <c r="H26" s="11">
        <f>IFERROR(VLOOKUP(G26,ItemData_Materials!$A:$B,2,FALSE),"")</f>
        <v/>
      </c>
    </row>
    <row r="27">
      <c r="H27" s="11">
        <f>IFERROR(VLOOKUP(G27,ItemData_Materials!$A:$B,2,FALSE),"")</f>
        <v/>
      </c>
    </row>
    <row r="28">
      <c r="H28" s="11">
        <f>IFERROR(VLOOKUP(G28,ItemData_Materials!$A:$B,2,FALSE),"")</f>
        <v/>
      </c>
    </row>
    <row r="29">
      <c r="H29" s="11">
        <f>IFERROR(VLOOKUP(G29,ItemData_Materials!$A:$B,2,FALSE),"")</f>
        <v/>
      </c>
    </row>
    <row r="30">
      <c r="H30" s="11">
        <f>IFERROR(VLOOKUP(G30,ItemData_Materials!$A:$B,2,FALSE),"")</f>
        <v/>
      </c>
    </row>
    <row r="31">
      <c r="H31" s="11">
        <f>IFERROR(VLOOKUP(G31,ItemData_Materials!$A:$B,2,FALSE),"")</f>
        <v/>
      </c>
    </row>
    <row r="32">
      <c r="H32" s="11">
        <f>IFERROR(VLOOKUP(G32,ItemData_Materials!$A:$B,2,FALSE),"")</f>
        <v/>
      </c>
    </row>
    <row r="33">
      <c r="H33" s="11">
        <f>IFERROR(VLOOKUP(G33,ItemData_Materials!$A:$B,2,FALSE),"")</f>
        <v/>
      </c>
    </row>
    <row r="34">
      <c r="H34" s="11">
        <f>IFERROR(VLOOKUP(G34,ItemData_Materials!$A:$B,2,FALSE),"")</f>
        <v/>
      </c>
    </row>
    <row r="35">
      <c r="H35" s="11">
        <f>IFERROR(VLOOKUP(G35,ItemData_Materials!$A:$B,2,FALSE),"")</f>
        <v/>
      </c>
    </row>
    <row r="36">
      <c r="H36" s="11">
        <f>IFERROR(VLOOKUP(G36,ItemData_Materials!$A:$B,2,FALSE),"")</f>
        <v/>
      </c>
    </row>
    <row r="37">
      <c r="H37" s="11">
        <f>IFERROR(VLOOKUP(G37,ItemData_Materials!$A:$B,2,FALSE),"")</f>
        <v/>
      </c>
    </row>
    <row r="38">
      <c r="H38" s="11">
        <f>IFERROR(VLOOKUP(G38,ItemData_Materials!$A:$B,2,FALSE),"")</f>
        <v/>
      </c>
    </row>
    <row r="39">
      <c r="H39" s="11">
        <f>IFERROR(VLOOKUP(G39,ItemData_Materials!$A:$B,2,FALSE),"")</f>
        <v/>
      </c>
    </row>
    <row r="40">
      <c r="H40" s="11">
        <f>IFERROR(VLOOKUP(G40,ItemData_Materials!$A:$B,2,FALSE),"")</f>
        <v/>
      </c>
    </row>
    <row r="41">
      <c r="H41" s="11">
        <f>IFERROR(VLOOKUP(G41,ItemData_Materials!$A:$B,2,FALSE),"")</f>
        <v/>
      </c>
    </row>
    <row r="42">
      <c r="H42" s="11">
        <f>IFERROR(VLOOKUP(G42,ItemData_Materials!$A:$B,2,FALSE),"")</f>
        <v/>
      </c>
    </row>
    <row r="43">
      <c r="H43" s="11">
        <f>IFERROR(VLOOKUP(G43,ItemData_Materials!$A:$B,2,FALSE),"")</f>
        <v/>
      </c>
    </row>
    <row r="44">
      <c r="H44" s="11">
        <f>IFERROR(VLOOKUP(G44,ItemData_Materials!$A:$B,2,FALSE),"")</f>
        <v/>
      </c>
    </row>
    <row r="45">
      <c r="H45" s="11">
        <f>IFERROR(VLOOKUP(G45,ItemData_Materials!$A:$B,2,FALSE),"")</f>
        <v/>
      </c>
    </row>
    <row r="46">
      <c r="H46" s="11">
        <f>IFERROR(VLOOKUP(G46,ItemData_Materials!$A:$B,2,FALSE),"")</f>
        <v/>
      </c>
    </row>
    <row r="47">
      <c r="H47" s="11">
        <f>IFERROR(VLOOKUP(G47,ItemData_Materials!$A:$B,2,FALSE),"")</f>
        <v/>
      </c>
    </row>
    <row r="48">
      <c r="H48" s="11">
        <f>IFERROR(VLOOKUP(G48,ItemData_Materials!$A:$B,2,FALSE),"")</f>
        <v/>
      </c>
    </row>
    <row r="49">
      <c r="H49" s="11">
        <f>IFERROR(VLOOKUP(G49,ItemData_Materials!$A:$B,2,FALSE),"")</f>
        <v/>
      </c>
    </row>
    <row r="50">
      <c r="H50" s="11">
        <f>IFERROR(VLOOKUP(G50,ItemData_Materials!$A:$B,2,FALSE),"")</f>
        <v/>
      </c>
    </row>
    <row r="51">
      <c r="H51" s="11">
        <f>IFERROR(VLOOKUP(G51,ItemData_Materials!$A:$B,2,FALSE),"")</f>
        <v/>
      </c>
    </row>
    <row r="52">
      <c r="H52" s="11">
        <f>IFERROR(VLOOKUP(G52,ItemData_Materials!$A:$B,2,FALSE),"")</f>
        <v/>
      </c>
    </row>
    <row r="53">
      <c r="H53" s="11">
        <f>IFERROR(VLOOKUP(G53,ItemData_Materials!$A:$B,2,FALSE),"")</f>
        <v/>
      </c>
    </row>
    <row r="54">
      <c r="H54" s="11">
        <f>IFERROR(VLOOKUP(G54,ItemData_Materials!$A:$B,2,FALSE),"")</f>
        <v/>
      </c>
    </row>
    <row r="55">
      <c r="H55" s="11">
        <f>IFERROR(VLOOKUP(G55,ItemData_Materials!$A:$B,2,FALSE),"")</f>
        <v/>
      </c>
    </row>
    <row r="56">
      <c r="H56" s="11">
        <f>IFERROR(VLOOKUP(G56,ItemData_Materials!$A:$B,2,FALSE),"")</f>
        <v/>
      </c>
    </row>
    <row r="57">
      <c r="H57" s="11">
        <f>IFERROR(VLOOKUP(G57,ItemData_Materials!$A:$B,2,FALSE),"")</f>
        <v/>
      </c>
    </row>
    <row r="58">
      <c r="H58" s="11">
        <f>IFERROR(VLOOKUP(G58,ItemData_Materials!$A:$B,2,FALSE),"")</f>
        <v/>
      </c>
    </row>
    <row r="59">
      <c r="H59" s="11">
        <f>IFERROR(VLOOKUP(G59,ItemData_Materials!$A:$B,2,FALSE),"")</f>
        <v/>
      </c>
    </row>
    <row r="60">
      <c r="H60" s="11">
        <f>IFERROR(VLOOKUP(G60,ItemData_Materials!$A:$B,2,FALSE),"")</f>
        <v/>
      </c>
    </row>
    <row r="61">
      <c r="H61" s="11">
        <f>IFERROR(VLOOKUP(G61,ItemData_Materials!$A:$B,2,FALSE),"")</f>
        <v/>
      </c>
    </row>
    <row r="62">
      <c r="H62" s="11">
        <f>IFERROR(VLOOKUP(G62,ItemData_Materials!$A:$B,2,FALSE),"")</f>
        <v/>
      </c>
    </row>
    <row r="63">
      <c r="H63" s="11">
        <f>IFERROR(VLOOKUP(G63,ItemData_Materials!$A:$B,2,FALSE),"")</f>
        <v/>
      </c>
    </row>
    <row r="64">
      <c r="H64" s="11">
        <f>IFERROR(VLOOKUP(G64,ItemData_Materials!$A:$B,2,FALSE),"")</f>
        <v/>
      </c>
    </row>
    <row r="65">
      <c r="H65" s="11">
        <f>IFERROR(VLOOKUP(G65,ItemData_Materials!$A:$B,2,FALSE),"")</f>
        <v/>
      </c>
    </row>
    <row r="66">
      <c r="H66" s="11">
        <f>IFERROR(VLOOKUP(G66,ItemData_Materials!$A:$B,2,FALSE),"")</f>
        <v/>
      </c>
    </row>
    <row r="67">
      <c r="H67" s="11">
        <f>IFERROR(VLOOKUP(G67,ItemData_Materials!$A:$B,2,FALSE),"")</f>
        <v/>
      </c>
    </row>
    <row r="68">
      <c r="H68" s="11">
        <f>IFERROR(VLOOKUP(G68,ItemData_Materials!$A:$B,2,FALSE),"")</f>
        <v/>
      </c>
    </row>
    <row r="69">
      <c r="H69" s="11">
        <f>IFERROR(VLOOKUP(G69,ItemData_Materials!$A:$B,2,FALSE),"")</f>
        <v/>
      </c>
    </row>
    <row r="70">
      <c r="H70" s="11">
        <f>IFERROR(VLOOKUP(G70,ItemData_Materials!$A:$B,2,FALSE),"")</f>
        <v/>
      </c>
    </row>
    <row r="71">
      <c r="H71" s="11">
        <f>IFERROR(VLOOKUP(G71,ItemData_Materials!$A:$B,2,FALSE),"")</f>
        <v/>
      </c>
    </row>
    <row r="72">
      <c r="H72" s="11">
        <f>IFERROR(VLOOKUP(G72,ItemData_Materials!$A:$B,2,FALSE),"")</f>
        <v/>
      </c>
    </row>
    <row r="73">
      <c r="H73" s="11">
        <f>IFERROR(VLOOKUP(G73,ItemData_Materials!$A:$B,2,FALSE),"")</f>
        <v/>
      </c>
    </row>
    <row r="74">
      <c r="H74" s="11">
        <f>IFERROR(VLOOKUP(G74,ItemData_Materials!$A:$B,2,FALSE),"")</f>
        <v/>
      </c>
    </row>
    <row r="75">
      <c r="H75" s="11">
        <f>IFERROR(VLOOKUP(G75,ItemData_Materials!$A:$B,2,FALSE),"")</f>
        <v/>
      </c>
    </row>
    <row r="76">
      <c r="H76" s="11">
        <f>IFERROR(VLOOKUP(G76,ItemData_Materials!$A:$B,2,FALSE),"")</f>
        <v/>
      </c>
    </row>
    <row r="77">
      <c r="H77" s="11">
        <f>IFERROR(VLOOKUP(G77,ItemData_Materials!$A:$B,2,FALSE),"")</f>
        <v/>
      </c>
    </row>
    <row r="78">
      <c r="H78" s="11">
        <f>IFERROR(VLOOKUP(G78,ItemData_Materials!$A:$B,2,FALSE),"")</f>
        <v/>
      </c>
    </row>
    <row r="79">
      <c r="H79" s="11">
        <f>IFERROR(VLOOKUP(G79,ItemData_Materials!$A:$B,2,FALSE),"")</f>
        <v/>
      </c>
    </row>
    <row r="80">
      <c r="H80" s="11">
        <f>IFERROR(VLOOKUP(G80,ItemData_Materials!$A:$B,2,FALSE),"")</f>
        <v/>
      </c>
    </row>
    <row r="81">
      <c r="H81" s="11">
        <f>IFERROR(VLOOKUP(G81,ItemData_Materials!$A:$B,2,FALSE),"")</f>
        <v/>
      </c>
    </row>
    <row r="82">
      <c r="H82" s="11">
        <f>IFERROR(VLOOKUP(G82,ItemData_Materials!$A:$B,2,FALSE),"")</f>
        <v/>
      </c>
    </row>
    <row r="83">
      <c r="H83" s="11">
        <f>IFERROR(VLOOKUP(G83,ItemData_Materials!$A:$B,2,FALSE),"")</f>
        <v/>
      </c>
    </row>
    <row r="84">
      <c r="H84" s="11">
        <f>IFERROR(VLOOKUP(G84,ItemData_Materials!$A:$B,2,FALSE),"")</f>
        <v/>
      </c>
    </row>
    <row r="85">
      <c r="H85" s="11">
        <f>IFERROR(VLOOKUP(G85,ItemData_Materials!$A:$B,2,FALSE),"")</f>
        <v/>
      </c>
    </row>
    <row r="86">
      <c r="H86" s="11">
        <f>IFERROR(VLOOKUP(G86,ItemData_Materials!$A:$B,2,FALSE),"")</f>
        <v/>
      </c>
    </row>
    <row r="87">
      <c r="H87" s="11">
        <f>IFERROR(VLOOKUP(G87,ItemData_Materials!$A:$B,2,FALSE),"")</f>
        <v/>
      </c>
    </row>
    <row r="88">
      <c r="H88" s="11">
        <f>IFERROR(VLOOKUP(G88,ItemData_Materials!$A:$B,2,FALSE),"")</f>
        <v/>
      </c>
    </row>
    <row r="89">
      <c r="H89" s="11">
        <f>IFERROR(VLOOKUP(G89,ItemData_Materials!$A:$B,2,FALSE),"")</f>
        <v/>
      </c>
    </row>
    <row r="90">
      <c r="H90" s="11">
        <f>IFERROR(VLOOKUP(G90,ItemData_Materials!$A:$B,2,FALSE),"")</f>
        <v/>
      </c>
    </row>
    <row r="91">
      <c r="H91" s="11">
        <f>IFERROR(VLOOKUP(G91,ItemData_Materials!$A:$B,2,FALSE),"")</f>
        <v/>
      </c>
    </row>
    <row r="92">
      <c r="H92" s="11">
        <f>IFERROR(VLOOKUP(G92,ItemData_Materials!$A:$B,2,FALSE),"")</f>
        <v/>
      </c>
    </row>
    <row r="93">
      <c r="H93" s="11">
        <f>IFERROR(VLOOKUP(G93,ItemData_Materials!$A:$B,2,FALSE),"")</f>
        <v/>
      </c>
    </row>
    <row r="94">
      <c r="H94" s="11">
        <f>IFERROR(VLOOKUP(G94,ItemData_Materials!$A:$B,2,FALSE),"")</f>
        <v/>
      </c>
    </row>
    <row r="95">
      <c r="H95" s="11">
        <f>IFERROR(VLOOKUP(G95,ItemData_Materials!$A:$B,2,FALSE),"")</f>
        <v/>
      </c>
    </row>
    <row r="96">
      <c r="H96" s="11">
        <f>IFERROR(VLOOKUP(G96,ItemData_Materials!$A:$B,2,FALSE),"")</f>
        <v/>
      </c>
    </row>
    <row r="97">
      <c r="H97" s="11">
        <f>IFERROR(VLOOKUP(G97,ItemData_Materials!$A:$B,2,FALSE),"")</f>
        <v/>
      </c>
    </row>
    <row r="98">
      <c r="H98" s="11">
        <f>IFERROR(VLOOKUP(G98,ItemData_Materials!$A:$B,2,FALSE),"")</f>
        <v/>
      </c>
    </row>
    <row r="99">
      <c r="H99" s="11">
        <f>IFERROR(VLOOKUP(G99,ItemData_Materials!$A:$B,2,FALSE),"")</f>
        <v/>
      </c>
    </row>
    <row r="100">
      <c r="H100" s="11">
        <f>IFERROR(VLOOKUP(G100,ItemData_Materials!$A:$B,2,FALSE),"")</f>
        <v/>
      </c>
    </row>
    <row r="101">
      <c r="H101" s="11">
        <f>IFERROR(VLOOKUP(G101,ItemData_Materials!$A:$B,2,FALSE),"")</f>
        <v/>
      </c>
    </row>
    <row r="102">
      <c r="H102" s="11">
        <f>IFERROR(VLOOKUP(G102,ItemData_Materials!$A:$B,2,FALSE),"")</f>
        <v/>
      </c>
    </row>
    <row r="103">
      <c r="H103" s="11">
        <f>IFERROR(VLOOKUP(G103,ItemData_Materials!$A:$B,2,FALSE),"")</f>
        <v/>
      </c>
    </row>
    <row r="104">
      <c r="H104" s="11">
        <f>IFERROR(VLOOKUP(G104,ItemData_Materials!$A:$B,2,FALSE),"")</f>
        <v/>
      </c>
    </row>
    <row r="105">
      <c r="H105" s="11">
        <f>IFERROR(VLOOKUP(G105,ItemData_Materials!$A:$B,2,FALSE),"")</f>
        <v/>
      </c>
    </row>
    <row r="106">
      <c r="H106" s="11">
        <f>IFERROR(VLOOKUP(G106,ItemData_Materials!$A:$B,2,FALSE),"")</f>
        <v/>
      </c>
    </row>
    <row r="107">
      <c r="H107" s="11">
        <f>IFERROR(VLOOKUP(G107,ItemData_Materials!$A:$B,2,FALSE),"")</f>
        <v/>
      </c>
    </row>
    <row r="108">
      <c r="H108" s="11">
        <f>IFERROR(VLOOKUP(G108,ItemData_Materials!$A:$B,2,FALSE),"")</f>
        <v/>
      </c>
    </row>
    <row r="109">
      <c r="H109" s="11">
        <f>IFERROR(VLOOKUP(G109,ItemData_Materials!$A:$B,2,FALSE),"")</f>
        <v/>
      </c>
    </row>
    <row r="110">
      <c r="H110" s="11">
        <f>IFERROR(VLOOKUP(G110,ItemData_Materials!$A:$B,2,FALSE),"")</f>
        <v/>
      </c>
    </row>
    <row r="111">
      <c r="H111" s="11">
        <f>IFERROR(VLOOKUP(G111,ItemData_Materials!$A:$B,2,FALSE),"")</f>
        <v/>
      </c>
    </row>
    <row r="112">
      <c r="H112" s="11">
        <f>IFERROR(VLOOKUP(G112,ItemData_Materials!$A:$B,2,FALSE),"")</f>
        <v/>
      </c>
    </row>
    <row r="113">
      <c r="H113" s="11">
        <f>IFERROR(VLOOKUP(G113,ItemData_Materials!$A:$B,2,FALSE),"")</f>
        <v/>
      </c>
    </row>
    <row r="114">
      <c r="H114" s="11">
        <f>IFERROR(VLOOKUP(G114,ItemData_Materials!$A:$B,2,FALSE),"")</f>
        <v/>
      </c>
    </row>
    <row r="115">
      <c r="H115" s="11">
        <f>IFERROR(VLOOKUP(G115,ItemData_Materials!$A:$B,2,FALSE),"")</f>
        <v/>
      </c>
    </row>
    <row r="116">
      <c r="H116" s="11">
        <f>IFERROR(VLOOKUP(G116,ItemData_Materials!$A:$B,2,FALSE),"")</f>
        <v/>
      </c>
    </row>
    <row r="117">
      <c r="H117" s="11">
        <f>IFERROR(VLOOKUP(G117,ItemData_Materials!$A:$B,2,FALSE),"")</f>
        <v/>
      </c>
    </row>
    <row r="118">
      <c r="H118" s="11">
        <f>IFERROR(VLOOKUP(G118,ItemData_Materials!$A:$B,2,FALSE),"")</f>
        <v/>
      </c>
    </row>
    <row r="119">
      <c r="H119" s="11">
        <f>IFERROR(VLOOKUP(G119,ItemData_Materials!$A:$B,2,FALSE),"")</f>
        <v/>
      </c>
    </row>
    <row r="120">
      <c r="H120" s="11">
        <f>IFERROR(VLOOKUP(G120,ItemData_Materials!$A:$B,2,FALSE),"")</f>
        <v/>
      </c>
    </row>
    <row r="121">
      <c r="H121" s="11">
        <f>IFERROR(VLOOKUP(G121,ItemData_Materials!$A:$B,2,FALSE),"")</f>
        <v/>
      </c>
    </row>
    <row r="122">
      <c r="H122" s="11">
        <f>IFERROR(VLOOKUP(G122,ItemData_Materials!$A:$B,2,FALSE),"")</f>
        <v/>
      </c>
    </row>
    <row r="123">
      <c r="H123" s="11">
        <f>IFERROR(VLOOKUP(G123,ItemData_Materials!$A:$B,2,FALSE),"")</f>
        <v/>
      </c>
    </row>
    <row r="124">
      <c r="H124" s="11">
        <f>IFERROR(VLOOKUP(G124,ItemData_Materials!$A:$B,2,FALSE),"")</f>
        <v/>
      </c>
    </row>
    <row r="125">
      <c r="H125" s="11">
        <f>IFERROR(VLOOKUP(G125,ItemData_Materials!$A:$B,2,FALSE),"")</f>
        <v/>
      </c>
    </row>
    <row r="126">
      <c r="H126" s="11">
        <f>IFERROR(VLOOKUP(G126,ItemData_Materials!$A:$B,2,FALSE),"")</f>
        <v/>
      </c>
    </row>
    <row r="127">
      <c r="H127" s="11">
        <f>IFERROR(VLOOKUP(G127,ItemData_Materials!$A:$B,2,FALSE),"")</f>
        <v/>
      </c>
    </row>
    <row r="128">
      <c r="H128" s="11">
        <f>IFERROR(VLOOKUP(G128,ItemData_Materials!$A:$B,2,FALSE),"")</f>
        <v/>
      </c>
    </row>
    <row r="129">
      <c r="H129" s="11">
        <f>IFERROR(VLOOKUP(G129,ItemData_Materials!$A:$B,2,FALSE),"")</f>
        <v/>
      </c>
    </row>
    <row r="130">
      <c r="H130" s="11">
        <f>IFERROR(VLOOKUP(G130,ItemData_Materials!$A:$B,2,FALSE),"")</f>
        <v/>
      </c>
    </row>
    <row r="131">
      <c r="H131" s="11">
        <f>IFERROR(VLOOKUP(G131,ItemData_Materials!$A:$B,2,FALSE),"")</f>
        <v/>
      </c>
    </row>
    <row r="132">
      <c r="H132" s="11">
        <f>IFERROR(VLOOKUP(G132,ItemData_Materials!$A:$B,2,FALSE),"")</f>
        <v/>
      </c>
    </row>
    <row r="133">
      <c r="H133" s="11">
        <f>IFERROR(VLOOKUP(G133,ItemData_Materials!$A:$B,2,FALSE),"")</f>
        <v/>
      </c>
    </row>
    <row r="134">
      <c r="H134" s="11">
        <f>IFERROR(VLOOKUP(G134,ItemData_Materials!$A:$B,2,FALSE),"")</f>
        <v/>
      </c>
    </row>
    <row r="135">
      <c r="H135" s="11">
        <f>IFERROR(VLOOKUP(G135,ItemData_Materials!$A:$B,2,FALSE),"")</f>
        <v/>
      </c>
    </row>
    <row r="136">
      <c r="H136" s="11">
        <f>IFERROR(VLOOKUP(G136,ItemData_Materials!$A:$B,2,FALSE),"")</f>
        <v/>
      </c>
    </row>
    <row r="137">
      <c r="H137" s="11">
        <f>IFERROR(VLOOKUP(G137,ItemData_Materials!$A:$B,2,FALSE),"")</f>
        <v/>
      </c>
    </row>
    <row r="138">
      <c r="H138" s="11">
        <f>IFERROR(VLOOKUP(G138,ItemData_Materials!$A:$B,2,FALSE),"")</f>
        <v/>
      </c>
    </row>
    <row r="139">
      <c r="H139" s="11">
        <f>IFERROR(VLOOKUP(G139,ItemData_Materials!$A:$B,2,FALSE),"")</f>
        <v/>
      </c>
    </row>
    <row r="140">
      <c r="H140" s="11">
        <f>IFERROR(VLOOKUP(G140,ItemData_Materials!$A:$B,2,FALSE),"")</f>
        <v/>
      </c>
    </row>
    <row r="141">
      <c r="H141" s="11">
        <f>IFERROR(VLOOKUP(G141,ItemData_Materials!$A:$B,2,FALSE),"")</f>
        <v/>
      </c>
    </row>
    <row r="142">
      <c r="H142" s="11">
        <f>IFERROR(VLOOKUP(G142,ItemData_Materials!$A:$B,2,FALSE),"")</f>
        <v/>
      </c>
    </row>
    <row r="143">
      <c r="H143" s="11">
        <f>IFERROR(VLOOKUP(G143,ItemData_Materials!$A:$B,2,FALSE),"")</f>
        <v/>
      </c>
    </row>
    <row r="144">
      <c r="H144" s="11">
        <f>IFERROR(VLOOKUP(G144,ItemData_Materials!$A:$B,2,FALSE),"")</f>
        <v/>
      </c>
    </row>
    <row r="145">
      <c r="H145" s="11">
        <f>IFERROR(VLOOKUP(G145,ItemData_Materials!$A:$B,2,FALSE),"")</f>
        <v/>
      </c>
    </row>
    <row r="146">
      <c r="H146" s="11">
        <f>IFERROR(VLOOKUP(G146,ItemData_Materials!$A:$B,2,FALSE),"")</f>
        <v/>
      </c>
    </row>
    <row r="147">
      <c r="H147" s="11">
        <f>IFERROR(VLOOKUP(G147,ItemData_Materials!$A:$B,2,FALSE),"")</f>
        <v/>
      </c>
    </row>
    <row r="148">
      <c r="H148" s="11">
        <f>IFERROR(VLOOKUP(G148,ItemData_Materials!$A:$B,2,FALSE),"")</f>
        <v/>
      </c>
    </row>
    <row r="149">
      <c r="H149" s="11">
        <f>IFERROR(VLOOKUP(G149,ItemData_Materials!$A:$B,2,FALSE),"")</f>
        <v/>
      </c>
    </row>
    <row r="150">
      <c r="H150" s="11">
        <f>IFERROR(VLOOKUP(G150,ItemData_Materials!$A:$B,2,FALSE),"")</f>
        <v/>
      </c>
    </row>
    <row r="151">
      <c r="H151" s="11">
        <f>IFERROR(VLOOKUP(G151,ItemData_Materials!$A:$B,2,FALSE),"")</f>
        <v/>
      </c>
    </row>
    <row r="152">
      <c r="H152" s="11">
        <f>IFERROR(VLOOKUP(G152,ItemData_Materials!$A:$B,2,FALSE),"")</f>
        <v/>
      </c>
    </row>
    <row r="153">
      <c r="H153" s="11">
        <f>IFERROR(VLOOKUP(G153,ItemData_Materials!$A:$B,2,FALSE),"")</f>
        <v/>
      </c>
    </row>
    <row r="154">
      <c r="H154" s="11">
        <f>IFERROR(VLOOKUP(G154,ItemData_Materials!$A:$B,2,FALSE),"")</f>
        <v/>
      </c>
    </row>
    <row r="155">
      <c r="H155" s="11">
        <f>IFERROR(VLOOKUP(G155,ItemData_Materials!$A:$B,2,FALSE),"")</f>
        <v/>
      </c>
    </row>
    <row r="156">
      <c r="H156" s="11">
        <f>IFERROR(VLOOKUP(G156,ItemData_Materials!$A:$B,2,FALSE),"")</f>
        <v/>
      </c>
    </row>
    <row r="157">
      <c r="H157" s="11">
        <f>IFERROR(VLOOKUP(G157,ItemData_Materials!$A:$B,2,FALSE),"")</f>
        <v/>
      </c>
    </row>
    <row r="158">
      <c r="H158" s="11">
        <f>IFERROR(VLOOKUP(G158,ItemData_Materials!$A:$B,2,FALSE),"")</f>
        <v/>
      </c>
    </row>
    <row r="159">
      <c r="H159" s="11">
        <f>IFERROR(VLOOKUP(G159,ItemData_Materials!$A:$B,2,FALSE),"")</f>
        <v/>
      </c>
    </row>
    <row r="160">
      <c r="H160" s="11">
        <f>IFERROR(VLOOKUP(G160,ItemData_Materials!$A:$B,2,FALSE),"")</f>
        <v/>
      </c>
    </row>
    <row r="161">
      <c r="H161" s="11">
        <f>IFERROR(VLOOKUP(G161,ItemData_Materials!$A:$B,2,FALSE),"")</f>
        <v/>
      </c>
    </row>
    <row r="162">
      <c r="H162" s="11">
        <f>IFERROR(VLOOKUP(G162,ItemData_Materials!$A:$B,2,FALSE),"")</f>
        <v/>
      </c>
    </row>
    <row r="163">
      <c r="H163" s="11">
        <f>IFERROR(VLOOKUP(G163,ItemData_Materials!$A:$B,2,FALSE),"")</f>
        <v/>
      </c>
    </row>
    <row r="164">
      <c r="H164" s="11">
        <f>IFERROR(VLOOKUP(G164,ItemData_Materials!$A:$B,2,FALSE),"")</f>
        <v/>
      </c>
    </row>
    <row r="165">
      <c r="H165" s="11">
        <f>IFERROR(VLOOKUP(G165,ItemData_Materials!$A:$B,2,FALSE),"")</f>
        <v/>
      </c>
    </row>
    <row r="166">
      <c r="H166" s="11">
        <f>IFERROR(VLOOKUP(G166,ItemData_Materials!$A:$B,2,FALSE),"")</f>
        <v/>
      </c>
    </row>
    <row r="167">
      <c r="H167" s="11">
        <f>IFERROR(VLOOKUP(G167,ItemData_Materials!$A:$B,2,FALSE),"")</f>
        <v/>
      </c>
    </row>
    <row r="168">
      <c r="H168" s="11">
        <f>IFERROR(VLOOKUP(G168,ItemData_Materials!$A:$B,2,FALSE),"")</f>
        <v/>
      </c>
    </row>
    <row r="169">
      <c r="H169" s="11">
        <f>IFERROR(VLOOKUP(G169,ItemData_Materials!$A:$B,2,FALSE),"")</f>
        <v/>
      </c>
    </row>
    <row r="170">
      <c r="H170" s="11">
        <f>IFERROR(VLOOKUP(G170,ItemData_Materials!$A:$B,2,FALSE),"")</f>
        <v/>
      </c>
    </row>
    <row r="171">
      <c r="H171" s="11">
        <f>IFERROR(VLOOKUP(G171,ItemData_Materials!$A:$B,2,FALSE),"")</f>
        <v/>
      </c>
    </row>
    <row r="172">
      <c r="H172" s="11">
        <f>IFERROR(VLOOKUP(G172,ItemData_Materials!$A:$B,2,FALSE),"")</f>
        <v/>
      </c>
    </row>
    <row r="173">
      <c r="H173" s="11">
        <f>IFERROR(VLOOKUP(G173,ItemData_Materials!$A:$B,2,FALSE),"")</f>
        <v/>
      </c>
    </row>
    <row r="174">
      <c r="H174" s="11">
        <f>IFERROR(VLOOKUP(G174,ItemData_Materials!$A:$B,2,FALSE),"")</f>
        <v/>
      </c>
    </row>
    <row r="175">
      <c r="H175" s="11">
        <f>IFERROR(VLOOKUP(G175,ItemData_Materials!$A:$B,2,FALSE),"")</f>
        <v/>
      </c>
    </row>
    <row r="176">
      <c r="H176" s="11">
        <f>IFERROR(VLOOKUP(G176,ItemData_Materials!$A:$B,2,FALSE),"")</f>
        <v/>
      </c>
    </row>
    <row r="177">
      <c r="H177" s="11">
        <f>IFERROR(VLOOKUP(G177,ItemData_Materials!$A:$B,2,FALSE),"")</f>
        <v/>
      </c>
    </row>
    <row r="178">
      <c r="H178" s="11">
        <f>IFERROR(VLOOKUP(G178,ItemData_Materials!$A:$B,2,FALSE),"")</f>
        <v/>
      </c>
    </row>
    <row r="179">
      <c r="H179" s="11">
        <f>IFERROR(VLOOKUP(G179,ItemData_Materials!$A:$B,2,FALSE),"")</f>
        <v/>
      </c>
    </row>
    <row r="180">
      <c r="H180" s="11">
        <f>IFERROR(VLOOKUP(G180,ItemData_Materials!$A:$B,2,FALSE),"")</f>
        <v/>
      </c>
    </row>
    <row r="181">
      <c r="H181" s="11">
        <f>IFERROR(VLOOKUP(G181,ItemData_Materials!$A:$B,2,FALSE),"")</f>
        <v/>
      </c>
    </row>
    <row r="182">
      <c r="H182" s="11">
        <f>IFERROR(VLOOKUP(G182,ItemData_Materials!$A:$B,2,FALSE),"")</f>
        <v/>
      </c>
    </row>
    <row r="183">
      <c r="H183" s="11">
        <f>IFERROR(VLOOKUP(G183,ItemData_Materials!$A:$B,2,FALSE),"")</f>
        <v/>
      </c>
    </row>
    <row r="184">
      <c r="H184" s="11">
        <f>IFERROR(VLOOKUP(G184,ItemData_Materials!$A:$B,2,FALSE),"")</f>
        <v/>
      </c>
    </row>
    <row r="185">
      <c r="H185" s="11">
        <f>IFERROR(VLOOKUP(G185,ItemData_Materials!$A:$B,2,FALSE),"")</f>
        <v/>
      </c>
    </row>
    <row r="186">
      <c r="H186" s="11">
        <f>IFERROR(VLOOKUP(G186,ItemData_Materials!$A:$B,2,FALSE),"")</f>
        <v/>
      </c>
    </row>
    <row r="187">
      <c r="H187" s="11">
        <f>IFERROR(VLOOKUP(G187,ItemData_Materials!$A:$B,2,FALSE),"")</f>
        <v/>
      </c>
    </row>
    <row r="188">
      <c r="H188" s="11">
        <f>IFERROR(VLOOKUP(G188,ItemData_Materials!$A:$B,2,FALSE),"")</f>
        <v/>
      </c>
    </row>
    <row r="189">
      <c r="H189" s="11">
        <f>IFERROR(VLOOKUP(G189,ItemData_Materials!$A:$B,2,FALSE),"")</f>
        <v/>
      </c>
    </row>
    <row r="190">
      <c r="H190" s="11">
        <f>IFERROR(VLOOKUP(G190,ItemData_Materials!$A:$B,2,FALSE),"")</f>
        <v/>
      </c>
    </row>
    <row r="191">
      <c r="H191" s="11">
        <f>IFERROR(VLOOKUP(G191,ItemData_Materials!$A:$B,2,FALSE),"")</f>
        <v/>
      </c>
    </row>
    <row r="192">
      <c r="H192" s="11">
        <f>IFERROR(VLOOKUP(G192,ItemData_Materials!$A:$B,2,FALSE),"")</f>
        <v/>
      </c>
    </row>
    <row r="193">
      <c r="H193" s="11">
        <f>IFERROR(VLOOKUP(G193,ItemData_Materials!$A:$B,2,FALSE),"")</f>
        <v/>
      </c>
    </row>
    <row r="194">
      <c r="H194" s="11">
        <f>IFERROR(VLOOKUP(G194,ItemData_Materials!$A:$B,2,FALSE),"")</f>
        <v/>
      </c>
    </row>
    <row r="195">
      <c r="H195" s="11">
        <f>IFERROR(VLOOKUP(G195,ItemData_Materials!$A:$B,2,FALSE),"")</f>
        <v/>
      </c>
    </row>
    <row r="196">
      <c r="H196" s="11">
        <f>IFERROR(VLOOKUP(G196,ItemData_Materials!$A:$B,2,FALSE),"")</f>
        <v/>
      </c>
    </row>
    <row r="197">
      <c r="H197" s="11">
        <f>IFERROR(VLOOKUP(G197,ItemData_Materials!$A:$B,2,FALSE),"")</f>
        <v/>
      </c>
    </row>
    <row r="198">
      <c r="H198" s="11">
        <f>IFERROR(VLOOKUP(G198,ItemData_Materials!$A:$B,2,FALSE),"")</f>
        <v/>
      </c>
    </row>
    <row r="199">
      <c r="H199" s="11">
        <f>IFERROR(VLOOKUP(G199,ItemData_Materials!$A:$B,2,FALSE),"")</f>
        <v/>
      </c>
    </row>
    <row r="200">
      <c r="H200" s="11">
        <f>IFERROR(VLOOKUP(G200,ItemData_Materials!$A:$B,2,FALSE),"")</f>
        <v/>
      </c>
    </row>
    <row r="201">
      <c r="H201" s="11">
        <f>IFERROR(VLOOKUP(G201,ItemData_Materials!$A:$B,2,FALSE),"")</f>
        <v/>
      </c>
    </row>
    <row r="202">
      <c r="H202" s="11">
        <f>IFERROR(VLOOKUP(G202,ItemData_Materials!$A:$B,2,FALSE),"")</f>
        <v/>
      </c>
    </row>
    <row r="203">
      <c r="H203" s="11">
        <f>IFERROR(VLOOKUP(G203,ItemData_Materials!$A:$B,2,FALSE),"")</f>
        <v/>
      </c>
    </row>
    <row r="204">
      <c r="H204" s="11">
        <f>IFERROR(VLOOKUP(G204,ItemData_Materials!$A:$B,2,FALSE),"")</f>
        <v/>
      </c>
    </row>
    <row r="205">
      <c r="H205" s="11">
        <f>IFERROR(VLOOKUP(G205,ItemData_Materials!$A:$B,2,FALSE),"")</f>
        <v/>
      </c>
    </row>
    <row r="206">
      <c r="H206" s="11">
        <f>IFERROR(VLOOKUP(G206,ItemData_Materials!$A:$B,2,FALSE),"")</f>
        <v/>
      </c>
    </row>
    <row r="207">
      <c r="H207" s="11">
        <f>IFERROR(VLOOKUP(G207,ItemData_Materials!$A:$B,2,FALSE),"")</f>
        <v/>
      </c>
    </row>
    <row r="208">
      <c r="H208" s="11">
        <f>IFERROR(VLOOKUP(G208,ItemData_Materials!$A:$B,2,FALSE),"")</f>
        <v/>
      </c>
    </row>
    <row r="209">
      <c r="H209" s="11">
        <f>IFERROR(VLOOKUP(G209,ItemData_Materials!$A:$B,2,FALSE),"")</f>
        <v/>
      </c>
    </row>
    <row r="210">
      <c r="H210" s="11">
        <f>IFERROR(VLOOKUP(G210,ItemData_Materials!$A:$B,2,FALSE),"")</f>
        <v/>
      </c>
    </row>
    <row r="211">
      <c r="H211" s="11">
        <f>IFERROR(VLOOKUP(G211,ItemData_Materials!$A:$B,2,FALSE),"")</f>
        <v/>
      </c>
    </row>
    <row r="212">
      <c r="H212" s="11">
        <f>IFERROR(VLOOKUP(G212,ItemData_Materials!$A:$B,2,FALSE),"")</f>
        <v/>
      </c>
    </row>
    <row r="213">
      <c r="H213" s="11">
        <f>IFERROR(VLOOKUP(G213,ItemData_Materials!$A:$B,2,FALSE),"")</f>
        <v/>
      </c>
    </row>
    <row r="214">
      <c r="H214" s="11">
        <f>IFERROR(VLOOKUP(G214,ItemData_Materials!$A:$B,2,FALSE),"")</f>
        <v/>
      </c>
    </row>
    <row r="215">
      <c r="H215" s="11">
        <f>IFERROR(VLOOKUP(G215,ItemData_Materials!$A:$B,2,FALSE),"")</f>
        <v/>
      </c>
    </row>
    <row r="216">
      <c r="H216" s="11">
        <f>IFERROR(VLOOKUP(G216,ItemData_Materials!$A:$B,2,FALSE),"")</f>
        <v/>
      </c>
    </row>
    <row r="217">
      <c r="H217" s="11">
        <f>IFERROR(VLOOKUP(G217,ItemData_Materials!$A:$B,2,FALSE),"")</f>
        <v/>
      </c>
    </row>
    <row r="218">
      <c r="H218" s="11">
        <f>IFERROR(VLOOKUP(G218,ItemData_Materials!$A:$B,2,FALSE),"")</f>
        <v/>
      </c>
    </row>
    <row r="219">
      <c r="H219" s="11">
        <f>IFERROR(VLOOKUP(G219,ItemData_Materials!$A:$B,2,FALSE),"")</f>
        <v/>
      </c>
    </row>
    <row r="220">
      <c r="H220" s="11">
        <f>IFERROR(VLOOKUP(G220,ItemData_Materials!$A:$B,2,FALSE),"")</f>
        <v/>
      </c>
    </row>
    <row r="221">
      <c r="H221" s="11">
        <f>IFERROR(VLOOKUP(G221,ItemData_Materials!$A:$B,2,FALSE),"")</f>
        <v/>
      </c>
    </row>
    <row r="222">
      <c r="H222" s="11">
        <f>IFERROR(VLOOKUP(G222,ItemData_Materials!$A:$B,2,FALSE),"")</f>
        <v/>
      </c>
    </row>
    <row r="223">
      <c r="H223" s="11">
        <f>IFERROR(VLOOKUP(G223,ItemData_Materials!$A:$B,2,FALSE),"")</f>
        <v/>
      </c>
    </row>
    <row r="224">
      <c r="H224" s="11">
        <f>IFERROR(VLOOKUP(G224,ItemData_Materials!$A:$B,2,FALSE),"")</f>
        <v/>
      </c>
    </row>
    <row r="225">
      <c r="H225" s="11">
        <f>IFERROR(VLOOKUP(G225,ItemData_Materials!$A:$B,2,FALSE),"")</f>
        <v/>
      </c>
    </row>
    <row r="226">
      <c r="H226" s="11">
        <f>IFERROR(VLOOKUP(G226,ItemData_Materials!$A:$B,2,FALSE),"")</f>
        <v/>
      </c>
    </row>
    <row r="227">
      <c r="H227" s="11">
        <f>IFERROR(VLOOKUP(G227,ItemData_Materials!$A:$B,2,FALSE),"")</f>
        <v/>
      </c>
    </row>
    <row r="228">
      <c r="H228" s="11">
        <f>IFERROR(VLOOKUP(G228,ItemData_Materials!$A:$B,2,FALSE),"")</f>
        <v/>
      </c>
    </row>
    <row r="229">
      <c r="H229" s="11">
        <f>IFERROR(VLOOKUP(G229,ItemData_Materials!$A:$B,2,FALSE),"")</f>
        <v/>
      </c>
    </row>
    <row r="230">
      <c r="H230" s="11">
        <f>IFERROR(VLOOKUP(G230,ItemData_Materials!$A:$B,2,FALSE),"")</f>
        <v/>
      </c>
    </row>
    <row r="231">
      <c r="H231" s="11">
        <f>IFERROR(VLOOKUP(G231,ItemData_Materials!$A:$B,2,FALSE),"")</f>
        <v/>
      </c>
    </row>
    <row r="232">
      <c r="H232" s="11">
        <f>IFERROR(VLOOKUP(G232,ItemData_Materials!$A:$B,2,FALSE),"")</f>
        <v/>
      </c>
    </row>
    <row r="233">
      <c r="H233" s="11">
        <f>IFERROR(VLOOKUP(G233,ItemData_Materials!$A:$B,2,FALSE),"")</f>
        <v/>
      </c>
    </row>
    <row r="234">
      <c r="H234" s="11">
        <f>IFERROR(VLOOKUP(G234,ItemData_Materials!$A:$B,2,FALSE),"")</f>
        <v/>
      </c>
    </row>
    <row r="235">
      <c r="H235" s="11">
        <f>IFERROR(VLOOKUP(G235,ItemData_Materials!$A:$B,2,FALSE),"")</f>
        <v/>
      </c>
    </row>
    <row r="236">
      <c r="H236" s="11">
        <f>IFERROR(VLOOKUP(G236,ItemData_Materials!$A:$B,2,FALSE),"")</f>
        <v/>
      </c>
    </row>
    <row r="237">
      <c r="H237" s="11">
        <f>IFERROR(VLOOKUP(G237,ItemData_Materials!$A:$B,2,FALSE),"")</f>
        <v/>
      </c>
    </row>
    <row r="238">
      <c r="H238" s="11">
        <f>IFERROR(VLOOKUP(G238,ItemData_Materials!$A:$B,2,FALSE),"")</f>
        <v/>
      </c>
    </row>
    <row r="239">
      <c r="H239" s="11">
        <f>IFERROR(VLOOKUP(G239,ItemData_Materials!$A:$B,2,FALSE),"")</f>
        <v/>
      </c>
    </row>
    <row r="240">
      <c r="H240" s="11">
        <f>IFERROR(VLOOKUP(G240,ItemData_Materials!$A:$B,2,FALSE),"")</f>
        <v/>
      </c>
    </row>
    <row r="241">
      <c r="H241" s="11">
        <f>IFERROR(VLOOKUP(G241,ItemData_Materials!$A:$B,2,FALSE),"")</f>
        <v/>
      </c>
    </row>
    <row r="242">
      <c r="H242" s="11">
        <f>IFERROR(VLOOKUP(G242,ItemData_Materials!$A:$B,2,FALSE),"")</f>
        <v/>
      </c>
    </row>
    <row r="243">
      <c r="H243" s="11">
        <f>IFERROR(VLOOKUP(G243,ItemData_Materials!$A:$B,2,FALSE),"")</f>
        <v/>
      </c>
    </row>
    <row r="244">
      <c r="H244" s="11">
        <f>IFERROR(VLOOKUP(G244,ItemData_Materials!$A:$B,2,FALSE),"")</f>
        <v/>
      </c>
    </row>
    <row r="245">
      <c r="H245" s="11">
        <f>IFERROR(VLOOKUP(G245,ItemData_Materials!$A:$B,2,FALSE),"")</f>
        <v/>
      </c>
    </row>
    <row r="246">
      <c r="H246" s="11">
        <f>IFERROR(VLOOKUP(G246,ItemData_Materials!$A:$B,2,FALSE),"")</f>
        <v/>
      </c>
    </row>
    <row r="247">
      <c r="H247" s="11">
        <f>IFERROR(VLOOKUP(G247,ItemData_Materials!$A:$B,2,FALSE),"")</f>
        <v/>
      </c>
    </row>
    <row r="248">
      <c r="H248" s="11">
        <f>IFERROR(VLOOKUP(G248,ItemData_Materials!$A:$B,2,FALSE),"")</f>
        <v/>
      </c>
    </row>
    <row r="249">
      <c r="H249" s="11">
        <f>IFERROR(VLOOKUP(G249,ItemData_Materials!$A:$B,2,FALSE),"")</f>
        <v/>
      </c>
    </row>
    <row r="250">
      <c r="H250" s="11">
        <f>IFERROR(VLOOKUP(G250,ItemData_Materials!$A:$B,2,FALSE),"")</f>
        <v/>
      </c>
    </row>
    <row r="251">
      <c r="H251" s="11">
        <f>IFERROR(VLOOKUP(G251,ItemData_Materials!$A:$B,2,FALSE),"")</f>
        <v/>
      </c>
    </row>
    <row r="252">
      <c r="H252" s="11">
        <f>IFERROR(VLOOKUP(G252,ItemData_Materials!$A:$B,2,FALSE),"")</f>
        <v/>
      </c>
    </row>
    <row r="253">
      <c r="H253" s="11">
        <f>IFERROR(VLOOKUP(G253,ItemData_Materials!$A:$B,2,FALSE),"")</f>
        <v/>
      </c>
    </row>
    <row r="254">
      <c r="H254" s="11">
        <f>IFERROR(VLOOKUP(G254,ItemData_Materials!$A:$B,2,FALSE),"")</f>
        <v/>
      </c>
    </row>
    <row r="255">
      <c r="H255" s="11">
        <f>IFERROR(VLOOKUP(G255,ItemData_Materials!$A:$B,2,FALSE),"")</f>
        <v/>
      </c>
    </row>
    <row r="256">
      <c r="H256" s="11">
        <f>IFERROR(VLOOKUP(G256,ItemData_Materials!$A:$B,2,FALSE),"")</f>
        <v/>
      </c>
    </row>
    <row r="257">
      <c r="H257" s="11">
        <f>IFERROR(VLOOKUP(G257,ItemData_Materials!$A:$B,2,FALSE),"")</f>
        <v/>
      </c>
    </row>
    <row r="258">
      <c r="H258" s="11">
        <f>IFERROR(VLOOKUP(G258,ItemData_Materials!$A:$B,2,FALSE),"")</f>
        <v/>
      </c>
    </row>
    <row r="259">
      <c r="H259" s="11">
        <f>IFERROR(VLOOKUP(G259,ItemData_Materials!$A:$B,2,FALSE),"")</f>
        <v/>
      </c>
    </row>
    <row r="260">
      <c r="H260" s="11">
        <f>IFERROR(VLOOKUP(G260,ItemData_Materials!$A:$B,2,FALSE),"")</f>
        <v/>
      </c>
    </row>
    <row r="261">
      <c r="H261" s="11">
        <f>IFERROR(VLOOKUP(G261,ItemData_Materials!$A:$B,2,FALSE),"")</f>
        <v/>
      </c>
    </row>
    <row r="262">
      <c r="H262" s="11">
        <f>IFERROR(VLOOKUP(G262,ItemData_Materials!$A:$B,2,FALSE),"")</f>
        <v/>
      </c>
    </row>
    <row r="263">
      <c r="H263" s="11">
        <f>IFERROR(VLOOKUP(G263,ItemData_Materials!$A:$B,2,FALSE),"")</f>
        <v/>
      </c>
    </row>
    <row r="264">
      <c r="H264" s="11">
        <f>IFERROR(VLOOKUP(G264,ItemData_Materials!$A:$B,2,FALSE),"")</f>
        <v/>
      </c>
    </row>
    <row r="265">
      <c r="H265" s="11">
        <f>IFERROR(VLOOKUP(G265,ItemData_Materials!$A:$B,2,FALSE),"")</f>
        <v/>
      </c>
    </row>
    <row r="266">
      <c r="H266" s="11">
        <f>IFERROR(VLOOKUP(G266,ItemData_Materials!$A:$B,2,FALSE),"")</f>
        <v/>
      </c>
    </row>
    <row r="267">
      <c r="H267" s="11">
        <f>IFERROR(VLOOKUP(G267,ItemData_Materials!$A:$B,2,FALSE),"")</f>
        <v/>
      </c>
    </row>
    <row r="268">
      <c r="H268" s="11">
        <f>IFERROR(VLOOKUP(G268,ItemData_Materials!$A:$B,2,FALSE),"")</f>
        <v/>
      </c>
    </row>
    <row r="269">
      <c r="H269" s="11">
        <f>IFERROR(VLOOKUP(G269,ItemData_Materials!$A:$B,2,FALSE),"")</f>
        <v/>
      </c>
    </row>
    <row r="270">
      <c r="H270" s="11">
        <f>IFERROR(VLOOKUP(G270,ItemData_Materials!$A:$B,2,FALSE),"")</f>
        <v/>
      </c>
    </row>
    <row r="271">
      <c r="H271" s="11">
        <f>IFERROR(VLOOKUP(G271,ItemData_Materials!$A:$B,2,FALSE),"")</f>
        <v/>
      </c>
    </row>
    <row r="272">
      <c r="H272" s="11">
        <f>IFERROR(VLOOKUP(G272,ItemData_Materials!$A:$B,2,FALSE),"")</f>
        <v/>
      </c>
    </row>
    <row r="273">
      <c r="H273" s="11">
        <f>IFERROR(VLOOKUP(G273,ItemData_Materials!$A:$B,2,FALSE),"")</f>
        <v/>
      </c>
    </row>
    <row r="274">
      <c r="H274" s="11">
        <f>IFERROR(VLOOKUP(G274,ItemData_Materials!$A:$B,2,FALSE),"")</f>
        <v/>
      </c>
    </row>
    <row r="275">
      <c r="H275" s="11">
        <f>IFERROR(VLOOKUP(G275,ItemData_Materials!$A:$B,2,FALSE),"")</f>
        <v/>
      </c>
    </row>
    <row r="276">
      <c r="H276" s="11">
        <f>IFERROR(VLOOKUP(G276,ItemData_Materials!$A:$B,2,FALSE),"")</f>
        <v/>
      </c>
    </row>
    <row r="277">
      <c r="H277" s="11">
        <f>IFERROR(VLOOKUP(G277,ItemData_Materials!$A:$B,2,FALSE),"")</f>
        <v/>
      </c>
    </row>
    <row r="278">
      <c r="H278" s="11">
        <f>IFERROR(VLOOKUP(G278,ItemData_Materials!$A:$B,2,FALSE),"")</f>
        <v/>
      </c>
    </row>
    <row r="279">
      <c r="H279" s="11">
        <f>IFERROR(VLOOKUP(G279,ItemData_Materials!$A:$B,2,FALSE),"")</f>
        <v/>
      </c>
    </row>
    <row r="280">
      <c r="H280" s="11">
        <f>IFERROR(VLOOKUP(G280,ItemData_Materials!$A:$B,2,FALSE),"")</f>
        <v/>
      </c>
    </row>
    <row r="281">
      <c r="H281" s="11">
        <f>IFERROR(VLOOKUP(G281,ItemData_Materials!$A:$B,2,FALSE),"")</f>
        <v/>
      </c>
    </row>
    <row r="282">
      <c r="H282" s="11">
        <f>IFERROR(VLOOKUP(G282,ItemData_Materials!$A:$B,2,FALSE),"")</f>
        <v/>
      </c>
    </row>
    <row r="283">
      <c r="H283" s="11">
        <f>IFERROR(VLOOKUP(G283,ItemData_Materials!$A:$B,2,FALSE),"")</f>
        <v/>
      </c>
    </row>
    <row r="284">
      <c r="H284" s="11">
        <f>IFERROR(VLOOKUP(G284,ItemData_Materials!$A:$B,2,FALSE),"")</f>
        <v/>
      </c>
    </row>
    <row r="285">
      <c r="H285" s="11">
        <f>IFERROR(VLOOKUP(G285,ItemData_Materials!$A:$B,2,FALSE),"")</f>
        <v/>
      </c>
    </row>
    <row r="286">
      <c r="H286" s="11">
        <f>IFERROR(VLOOKUP(G286,ItemData_Materials!$A:$B,2,FALSE),"")</f>
        <v/>
      </c>
    </row>
    <row r="287">
      <c r="H287" s="11">
        <f>IFERROR(VLOOKUP(G287,ItemData_Materials!$A:$B,2,FALSE),"")</f>
        <v/>
      </c>
    </row>
    <row r="288">
      <c r="H288" s="11">
        <f>IFERROR(VLOOKUP(G288,ItemData_Materials!$A:$B,2,FALSE),"")</f>
        <v/>
      </c>
    </row>
    <row r="289">
      <c r="H289" s="11">
        <f>IFERROR(VLOOKUP(G289,ItemData_Materials!$A:$B,2,FALSE),"")</f>
        <v/>
      </c>
    </row>
    <row r="290">
      <c r="H290" s="11">
        <f>IFERROR(VLOOKUP(G290,ItemData_Materials!$A:$B,2,FALSE),"")</f>
        <v/>
      </c>
    </row>
    <row r="291">
      <c r="H291" s="11">
        <f>IFERROR(VLOOKUP(G291,ItemData_Materials!$A:$B,2,FALSE),"")</f>
        <v/>
      </c>
    </row>
    <row r="292">
      <c r="H292" s="11">
        <f>IFERROR(VLOOKUP(G292,ItemData_Materials!$A:$B,2,FALSE),"")</f>
        <v/>
      </c>
    </row>
    <row r="293">
      <c r="H293" s="11">
        <f>IFERROR(VLOOKUP(G293,ItemData_Materials!$A:$B,2,FALSE),"")</f>
        <v/>
      </c>
    </row>
    <row r="294">
      <c r="H294" s="11">
        <f>IFERROR(VLOOKUP(G294,ItemData_Materials!$A:$B,2,FALSE),"")</f>
        <v/>
      </c>
    </row>
    <row r="295">
      <c r="H295" s="11">
        <f>IFERROR(VLOOKUP(G295,ItemData_Materials!$A:$B,2,FALSE),"")</f>
        <v/>
      </c>
    </row>
    <row r="296">
      <c r="H296" s="11">
        <f>IFERROR(VLOOKUP(G296,ItemData_Materials!$A:$B,2,FALSE),"")</f>
        <v/>
      </c>
    </row>
    <row r="297">
      <c r="H297" s="11">
        <f>IFERROR(VLOOKUP(G297,ItemData_Materials!$A:$B,2,FALSE),"")</f>
        <v/>
      </c>
    </row>
    <row r="298">
      <c r="H298" s="11">
        <f>IFERROR(VLOOKUP(G298,ItemData_Materials!$A:$B,2,FALSE),"")</f>
        <v/>
      </c>
    </row>
    <row r="299">
      <c r="H299" s="11">
        <f>IFERROR(VLOOKUP(G299,ItemData_Materials!$A:$B,2,FALSE),"")</f>
        <v/>
      </c>
    </row>
    <row r="300">
      <c r="H300" s="11">
        <f>IFERROR(VLOOKUP(G300,ItemData_Materials!$A:$B,2,FALSE),"")</f>
        <v/>
      </c>
    </row>
  </sheetData>
  <dataValidations count="1">
    <dataValidation sqref="F3:F300" showDropDown="0" showInputMessage="0" showErrorMessage="1" allowBlank="1" error="목록에서 선택하세요" type="list">
      <formula1>"Normal,Uncommon,Rare,Epic,Legendary"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8" customWidth="1" min="4" max="4"/>
    <col width="12" customWidth="1" min="5" max="5"/>
    <col width="22" customWidth="1" min="6" max="6"/>
  </cols>
  <sheetData>
    <row r="1">
      <c r="A1" s="6" t="inlineStr">
        <is>
          <t>m_id</t>
        </is>
      </c>
      <c r="B1" s="6" t="inlineStr">
        <is>
          <t>m_name</t>
        </is>
      </c>
      <c r="C1" s="6" t="inlineStr">
        <is>
          <t>m_type</t>
        </is>
      </c>
      <c r="D1" s="6" t="inlineStr">
        <is>
          <t>m_tier</t>
        </is>
      </c>
      <c r="E1" s="6" t="inlineStr">
        <is>
          <t>m_basePrice</t>
        </is>
      </c>
      <c r="F1" s="6" t="inlineStr">
        <is>
          <t>m_assetKey</t>
        </is>
      </c>
    </row>
    <row r="2" ht="42" customHeight="1">
      <c r="A2" s="7" t="inlineStr">
        <is>
          <t>고유 ID (int)</t>
        </is>
      </c>
      <c r="B2" s="7" t="inlineStr">
        <is>
          <t>이름</t>
        </is>
      </c>
      <c r="C2" s="7" t="inlineStr">
        <is>
          <t>Materials 고정</t>
        </is>
      </c>
      <c r="D2" s="7" t="inlineStr">
        <is>
          <t>티어 (int)</t>
        </is>
      </c>
      <c r="E2" s="7" t="inlineStr">
        <is>
          <t>기준 판매가</t>
        </is>
      </c>
      <c r="F2" s="7" t="inlineStr">
        <is>
          <t>에셋 키 오버라이드 — 빈칸=규약({클래스명}_{ID}). 여러 항목이 에셋을 공유하거나 스킨/예외일 때만 입력</t>
        </is>
      </c>
    </row>
    <row r="3">
      <c r="A3" s="8" t="n">
        <v>300001</v>
      </c>
      <c r="B3" s="8" t="inlineStr">
        <is>
          <t>멸치살</t>
        </is>
      </c>
      <c r="C3" s="8" t="inlineStr">
        <is>
          <t>Materials</t>
        </is>
      </c>
      <c r="D3" s="8" t="n">
        <v>1</v>
      </c>
      <c r="E3" s="8" t="n">
        <v>10</v>
      </c>
    </row>
    <row r="4">
      <c r="A4" s="8" t="n">
        <v>300002</v>
      </c>
      <c r="B4" s="8" t="inlineStr">
        <is>
          <t>새우살</t>
        </is>
      </c>
      <c r="C4" s="8" t="inlineStr">
        <is>
          <t>Materials</t>
        </is>
      </c>
      <c r="D4" s="8" t="n">
        <v>1</v>
      </c>
      <c r="E4" s="8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8" customWidth="1" min="4" max="4"/>
    <col width="12" customWidth="1" min="5" max="5"/>
    <col width="14" customWidth="1" min="6" max="6"/>
    <col width="40" customWidth="1" min="7" max="7"/>
    <col width="22" customWidth="1" min="8" max="8"/>
  </cols>
  <sheetData>
    <row r="1">
      <c r="A1" s="6" t="inlineStr">
        <is>
          <t>m_id</t>
        </is>
      </c>
      <c r="B1" s="6" t="inlineStr">
        <is>
          <t>m_name</t>
        </is>
      </c>
      <c r="C1" s="6" t="inlineStr">
        <is>
          <t>m_type</t>
        </is>
      </c>
      <c r="D1" s="6" t="inlineStr">
        <is>
          <t>m_tier</t>
        </is>
      </c>
      <c r="E1" s="6" t="inlineStr">
        <is>
          <t>m_basePrice</t>
        </is>
      </c>
      <c r="F1" s="6" t="inlineStr">
        <is>
          <t>m_mountingArea</t>
        </is>
      </c>
      <c r="G1" s="6" t="inlineStr">
        <is>
          <t>m_baseModifiers</t>
        </is>
      </c>
      <c r="H1" s="6" t="inlineStr">
        <is>
          <t>m_assetKey</t>
        </is>
      </c>
    </row>
    <row r="2" ht="42" customHeight="1">
      <c r="A2" s="7" t="inlineStr">
        <is>
          <t>고유 ID (int)</t>
        </is>
      </c>
      <c r="B2" s="7" t="inlineStr">
        <is>
          <t>이름</t>
        </is>
      </c>
      <c r="C2" s="7" t="inlineStr">
        <is>
          <t>Equipment 고정</t>
        </is>
      </c>
      <c r="D2" s="7" t="inlineStr">
        <is>
          <t>티어 (int)</t>
        </is>
      </c>
      <c r="E2" s="7" t="inlineStr">
        <is>
          <t>기준 판매가</t>
        </is>
      </c>
      <c r="F2" s="7" t="inlineStr">
        <is>
          <t>부위 (Enums)</t>
        </is>
      </c>
      <c r="G2" s="7" t="inlineStr">
        <is>
          <t>0강 효과 — 압축: Stat:Op:Value;...</t>
        </is>
      </c>
      <c r="H2" s="7" t="inlineStr">
        <is>
          <t>에셋 키 오버라이드 — 빈칸=규약({클래스명}_{ID}). 여러 항목이 에셋을 공유하거나 스킨/예외일 때만 입력</t>
        </is>
      </c>
    </row>
    <row r="3">
      <c r="A3" s="8" t="n">
        <v>200001</v>
      </c>
      <c r="B3" s="8" t="inlineStr">
        <is>
          <t>낡은 낚싯대</t>
        </is>
      </c>
      <c r="C3" s="8" t="inlineStr">
        <is>
          <t>Equipment</t>
        </is>
      </c>
      <c r="D3" s="8" t="n">
        <v>1</v>
      </c>
      <c r="E3" s="8" t="n">
        <v>50</v>
      </c>
      <c r="F3" s="8" t="inlineStr">
        <is>
          <t>FishingRod</t>
        </is>
      </c>
      <c r="G3" s="8" t="inlineStr">
        <is>
          <t>DamagePerClick:Add:5</t>
        </is>
      </c>
    </row>
    <row r="4">
      <c r="A4" s="8" t="n">
        <v>200002</v>
      </c>
      <c r="B4" s="8" t="inlineStr">
        <is>
          <t>낡은 릴</t>
        </is>
      </c>
      <c r="C4" s="8" t="inlineStr">
        <is>
          <t>Equipment</t>
        </is>
      </c>
      <c r="D4" s="8" t="n">
        <v>1</v>
      </c>
      <c r="E4" s="8" t="n">
        <v>50</v>
      </c>
      <c r="F4" s="8" t="inlineStr">
        <is>
          <t>Reel</t>
        </is>
      </c>
      <c r="G4" s="8" t="inlineStr">
        <is>
          <t>CriticalChance:Add:0.05</t>
        </is>
      </c>
    </row>
  </sheetData>
  <dataValidations count="1">
    <dataValidation sqref="F3:F300" showDropDown="0" showInputMessage="0" showErrorMessage="1" allowBlank="1" error="목록에서 선택하세요" type="list">
      <formula1>"FishingRod,FishingLine,Reel,Lure,Hat,Uniform,Gloves,Engine,Storage,GPS,Bait,Groundbait"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AADB"/>
    <outlinePr summaryBelow="1" summaryRight="1"/>
    <pageSetUpPr/>
  </sheetPr>
  <dimension ref="A1:H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40" customWidth="1" min="5" max="5"/>
    <col width="24" customWidth="1" min="6" max="6"/>
    <col width="30" customWidth="1" min="8" max="8"/>
  </cols>
  <sheetData>
    <row r="1">
      <c r="A1" s="6" t="inlineStr">
        <is>
          <t>row_key</t>
        </is>
      </c>
      <c r="B1" s="6" t="inlineStr">
        <is>
          <t>equipment_id</t>
        </is>
      </c>
      <c r="C1" s="9" t="inlineStr">
        <is>
          <t>#equipment_name</t>
        </is>
      </c>
      <c r="D1" s="6" t="inlineStr">
        <is>
          <t>level</t>
        </is>
      </c>
      <c r="E1" s="6" t="inlineStr">
        <is>
          <t>m_goldCost</t>
        </is>
      </c>
      <c r="F1" s="6" t="inlineStr">
        <is>
          <t>m_modifiers</t>
        </is>
      </c>
      <c r="G1" s="6" t="inlineStr">
        <is>
          <t>m_materialCosts</t>
        </is>
      </c>
      <c r="H1" s="9" t="inlineStr">
        <is>
          <t>#materialCosts_name</t>
        </is>
      </c>
    </row>
    <row r="2" ht="42" customHeight="1">
      <c r="A2" s="7" t="inlineStr">
        <is>
          <t>고유 행 키 (예: 부모id_순번). 변환기는 값 자체를 무시 — 중복만 금지</t>
        </is>
      </c>
      <c r="B2" s="7" t="inlineStr">
        <is>
          <t>대상 장비 (ItemData_Equipment m_id)</t>
        </is>
      </c>
      <c r="C2" s="10" t="inlineStr">
        <is>
          <t>표시 전용(#) — JSON 변환 제외. 자동(VLOOKUP), 입력 금지</t>
        </is>
      </c>
      <c r="D2" s="7" t="inlineStr">
        <is>
          <t>강화 단계 (1~10)</t>
        </is>
      </c>
      <c r="E2" s="7" t="inlineStr">
        <is>
          <t>이 단계로 올리는 골드</t>
        </is>
      </c>
      <c r="F2" s="7" t="inlineStr">
        <is>
          <t>이 단계 도달 시 효과(누적치) — 압축</t>
        </is>
      </c>
      <c r="G2" s="7" t="inlineStr">
        <is>
          <t>재료 비용 — 압축: materialId:count;...</t>
        </is>
      </c>
      <c r="H2" s="10" t="inlineStr">
        <is>
          <t>표시 전용(#) — 압축 문자열 이름 해석(최대 5항목). 자동, 입력 금지</t>
        </is>
      </c>
    </row>
    <row r="3">
      <c r="A3" s="8" t="inlineStr">
        <is>
          <t>200001_1</t>
        </is>
      </c>
      <c r="B3" s="8" t="n">
        <v>200001</v>
      </c>
      <c r="C3" s="11">
        <f>IFERROR(VLOOKUP(B3,ItemData_Equipment!$A:$B,2,FALSE),"")</f>
        <v/>
      </c>
      <c r="D3" s="8" t="n">
        <v>1</v>
      </c>
      <c r="E3" s="8" t="n">
        <v>100</v>
      </c>
      <c r="F3" s="8" t="inlineStr">
        <is>
          <t>DamagePerClick:Add:8</t>
        </is>
      </c>
      <c r="G3" s="8" t="inlineStr">
        <is>
          <t>300001:2</t>
        </is>
      </c>
      <c r="H3" s="11">
        <f>IF(G3="","",TEXTJOIN("; ",TRUE,IF(TRIM(MID(SUBSTITUTE(G3,";",REPT(" ",99)),1,99))="","",IFERROR(VLOOKUP(--LEFT(TRIM(MID(SUBSTITUTE(G3,";",REPT(" ",99)),1,99)),FIND(":",TRIM(MID(SUBSTITUTE(G3,";",REPT(" ",99)),1,99)))-1),_Lookup!$A:$B,2,FALSE),"?")&amp;"×"&amp;MID(TRIM(MID(SUBSTITUTE(G3,";",REPT(" ",99)),1,99)),FIND(":",TRIM(MID(SUBSTITUTE(G3,";",REPT(" ",99)),1,99)))+1,99)),IF(TRIM(MID(SUBSTITUTE(G3,";",REPT(" ",99)),100,99))="","",IFERROR(VLOOKUP(--LEFT(TRIM(MID(SUBSTITUTE(G3,";",REPT(" ",99)),100,99)),FIND(":",TRIM(MID(SUBSTITUTE(G3,";",REPT(" ",99)),100,99)))-1),_Lookup!$A:$B,2,FALSE),"?")&amp;"×"&amp;MID(TRIM(MID(SUBSTITUTE(G3,";",REPT(" ",99)),100,99)),FIND(":",TRIM(MID(SUBSTITUTE(G3,";",REPT(" ",99)),100,99)))+1,99)),IF(TRIM(MID(SUBSTITUTE(G3,";",REPT(" ",99)),199,99))="","",IFERROR(VLOOKUP(--LEFT(TRIM(MID(SUBSTITUTE(G3,";",REPT(" ",99)),199,99)),FIND(":",TRIM(MID(SUBSTITUTE(G3,";",REPT(" ",99)),199,99)))-1),_Lookup!$A:$B,2,FALSE),"?")&amp;"×"&amp;MID(TRIM(MID(SUBSTITUTE(G3,";",REPT(" ",99)),199,99)),FIND(":",TRIM(MID(SUBSTITUTE(G3,";",REPT(" ",99)),199,99)))+1,99)),IF(TRIM(MID(SUBSTITUTE(G3,";",REPT(" ",99)),298,99))="","",IFERROR(VLOOKUP(--LEFT(TRIM(MID(SUBSTITUTE(G3,";",REPT(" ",99)),298,99)),FIND(":",TRIM(MID(SUBSTITUTE(G3,";",REPT(" ",99)),298,99)))-1),_Lookup!$A:$B,2,FALSE),"?")&amp;"×"&amp;MID(TRIM(MID(SUBSTITUTE(G3,";",REPT(" ",99)),298,99)),FIND(":",TRIM(MID(SUBSTITUTE(G3,";",REPT(" ",99)),298,99)))+1,99)),IF(TRIM(MID(SUBSTITUTE(G3,";",REPT(" ",99)),397,99))="","",IFERROR(VLOOKUP(--LEFT(TRIM(MID(SUBSTITUTE(G3,";",REPT(" ",99)),397,99)),FIND(":",TRIM(MID(SUBSTITUTE(G3,";",REPT(" ",99)),397,99)))-1),_Lookup!$A:$B,2,FALSE),"?")&amp;"×"&amp;MID(TRIM(MID(SUBSTITUTE(G3,";",REPT(" ",99)),397,99)),FIND(":",TRIM(MID(SUBSTITUTE(G3,";",REPT(" ",99)),397,99)))+1,99))))</f>
        <v/>
      </c>
    </row>
    <row r="4">
      <c r="A4" s="8" t="inlineStr">
        <is>
          <t>200001_2</t>
        </is>
      </c>
      <c r="B4" s="8" t="n">
        <v>200001</v>
      </c>
      <c r="C4" s="11">
        <f>IFERROR(VLOOKUP(B4,ItemData_Equipment!$A:$B,2,FALSE),"")</f>
        <v/>
      </c>
      <c r="D4" s="8" t="n">
        <v>2</v>
      </c>
      <c r="E4" s="8" t="n">
        <v>250</v>
      </c>
      <c r="F4" s="8" t="inlineStr">
        <is>
          <t>DamagePerClick:Add:12</t>
        </is>
      </c>
      <c r="G4" s="8" t="inlineStr">
        <is>
          <t>300001:4</t>
        </is>
      </c>
      <c r="H4" s="11">
        <f>IF(G4="","",TEXTJOIN("; ",TRUE,IF(TRIM(MID(SUBSTITUTE(G4,";",REPT(" ",99)),1,99))="","",IFERROR(VLOOKUP(--LEFT(TRIM(MID(SUBSTITUTE(G4,";",REPT(" ",99)),1,99)),FIND(":",TRIM(MID(SUBSTITUTE(G4,";",REPT(" ",99)),1,99)))-1),_Lookup!$A:$B,2,FALSE),"?")&amp;"×"&amp;MID(TRIM(MID(SUBSTITUTE(G4,";",REPT(" ",99)),1,99)),FIND(":",TRIM(MID(SUBSTITUTE(G4,";",REPT(" ",99)),1,99)))+1,99)),IF(TRIM(MID(SUBSTITUTE(G4,";",REPT(" ",99)),100,99))="","",IFERROR(VLOOKUP(--LEFT(TRIM(MID(SUBSTITUTE(G4,";",REPT(" ",99)),100,99)),FIND(":",TRIM(MID(SUBSTITUTE(G4,";",REPT(" ",99)),100,99)))-1),_Lookup!$A:$B,2,FALSE),"?")&amp;"×"&amp;MID(TRIM(MID(SUBSTITUTE(G4,";",REPT(" ",99)),100,99)),FIND(":",TRIM(MID(SUBSTITUTE(G4,";",REPT(" ",99)),100,99)))+1,99)),IF(TRIM(MID(SUBSTITUTE(G4,";",REPT(" ",99)),199,99))="","",IFERROR(VLOOKUP(--LEFT(TRIM(MID(SUBSTITUTE(G4,";",REPT(" ",99)),199,99)),FIND(":",TRIM(MID(SUBSTITUTE(G4,";",REPT(" ",99)),199,99)))-1),_Lookup!$A:$B,2,FALSE),"?")&amp;"×"&amp;MID(TRIM(MID(SUBSTITUTE(G4,";",REPT(" ",99)),199,99)),FIND(":",TRIM(MID(SUBSTITUTE(G4,";",REPT(" ",99)),199,99)))+1,99)),IF(TRIM(MID(SUBSTITUTE(G4,";",REPT(" ",99)),298,99))="","",IFERROR(VLOOKUP(--LEFT(TRIM(MID(SUBSTITUTE(G4,";",REPT(" ",99)),298,99)),FIND(":",TRIM(MID(SUBSTITUTE(G4,";",REPT(" ",99)),298,99)))-1),_Lookup!$A:$B,2,FALSE),"?")&amp;"×"&amp;MID(TRIM(MID(SUBSTITUTE(G4,";",REPT(" ",99)),298,99)),FIND(":",TRIM(MID(SUBSTITUTE(G4,";",REPT(" ",99)),298,99)))+1,99)),IF(TRIM(MID(SUBSTITUTE(G4,";",REPT(" ",99)),397,99))="","",IFERROR(VLOOKUP(--LEFT(TRIM(MID(SUBSTITUTE(G4,";",REPT(" ",99)),397,99)),FIND(":",TRIM(MID(SUBSTITUTE(G4,";",REPT(" ",99)),397,99)))-1),_Lookup!$A:$B,2,FALSE),"?")&amp;"×"&amp;MID(TRIM(MID(SUBSTITUTE(G4,";",REPT(" ",99)),397,99)),FIND(":",TRIM(MID(SUBSTITUTE(G4,";",REPT(" ",99)),397,99)))+1,99))))</f>
        <v/>
      </c>
    </row>
    <row r="5">
      <c r="A5" s="8" t="inlineStr">
        <is>
          <t>200001_3</t>
        </is>
      </c>
      <c r="B5" s="8" t="n">
        <v>200001</v>
      </c>
      <c r="C5" s="11">
        <f>IFERROR(VLOOKUP(B5,ItemData_Equipment!$A:$B,2,FALSE),"")</f>
        <v/>
      </c>
      <c r="D5" s="8" t="n">
        <v>3</v>
      </c>
      <c r="E5" s="8" t="n">
        <v>500</v>
      </c>
      <c r="F5" s="8" t="inlineStr">
        <is>
          <t>DamagePerClick:Add:18</t>
        </is>
      </c>
      <c r="G5" s="8" t="inlineStr">
        <is>
          <t>300001:6;300002:2</t>
        </is>
      </c>
      <c r="H5" s="11">
        <f>IF(G5="","",TEXTJOIN("; ",TRUE,IF(TRIM(MID(SUBSTITUTE(G5,";",REPT(" ",99)),1,99))="","",IFERROR(VLOOKUP(--LEFT(TRIM(MID(SUBSTITUTE(G5,";",REPT(" ",99)),1,99)),FIND(":",TRIM(MID(SUBSTITUTE(G5,";",REPT(" ",99)),1,99)))-1),_Lookup!$A:$B,2,FALSE),"?")&amp;"×"&amp;MID(TRIM(MID(SUBSTITUTE(G5,";",REPT(" ",99)),1,99)),FIND(":",TRIM(MID(SUBSTITUTE(G5,";",REPT(" ",99)),1,99)))+1,99)),IF(TRIM(MID(SUBSTITUTE(G5,";",REPT(" ",99)),100,99))="","",IFERROR(VLOOKUP(--LEFT(TRIM(MID(SUBSTITUTE(G5,";",REPT(" ",99)),100,99)),FIND(":",TRIM(MID(SUBSTITUTE(G5,";",REPT(" ",99)),100,99)))-1),_Lookup!$A:$B,2,FALSE),"?")&amp;"×"&amp;MID(TRIM(MID(SUBSTITUTE(G5,";",REPT(" ",99)),100,99)),FIND(":",TRIM(MID(SUBSTITUTE(G5,";",REPT(" ",99)),100,99)))+1,99)),IF(TRIM(MID(SUBSTITUTE(G5,";",REPT(" ",99)),199,99))="","",IFERROR(VLOOKUP(--LEFT(TRIM(MID(SUBSTITUTE(G5,";",REPT(" ",99)),199,99)),FIND(":",TRIM(MID(SUBSTITUTE(G5,";",REPT(" ",99)),199,99)))-1),_Lookup!$A:$B,2,FALSE),"?")&amp;"×"&amp;MID(TRIM(MID(SUBSTITUTE(G5,";",REPT(" ",99)),199,99)),FIND(":",TRIM(MID(SUBSTITUTE(G5,";",REPT(" ",99)),199,99)))+1,99)),IF(TRIM(MID(SUBSTITUTE(G5,";",REPT(" ",99)),298,99))="","",IFERROR(VLOOKUP(--LEFT(TRIM(MID(SUBSTITUTE(G5,";",REPT(" ",99)),298,99)),FIND(":",TRIM(MID(SUBSTITUTE(G5,";",REPT(" ",99)),298,99)))-1),_Lookup!$A:$B,2,FALSE),"?")&amp;"×"&amp;MID(TRIM(MID(SUBSTITUTE(G5,";",REPT(" ",99)),298,99)),FIND(":",TRIM(MID(SUBSTITUTE(G5,";",REPT(" ",99)),298,99)))+1,99)),IF(TRIM(MID(SUBSTITUTE(G5,";",REPT(" ",99)),397,99))="","",IFERROR(VLOOKUP(--LEFT(TRIM(MID(SUBSTITUTE(G5,";",REPT(" ",99)),397,99)),FIND(":",TRIM(MID(SUBSTITUTE(G5,";",REPT(" ",99)),397,99)))-1),_Lookup!$A:$B,2,FALSE),"?")&amp;"×"&amp;MID(TRIM(MID(SUBSTITUTE(G5,";",REPT(" ",99)),397,99)),FIND(":",TRIM(MID(SUBSTITUTE(G5,";",REPT(" ",99)),397,99)))+1,99))))</f>
        <v/>
      </c>
    </row>
    <row r="6">
      <c r="C6" s="11">
        <f>IFERROR(VLOOKUP(B6,ItemData_Equipment!$A:$B,2,FALSE),"")</f>
        <v/>
      </c>
      <c r="H6" s="11">
        <f>IF(G6="","",TEXTJOIN("; ",TRUE,IF(TRIM(MID(SUBSTITUTE(G6,";",REPT(" ",99)),1,99))="","",IFERROR(VLOOKUP(--LEFT(TRIM(MID(SUBSTITUTE(G6,";",REPT(" ",99)),1,99)),FIND(":",TRIM(MID(SUBSTITUTE(G6,";",REPT(" ",99)),1,99)))-1),_Lookup!$A:$B,2,FALSE),"?")&amp;"×"&amp;MID(TRIM(MID(SUBSTITUTE(G6,";",REPT(" ",99)),1,99)),FIND(":",TRIM(MID(SUBSTITUTE(G6,";",REPT(" ",99)),1,99)))+1,99)),IF(TRIM(MID(SUBSTITUTE(G6,";",REPT(" ",99)),100,99))="","",IFERROR(VLOOKUP(--LEFT(TRIM(MID(SUBSTITUTE(G6,";",REPT(" ",99)),100,99)),FIND(":",TRIM(MID(SUBSTITUTE(G6,";",REPT(" ",99)),100,99)))-1),_Lookup!$A:$B,2,FALSE),"?")&amp;"×"&amp;MID(TRIM(MID(SUBSTITUTE(G6,";",REPT(" ",99)),100,99)),FIND(":",TRIM(MID(SUBSTITUTE(G6,";",REPT(" ",99)),100,99)))+1,99)),IF(TRIM(MID(SUBSTITUTE(G6,";",REPT(" ",99)),199,99))="","",IFERROR(VLOOKUP(--LEFT(TRIM(MID(SUBSTITUTE(G6,";",REPT(" ",99)),199,99)),FIND(":",TRIM(MID(SUBSTITUTE(G6,";",REPT(" ",99)),199,99)))-1),_Lookup!$A:$B,2,FALSE),"?")&amp;"×"&amp;MID(TRIM(MID(SUBSTITUTE(G6,";",REPT(" ",99)),199,99)),FIND(":",TRIM(MID(SUBSTITUTE(G6,";",REPT(" ",99)),199,99)))+1,99)),IF(TRIM(MID(SUBSTITUTE(G6,";",REPT(" ",99)),298,99))="","",IFERROR(VLOOKUP(--LEFT(TRIM(MID(SUBSTITUTE(G6,";",REPT(" ",99)),298,99)),FIND(":",TRIM(MID(SUBSTITUTE(G6,";",REPT(" ",99)),298,99)))-1),_Lookup!$A:$B,2,FALSE),"?")&amp;"×"&amp;MID(TRIM(MID(SUBSTITUTE(G6,";",REPT(" ",99)),298,99)),FIND(":",TRIM(MID(SUBSTITUTE(G6,";",REPT(" ",99)),298,99)))+1,99)),IF(TRIM(MID(SUBSTITUTE(G6,";",REPT(" ",99)),397,99))="","",IFERROR(VLOOKUP(--LEFT(TRIM(MID(SUBSTITUTE(G6,";",REPT(" ",99)),397,99)),FIND(":",TRIM(MID(SUBSTITUTE(G6,";",REPT(" ",99)),397,99)))-1),_Lookup!$A:$B,2,FALSE),"?")&amp;"×"&amp;MID(TRIM(MID(SUBSTITUTE(G6,";",REPT(" ",99)),397,99)),FIND(":",TRIM(MID(SUBSTITUTE(G6,";",REPT(" ",99)),397,99)))+1,99))))</f>
        <v/>
      </c>
    </row>
    <row r="7">
      <c r="C7" s="11">
        <f>IFERROR(VLOOKUP(B7,ItemData_Equipment!$A:$B,2,FALSE),"")</f>
        <v/>
      </c>
      <c r="H7" s="11">
        <f>IF(G7="","",TEXTJOIN("; ",TRUE,IF(TRIM(MID(SUBSTITUTE(G7,";",REPT(" ",99)),1,99))="","",IFERROR(VLOOKUP(--LEFT(TRIM(MID(SUBSTITUTE(G7,";",REPT(" ",99)),1,99)),FIND(":",TRIM(MID(SUBSTITUTE(G7,";",REPT(" ",99)),1,99)))-1),_Lookup!$A:$B,2,FALSE),"?")&amp;"×"&amp;MID(TRIM(MID(SUBSTITUTE(G7,";",REPT(" ",99)),1,99)),FIND(":",TRIM(MID(SUBSTITUTE(G7,";",REPT(" ",99)),1,99)))+1,99)),IF(TRIM(MID(SUBSTITUTE(G7,";",REPT(" ",99)),100,99))="","",IFERROR(VLOOKUP(--LEFT(TRIM(MID(SUBSTITUTE(G7,";",REPT(" ",99)),100,99)),FIND(":",TRIM(MID(SUBSTITUTE(G7,";",REPT(" ",99)),100,99)))-1),_Lookup!$A:$B,2,FALSE),"?")&amp;"×"&amp;MID(TRIM(MID(SUBSTITUTE(G7,";",REPT(" ",99)),100,99)),FIND(":",TRIM(MID(SUBSTITUTE(G7,";",REPT(" ",99)),100,99)))+1,99)),IF(TRIM(MID(SUBSTITUTE(G7,";",REPT(" ",99)),199,99))="","",IFERROR(VLOOKUP(--LEFT(TRIM(MID(SUBSTITUTE(G7,";",REPT(" ",99)),199,99)),FIND(":",TRIM(MID(SUBSTITUTE(G7,";",REPT(" ",99)),199,99)))-1),_Lookup!$A:$B,2,FALSE),"?")&amp;"×"&amp;MID(TRIM(MID(SUBSTITUTE(G7,";",REPT(" ",99)),199,99)),FIND(":",TRIM(MID(SUBSTITUTE(G7,";",REPT(" ",99)),199,99)))+1,99)),IF(TRIM(MID(SUBSTITUTE(G7,";",REPT(" ",99)),298,99))="","",IFERROR(VLOOKUP(--LEFT(TRIM(MID(SUBSTITUTE(G7,";",REPT(" ",99)),298,99)),FIND(":",TRIM(MID(SUBSTITUTE(G7,";",REPT(" ",99)),298,99)))-1),_Lookup!$A:$B,2,FALSE),"?")&amp;"×"&amp;MID(TRIM(MID(SUBSTITUTE(G7,";",REPT(" ",99)),298,99)),FIND(":",TRIM(MID(SUBSTITUTE(G7,";",REPT(" ",99)),298,99)))+1,99)),IF(TRIM(MID(SUBSTITUTE(G7,";",REPT(" ",99)),397,99))="","",IFERROR(VLOOKUP(--LEFT(TRIM(MID(SUBSTITUTE(G7,";",REPT(" ",99)),397,99)),FIND(":",TRIM(MID(SUBSTITUTE(G7,";",REPT(" ",99)),397,99)))-1),_Lookup!$A:$B,2,FALSE),"?")&amp;"×"&amp;MID(TRIM(MID(SUBSTITUTE(G7,";",REPT(" ",99)),397,99)),FIND(":",TRIM(MID(SUBSTITUTE(G7,";",REPT(" ",99)),397,99)))+1,99))))</f>
        <v/>
      </c>
    </row>
    <row r="8">
      <c r="C8" s="11">
        <f>IFERROR(VLOOKUP(B8,ItemData_Equipment!$A:$B,2,FALSE),"")</f>
        <v/>
      </c>
      <c r="H8" s="11">
        <f>IF(G8="","",TEXTJOIN("; ",TRUE,IF(TRIM(MID(SUBSTITUTE(G8,";",REPT(" ",99)),1,99))="","",IFERROR(VLOOKUP(--LEFT(TRIM(MID(SUBSTITUTE(G8,";",REPT(" ",99)),1,99)),FIND(":",TRIM(MID(SUBSTITUTE(G8,";",REPT(" ",99)),1,99)))-1),_Lookup!$A:$B,2,FALSE),"?")&amp;"×"&amp;MID(TRIM(MID(SUBSTITUTE(G8,";",REPT(" ",99)),1,99)),FIND(":",TRIM(MID(SUBSTITUTE(G8,";",REPT(" ",99)),1,99)))+1,99)),IF(TRIM(MID(SUBSTITUTE(G8,";",REPT(" ",99)),100,99))="","",IFERROR(VLOOKUP(--LEFT(TRIM(MID(SUBSTITUTE(G8,";",REPT(" ",99)),100,99)),FIND(":",TRIM(MID(SUBSTITUTE(G8,";",REPT(" ",99)),100,99)))-1),_Lookup!$A:$B,2,FALSE),"?")&amp;"×"&amp;MID(TRIM(MID(SUBSTITUTE(G8,";",REPT(" ",99)),100,99)),FIND(":",TRIM(MID(SUBSTITUTE(G8,";",REPT(" ",99)),100,99)))+1,99)),IF(TRIM(MID(SUBSTITUTE(G8,";",REPT(" ",99)),199,99))="","",IFERROR(VLOOKUP(--LEFT(TRIM(MID(SUBSTITUTE(G8,";",REPT(" ",99)),199,99)),FIND(":",TRIM(MID(SUBSTITUTE(G8,";",REPT(" ",99)),199,99)))-1),_Lookup!$A:$B,2,FALSE),"?")&amp;"×"&amp;MID(TRIM(MID(SUBSTITUTE(G8,";",REPT(" ",99)),199,99)),FIND(":",TRIM(MID(SUBSTITUTE(G8,";",REPT(" ",99)),199,99)))+1,99)),IF(TRIM(MID(SUBSTITUTE(G8,";",REPT(" ",99)),298,99))="","",IFERROR(VLOOKUP(--LEFT(TRIM(MID(SUBSTITUTE(G8,";",REPT(" ",99)),298,99)),FIND(":",TRIM(MID(SUBSTITUTE(G8,";",REPT(" ",99)),298,99)))-1),_Lookup!$A:$B,2,FALSE),"?")&amp;"×"&amp;MID(TRIM(MID(SUBSTITUTE(G8,";",REPT(" ",99)),298,99)),FIND(":",TRIM(MID(SUBSTITUTE(G8,";",REPT(" ",99)),298,99)))+1,99)),IF(TRIM(MID(SUBSTITUTE(G8,";",REPT(" ",99)),397,99))="","",IFERROR(VLOOKUP(--LEFT(TRIM(MID(SUBSTITUTE(G8,";",REPT(" ",99)),397,99)),FIND(":",TRIM(MID(SUBSTITUTE(G8,";",REPT(" ",99)),397,99)))-1),_Lookup!$A:$B,2,FALSE),"?")&amp;"×"&amp;MID(TRIM(MID(SUBSTITUTE(G8,";",REPT(" ",99)),397,99)),FIND(":",TRIM(MID(SUBSTITUTE(G8,";",REPT(" ",99)),397,99)))+1,99))))</f>
        <v/>
      </c>
    </row>
    <row r="9">
      <c r="C9" s="11">
        <f>IFERROR(VLOOKUP(B9,ItemData_Equipment!$A:$B,2,FALSE),"")</f>
        <v/>
      </c>
      <c r="H9" s="11">
        <f>IF(G9="","",TEXTJOIN("; ",TRUE,IF(TRIM(MID(SUBSTITUTE(G9,";",REPT(" ",99)),1,99))="","",IFERROR(VLOOKUP(--LEFT(TRIM(MID(SUBSTITUTE(G9,";",REPT(" ",99)),1,99)),FIND(":",TRIM(MID(SUBSTITUTE(G9,";",REPT(" ",99)),1,99)))-1),_Lookup!$A:$B,2,FALSE),"?")&amp;"×"&amp;MID(TRIM(MID(SUBSTITUTE(G9,";",REPT(" ",99)),1,99)),FIND(":",TRIM(MID(SUBSTITUTE(G9,";",REPT(" ",99)),1,99)))+1,99)),IF(TRIM(MID(SUBSTITUTE(G9,";",REPT(" ",99)),100,99))="","",IFERROR(VLOOKUP(--LEFT(TRIM(MID(SUBSTITUTE(G9,";",REPT(" ",99)),100,99)),FIND(":",TRIM(MID(SUBSTITUTE(G9,";",REPT(" ",99)),100,99)))-1),_Lookup!$A:$B,2,FALSE),"?")&amp;"×"&amp;MID(TRIM(MID(SUBSTITUTE(G9,";",REPT(" ",99)),100,99)),FIND(":",TRIM(MID(SUBSTITUTE(G9,";",REPT(" ",99)),100,99)))+1,99)),IF(TRIM(MID(SUBSTITUTE(G9,";",REPT(" ",99)),199,99))="","",IFERROR(VLOOKUP(--LEFT(TRIM(MID(SUBSTITUTE(G9,";",REPT(" ",99)),199,99)),FIND(":",TRIM(MID(SUBSTITUTE(G9,";",REPT(" ",99)),199,99)))-1),_Lookup!$A:$B,2,FALSE),"?")&amp;"×"&amp;MID(TRIM(MID(SUBSTITUTE(G9,";",REPT(" ",99)),199,99)),FIND(":",TRIM(MID(SUBSTITUTE(G9,";",REPT(" ",99)),199,99)))+1,99)),IF(TRIM(MID(SUBSTITUTE(G9,";",REPT(" ",99)),298,99))="","",IFERROR(VLOOKUP(--LEFT(TRIM(MID(SUBSTITUTE(G9,";",REPT(" ",99)),298,99)),FIND(":",TRIM(MID(SUBSTITUTE(G9,";",REPT(" ",99)),298,99)))-1),_Lookup!$A:$B,2,FALSE),"?")&amp;"×"&amp;MID(TRIM(MID(SUBSTITUTE(G9,";",REPT(" ",99)),298,99)),FIND(":",TRIM(MID(SUBSTITUTE(G9,";",REPT(" ",99)),298,99)))+1,99)),IF(TRIM(MID(SUBSTITUTE(G9,";",REPT(" ",99)),397,99))="","",IFERROR(VLOOKUP(--LEFT(TRIM(MID(SUBSTITUTE(G9,";",REPT(" ",99)),397,99)),FIND(":",TRIM(MID(SUBSTITUTE(G9,";",REPT(" ",99)),397,99)))-1),_Lookup!$A:$B,2,FALSE),"?")&amp;"×"&amp;MID(TRIM(MID(SUBSTITUTE(G9,";",REPT(" ",99)),397,99)),FIND(":",TRIM(MID(SUBSTITUTE(G9,";",REPT(" ",99)),397,99)))+1,99))))</f>
        <v/>
      </c>
    </row>
    <row r="10">
      <c r="C10" s="11">
        <f>IFERROR(VLOOKUP(B10,ItemData_Equipment!$A:$B,2,FALSE),"")</f>
        <v/>
      </c>
      <c r="H10" s="11">
        <f>IF(G10="","",TEXTJOIN("; ",TRUE,IF(TRIM(MID(SUBSTITUTE(G10,";",REPT(" ",99)),1,99))="","",IFERROR(VLOOKUP(--LEFT(TRIM(MID(SUBSTITUTE(G10,";",REPT(" ",99)),1,99)),FIND(":",TRIM(MID(SUBSTITUTE(G10,";",REPT(" ",99)),1,99)))-1),_Lookup!$A:$B,2,FALSE),"?")&amp;"×"&amp;MID(TRIM(MID(SUBSTITUTE(G10,";",REPT(" ",99)),1,99)),FIND(":",TRIM(MID(SUBSTITUTE(G10,";",REPT(" ",99)),1,99)))+1,99)),IF(TRIM(MID(SUBSTITUTE(G10,";",REPT(" ",99)),100,99))="","",IFERROR(VLOOKUP(--LEFT(TRIM(MID(SUBSTITUTE(G10,";",REPT(" ",99)),100,99)),FIND(":",TRIM(MID(SUBSTITUTE(G10,";",REPT(" ",99)),100,99)))-1),_Lookup!$A:$B,2,FALSE),"?")&amp;"×"&amp;MID(TRIM(MID(SUBSTITUTE(G10,";",REPT(" ",99)),100,99)),FIND(":",TRIM(MID(SUBSTITUTE(G10,";",REPT(" ",99)),100,99)))+1,99)),IF(TRIM(MID(SUBSTITUTE(G10,";",REPT(" ",99)),199,99))="","",IFERROR(VLOOKUP(--LEFT(TRIM(MID(SUBSTITUTE(G10,";",REPT(" ",99)),199,99)),FIND(":",TRIM(MID(SUBSTITUTE(G10,";",REPT(" ",99)),199,99)))-1),_Lookup!$A:$B,2,FALSE),"?")&amp;"×"&amp;MID(TRIM(MID(SUBSTITUTE(G10,";",REPT(" ",99)),199,99)),FIND(":",TRIM(MID(SUBSTITUTE(G10,";",REPT(" ",99)),199,99)))+1,99)),IF(TRIM(MID(SUBSTITUTE(G10,";",REPT(" ",99)),298,99))="","",IFERROR(VLOOKUP(--LEFT(TRIM(MID(SUBSTITUTE(G10,";",REPT(" ",99)),298,99)),FIND(":",TRIM(MID(SUBSTITUTE(G10,";",REPT(" ",99)),298,99)))-1),_Lookup!$A:$B,2,FALSE),"?")&amp;"×"&amp;MID(TRIM(MID(SUBSTITUTE(G10,";",REPT(" ",99)),298,99)),FIND(":",TRIM(MID(SUBSTITUTE(G10,";",REPT(" ",99)),298,99)))+1,99)),IF(TRIM(MID(SUBSTITUTE(G10,";",REPT(" ",99)),397,99))="","",IFERROR(VLOOKUP(--LEFT(TRIM(MID(SUBSTITUTE(G10,";",REPT(" ",99)),397,99)),FIND(":",TRIM(MID(SUBSTITUTE(G10,";",REPT(" ",99)),397,99)))-1),_Lookup!$A:$B,2,FALSE),"?")&amp;"×"&amp;MID(TRIM(MID(SUBSTITUTE(G10,";",REPT(" ",99)),397,99)),FIND(":",TRIM(MID(SUBSTITUTE(G10,";",REPT(" ",99)),397,99)))+1,99))))</f>
        <v/>
      </c>
    </row>
    <row r="11">
      <c r="C11" s="11">
        <f>IFERROR(VLOOKUP(B11,ItemData_Equipment!$A:$B,2,FALSE),"")</f>
        <v/>
      </c>
      <c r="H11" s="11">
        <f>IF(G11="","",TEXTJOIN("; ",TRUE,IF(TRIM(MID(SUBSTITUTE(G11,";",REPT(" ",99)),1,99))="","",IFERROR(VLOOKUP(--LEFT(TRIM(MID(SUBSTITUTE(G11,";",REPT(" ",99)),1,99)),FIND(":",TRIM(MID(SUBSTITUTE(G11,";",REPT(" ",99)),1,99)))-1),_Lookup!$A:$B,2,FALSE),"?")&amp;"×"&amp;MID(TRIM(MID(SUBSTITUTE(G11,";",REPT(" ",99)),1,99)),FIND(":",TRIM(MID(SUBSTITUTE(G11,";",REPT(" ",99)),1,99)))+1,99)),IF(TRIM(MID(SUBSTITUTE(G11,";",REPT(" ",99)),100,99))="","",IFERROR(VLOOKUP(--LEFT(TRIM(MID(SUBSTITUTE(G11,";",REPT(" ",99)),100,99)),FIND(":",TRIM(MID(SUBSTITUTE(G11,";",REPT(" ",99)),100,99)))-1),_Lookup!$A:$B,2,FALSE),"?")&amp;"×"&amp;MID(TRIM(MID(SUBSTITUTE(G11,";",REPT(" ",99)),100,99)),FIND(":",TRIM(MID(SUBSTITUTE(G11,";",REPT(" ",99)),100,99)))+1,99)),IF(TRIM(MID(SUBSTITUTE(G11,";",REPT(" ",99)),199,99))="","",IFERROR(VLOOKUP(--LEFT(TRIM(MID(SUBSTITUTE(G11,";",REPT(" ",99)),199,99)),FIND(":",TRIM(MID(SUBSTITUTE(G11,";",REPT(" ",99)),199,99)))-1),_Lookup!$A:$B,2,FALSE),"?")&amp;"×"&amp;MID(TRIM(MID(SUBSTITUTE(G11,";",REPT(" ",99)),199,99)),FIND(":",TRIM(MID(SUBSTITUTE(G11,";",REPT(" ",99)),199,99)))+1,99)),IF(TRIM(MID(SUBSTITUTE(G11,";",REPT(" ",99)),298,99))="","",IFERROR(VLOOKUP(--LEFT(TRIM(MID(SUBSTITUTE(G11,";",REPT(" ",99)),298,99)),FIND(":",TRIM(MID(SUBSTITUTE(G11,";",REPT(" ",99)),298,99)))-1),_Lookup!$A:$B,2,FALSE),"?")&amp;"×"&amp;MID(TRIM(MID(SUBSTITUTE(G11,";",REPT(" ",99)),298,99)),FIND(":",TRIM(MID(SUBSTITUTE(G11,";",REPT(" ",99)),298,99)))+1,99)),IF(TRIM(MID(SUBSTITUTE(G11,";",REPT(" ",99)),397,99))="","",IFERROR(VLOOKUP(--LEFT(TRIM(MID(SUBSTITUTE(G11,";",REPT(" ",99)),397,99)),FIND(":",TRIM(MID(SUBSTITUTE(G11,";",REPT(" ",99)),397,99)))-1),_Lookup!$A:$B,2,FALSE),"?")&amp;"×"&amp;MID(TRIM(MID(SUBSTITUTE(G11,";",REPT(" ",99)),397,99)),FIND(":",TRIM(MID(SUBSTITUTE(G11,";",REPT(" ",99)),397,99)))+1,99))))</f>
        <v/>
      </c>
    </row>
    <row r="12">
      <c r="C12" s="11">
        <f>IFERROR(VLOOKUP(B12,ItemData_Equipment!$A:$B,2,FALSE),"")</f>
        <v/>
      </c>
      <c r="H12" s="11">
        <f>IF(G12="","",TEXTJOIN("; ",TRUE,IF(TRIM(MID(SUBSTITUTE(G12,";",REPT(" ",99)),1,99))="","",IFERROR(VLOOKUP(--LEFT(TRIM(MID(SUBSTITUTE(G12,";",REPT(" ",99)),1,99)),FIND(":",TRIM(MID(SUBSTITUTE(G12,";",REPT(" ",99)),1,99)))-1),_Lookup!$A:$B,2,FALSE),"?")&amp;"×"&amp;MID(TRIM(MID(SUBSTITUTE(G12,";",REPT(" ",99)),1,99)),FIND(":",TRIM(MID(SUBSTITUTE(G12,";",REPT(" ",99)),1,99)))+1,99)),IF(TRIM(MID(SUBSTITUTE(G12,";",REPT(" ",99)),100,99))="","",IFERROR(VLOOKUP(--LEFT(TRIM(MID(SUBSTITUTE(G12,";",REPT(" ",99)),100,99)),FIND(":",TRIM(MID(SUBSTITUTE(G12,";",REPT(" ",99)),100,99)))-1),_Lookup!$A:$B,2,FALSE),"?")&amp;"×"&amp;MID(TRIM(MID(SUBSTITUTE(G12,";",REPT(" ",99)),100,99)),FIND(":",TRIM(MID(SUBSTITUTE(G12,";",REPT(" ",99)),100,99)))+1,99)),IF(TRIM(MID(SUBSTITUTE(G12,";",REPT(" ",99)),199,99))="","",IFERROR(VLOOKUP(--LEFT(TRIM(MID(SUBSTITUTE(G12,";",REPT(" ",99)),199,99)),FIND(":",TRIM(MID(SUBSTITUTE(G12,";",REPT(" ",99)),199,99)))-1),_Lookup!$A:$B,2,FALSE),"?")&amp;"×"&amp;MID(TRIM(MID(SUBSTITUTE(G12,";",REPT(" ",99)),199,99)),FIND(":",TRIM(MID(SUBSTITUTE(G12,";",REPT(" ",99)),199,99)))+1,99)),IF(TRIM(MID(SUBSTITUTE(G12,";",REPT(" ",99)),298,99))="","",IFERROR(VLOOKUP(--LEFT(TRIM(MID(SUBSTITUTE(G12,";",REPT(" ",99)),298,99)),FIND(":",TRIM(MID(SUBSTITUTE(G12,";",REPT(" ",99)),298,99)))-1),_Lookup!$A:$B,2,FALSE),"?")&amp;"×"&amp;MID(TRIM(MID(SUBSTITUTE(G12,";",REPT(" ",99)),298,99)),FIND(":",TRIM(MID(SUBSTITUTE(G12,";",REPT(" ",99)),298,99)))+1,99)),IF(TRIM(MID(SUBSTITUTE(G12,";",REPT(" ",99)),397,99))="","",IFERROR(VLOOKUP(--LEFT(TRIM(MID(SUBSTITUTE(G12,";",REPT(" ",99)),397,99)),FIND(":",TRIM(MID(SUBSTITUTE(G12,";",REPT(" ",99)),397,99)))-1),_Lookup!$A:$B,2,FALSE),"?")&amp;"×"&amp;MID(TRIM(MID(SUBSTITUTE(G12,";",REPT(" ",99)),397,99)),FIND(":",TRIM(MID(SUBSTITUTE(G12,";",REPT(" ",99)),397,99)))+1,99))))</f>
        <v/>
      </c>
    </row>
    <row r="13">
      <c r="C13" s="11">
        <f>IFERROR(VLOOKUP(B13,ItemData_Equipment!$A:$B,2,FALSE),"")</f>
        <v/>
      </c>
      <c r="H13" s="11">
        <f>IF(G13="","",TEXTJOIN("; ",TRUE,IF(TRIM(MID(SUBSTITUTE(G13,";",REPT(" ",99)),1,99))="","",IFERROR(VLOOKUP(--LEFT(TRIM(MID(SUBSTITUTE(G13,";",REPT(" ",99)),1,99)),FIND(":",TRIM(MID(SUBSTITUTE(G13,";",REPT(" ",99)),1,99)))-1),_Lookup!$A:$B,2,FALSE),"?")&amp;"×"&amp;MID(TRIM(MID(SUBSTITUTE(G13,";",REPT(" ",99)),1,99)),FIND(":",TRIM(MID(SUBSTITUTE(G13,";",REPT(" ",99)),1,99)))+1,99)),IF(TRIM(MID(SUBSTITUTE(G13,";",REPT(" ",99)),100,99))="","",IFERROR(VLOOKUP(--LEFT(TRIM(MID(SUBSTITUTE(G13,";",REPT(" ",99)),100,99)),FIND(":",TRIM(MID(SUBSTITUTE(G13,";",REPT(" ",99)),100,99)))-1),_Lookup!$A:$B,2,FALSE),"?")&amp;"×"&amp;MID(TRIM(MID(SUBSTITUTE(G13,";",REPT(" ",99)),100,99)),FIND(":",TRIM(MID(SUBSTITUTE(G13,";",REPT(" ",99)),100,99)))+1,99)),IF(TRIM(MID(SUBSTITUTE(G13,";",REPT(" ",99)),199,99))="","",IFERROR(VLOOKUP(--LEFT(TRIM(MID(SUBSTITUTE(G13,";",REPT(" ",99)),199,99)),FIND(":",TRIM(MID(SUBSTITUTE(G13,";",REPT(" ",99)),199,99)))-1),_Lookup!$A:$B,2,FALSE),"?")&amp;"×"&amp;MID(TRIM(MID(SUBSTITUTE(G13,";",REPT(" ",99)),199,99)),FIND(":",TRIM(MID(SUBSTITUTE(G13,";",REPT(" ",99)),199,99)))+1,99)),IF(TRIM(MID(SUBSTITUTE(G13,";",REPT(" ",99)),298,99))="","",IFERROR(VLOOKUP(--LEFT(TRIM(MID(SUBSTITUTE(G13,";",REPT(" ",99)),298,99)),FIND(":",TRIM(MID(SUBSTITUTE(G13,";",REPT(" ",99)),298,99)))-1),_Lookup!$A:$B,2,FALSE),"?")&amp;"×"&amp;MID(TRIM(MID(SUBSTITUTE(G13,";",REPT(" ",99)),298,99)),FIND(":",TRIM(MID(SUBSTITUTE(G13,";",REPT(" ",99)),298,99)))+1,99)),IF(TRIM(MID(SUBSTITUTE(G13,";",REPT(" ",99)),397,99))="","",IFERROR(VLOOKUP(--LEFT(TRIM(MID(SUBSTITUTE(G13,";",REPT(" ",99)),397,99)),FIND(":",TRIM(MID(SUBSTITUTE(G13,";",REPT(" ",99)),397,99)))-1),_Lookup!$A:$B,2,FALSE),"?")&amp;"×"&amp;MID(TRIM(MID(SUBSTITUTE(G13,";",REPT(" ",99)),397,99)),FIND(":",TRIM(MID(SUBSTITUTE(G13,";",REPT(" ",99)),397,99)))+1,99))))</f>
        <v/>
      </c>
    </row>
    <row r="14">
      <c r="C14" s="11">
        <f>IFERROR(VLOOKUP(B14,ItemData_Equipment!$A:$B,2,FALSE),"")</f>
        <v/>
      </c>
      <c r="H14" s="11">
        <f>IF(G14="","",TEXTJOIN("; ",TRUE,IF(TRIM(MID(SUBSTITUTE(G14,";",REPT(" ",99)),1,99))="","",IFERROR(VLOOKUP(--LEFT(TRIM(MID(SUBSTITUTE(G14,";",REPT(" ",99)),1,99)),FIND(":",TRIM(MID(SUBSTITUTE(G14,";",REPT(" ",99)),1,99)))-1),_Lookup!$A:$B,2,FALSE),"?")&amp;"×"&amp;MID(TRIM(MID(SUBSTITUTE(G14,";",REPT(" ",99)),1,99)),FIND(":",TRIM(MID(SUBSTITUTE(G14,";",REPT(" ",99)),1,99)))+1,99)),IF(TRIM(MID(SUBSTITUTE(G14,";",REPT(" ",99)),100,99))="","",IFERROR(VLOOKUP(--LEFT(TRIM(MID(SUBSTITUTE(G14,";",REPT(" ",99)),100,99)),FIND(":",TRIM(MID(SUBSTITUTE(G14,";",REPT(" ",99)),100,99)))-1),_Lookup!$A:$B,2,FALSE),"?")&amp;"×"&amp;MID(TRIM(MID(SUBSTITUTE(G14,";",REPT(" ",99)),100,99)),FIND(":",TRIM(MID(SUBSTITUTE(G14,";",REPT(" ",99)),100,99)))+1,99)),IF(TRIM(MID(SUBSTITUTE(G14,";",REPT(" ",99)),199,99))="","",IFERROR(VLOOKUP(--LEFT(TRIM(MID(SUBSTITUTE(G14,";",REPT(" ",99)),199,99)),FIND(":",TRIM(MID(SUBSTITUTE(G14,";",REPT(" ",99)),199,99)))-1),_Lookup!$A:$B,2,FALSE),"?")&amp;"×"&amp;MID(TRIM(MID(SUBSTITUTE(G14,";",REPT(" ",99)),199,99)),FIND(":",TRIM(MID(SUBSTITUTE(G14,";",REPT(" ",99)),199,99)))+1,99)),IF(TRIM(MID(SUBSTITUTE(G14,";",REPT(" ",99)),298,99))="","",IFERROR(VLOOKUP(--LEFT(TRIM(MID(SUBSTITUTE(G14,";",REPT(" ",99)),298,99)),FIND(":",TRIM(MID(SUBSTITUTE(G14,";",REPT(" ",99)),298,99)))-1),_Lookup!$A:$B,2,FALSE),"?")&amp;"×"&amp;MID(TRIM(MID(SUBSTITUTE(G14,";",REPT(" ",99)),298,99)),FIND(":",TRIM(MID(SUBSTITUTE(G14,";",REPT(" ",99)),298,99)))+1,99)),IF(TRIM(MID(SUBSTITUTE(G14,";",REPT(" ",99)),397,99))="","",IFERROR(VLOOKUP(--LEFT(TRIM(MID(SUBSTITUTE(G14,";",REPT(" ",99)),397,99)),FIND(":",TRIM(MID(SUBSTITUTE(G14,";",REPT(" ",99)),397,99)))-1),_Lookup!$A:$B,2,FALSE),"?")&amp;"×"&amp;MID(TRIM(MID(SUBSTITUTE(G14,";",REPT(" ",99)),397,99)),FIND(":",TRIM(MID(SUBSTITUTE(G14,";",REPT(" ",99)),397,99)))+1,99))))</f>
        <v/>
      </c>
    </row>
    <row r="15">
      <c r="C15" s="11">
        <f>IFERROR(VLOOKUP(B15,ItemData_Equipment!$A:$B,2,FALSE),"")</f>
        <v/>
      </c>
      <c r="H15" s="11">
        <f>IF(G15="","",TEXTJOIN("; ",TRUE,IF(TRIM(MID(SUBSTITUTE(G15,";",REPT(" ",99)),1,99))="","",IFERROR(VLOOKUP(--LEFT(TRIM(MID(SUBSTITUTE(G15,";",REPT(" ",99)),1,99)),FIND(":",TRIM(MID(SUBSTITUTE(G15,";",REPT(" ",99)),1,99)))-1),_Lookup!$A:$B,2,FALSE),"?")&amp;"×"&amp;MID(TRIM(MID(SUBSTITUTE(G15,";",REPT(" ",99)),1,99)),FIND(":",TRIM(MID(SUBSTITUTE(G15,";",REPT(" ",99)),1,99)))+1,99)),IF(TRIM(MID(SUBSTITUTE(G15,";",REPT(" ",99)),100,99))="","",IFERROR(VLOOKUP(--LEFT(TRIM(MID(SUBSTITUTE(G15,";",REPT(" ",99)),100,99)),FIND(":",TRIM(MID(SUBSTITUTE(G15,";",REPT(" ",99)),100,99)))-1),_Lookup!$A:$B,2,FALSE),"?")&amp;"×"&amp;MID(TRIM(MID(SUBSTITUTE(G15,";",REPT(" ",99)),100,99)),FIND(":",TRIM(MID(SUBSTITUTE(G15,";",REPT(" ",99)),100,99)))+1,99)),IF(TRIM(MID(SUBSTITUTE(G15,";",REPT(" ",99)),199,99))="","",IFERROR(VLOOKUP(--LEFT(TRIM(MID(SUBSTITUTE(G15,";",REPT(" ",99)),199,99)),FIND(":",TRIM(MID(SUBSTITUTE(G15,";",REPT(" ",99)),199,99)))-1),_Lookup!$A:$B,2,FALSE),"?")&amp;"×"&amp;MID(TRIM(MID(SUBSTITUTE(G15,";",REPT(" ",99)),199,99)),FIND(":",TRIM(MID(SUBSTITUTE(G15,";",REPT(" ",99)),199,99)))+1,99)),IF(TRIM(MID(SUBSTITUTE(G15,";",REPT(" ",99)),298,99))="","",IFERROR(VLOOKUP(--LEFT(TRIM(MID(SUBSTITUTE(G15,";",REPT(" ",99)),298,99)),FIND(":",TRIM(MID(SUBSTITUTE(G15,";",REPT(" ",99)),298,99)))-1),_Lookup!$A:$B,2,FALSE),"?")&amp;"×"&amp;MID(TRIM(MID(SUBSTITUTE(G15,";",REPT(" ",99)),298,99)),FIND(":",TRIM(MID(SUBSTITUTE(G15,";",REPT(" ",99)),298,99)))+1,99)),IF(TRIM(MID(SUBSTITUTE(G15,";",REPT(" ",99)),397,99))="","",IFERROR(VLOOKUP(--LEFT(TRIM(MID(SUBSTITUTE(G15,";",REPT(" ",99)),397,99)),FIND(":",TRIM(MID(SUBSTITUTE(G15,";",REPT(" ",99)),397,99)))-1),_Lookup!$A:$B,2,FALSE),"?")&amp;"×"&amp;MID(TRIM(MID(SUBSTITUTE(G15,";",REPT(" ",99)),397,99)),FIND(":",TRIM(MID(SUBSTITUTE(G15,";",REPT(" ",99)),397,99)))+1,99))))</f>
        <v/>
      </c>
    </row>
    <row r="16">
      <c r="C16" s="11">
        <f>IFERROR(VLOOKUP(B16,ItemData_Equipment!$A:$B,2,FALSE),"")</f>
        <v/>
      </c>
      <c r="H16" s="11">
        <f>IF(G16="","",TEXTJOIN("; ",TRUE,IF(TRIM(MID(SUBSTITUTE(G16,";",REPT(" ",99)),1,99))="","",IFERROR(VLOOKUP(--LEFT(TRIM(MID(SUBSTITUTE(G16,";",REPT(" ",99)),1,99)),FIND(":",TRIM(MID(SUBSTITUTE(G16,";",REPT(" ",99)),1,99)))-1),_Lookup!$A:$B,2,FALSE),"?")&amp;"×"&amp;MID(TRIM(MID(SUBSTITUTE(G16,";",REPT(" ",99)),1,99)),FIND(":",TRIM(MID(SUBSTITUTE(G16,";",REPT(" ",99)),1,99)))+1,99)),IF(TRIM(MID(SUBSTITUTE(G16,";",REPT(" ",99)),100,99))="","",IFERROR(VLOOKUP(--LEFT(TRIM(MID(SUBSTITUTE(G16,";",REPT(" ",99)),100,99)),FIND(":",TRIM(MID(SUBSTITUTE(G16,";",REPT(" ",99)),100,99)))-1),_Lookup!$A:$B,2,FALSE),"?")&amp;"×"&amp;MID(TRIM(MID(SUBSTITUTE(G16,";",REPT(" ",99)),100,99)),FIND(":",TRIM(MID(SUBSTITUTE(G16,";",REPT(" ",99)),100,99)))+1,99)),IF(TRIM(MID(SUBSTITUTE(G16,";",REPT(" ",99)),199,99))="","",IFERROR(VLOOKUP(--LEFT(TRIM(MID(SUBSTITUTE(G16,";",REPT(" ",99)),199,99)),FIND(":",TRIM(MID(SUBSTITUTE(G16,";",REPT(" ",99)),199,99)))-1),_Lookup!$A:$B,2,FALSE),"?")&amp;"×"&amp;MID(TRIM(MID(SUBSTITUTE(G16,";",REPT(" ",99)),199,99)),FIND(":",TRIM(MID(SUBSTITUTE(G16,";",REPT(" ",99)),199,99)))+1,99)),IF(TRIM(MID(SUBSTITUTE(G16,";",REPT(" ",99)),298,99))="","",IFERROR(VLOOKUP(--LEFT(TRIM(MID(SUBSTITUTE(G16,";",REPT(" ",99)),298,99)),FIND(":",TRIM(MID(SUBSTITUTE(G16,";",REPT(" ",99)),298,99)))-1),_Lookup!$A:$B,2,FALSE),"?")&amp;"×"&amp;MID(TRIM(MID(SUBSTITUTE(G16,";",REPT(" ",99)),298,99)),FIND(":",TRIM(MID(SUBSTITUTE(G16,";",REPT(" ",99)),298,99)))+1,99)),IF(TRIM(MID(SUBSTITUTE(G16,";",REPT(" ",99)),397,99))="","",IFERROR(VLOOKUP(--LEFT(TRIM(MID(SUBSTITUTE(G16,";",REPT(" ",99)),397,99)),FIND(":",TRIM(MID(SUBSTITUTE(G16,";",REPT(" ",99)),397,99)))-1),_Lookup!$A:$B,2,FALSE),"?")&amp;"×"&amp;MID(TRIM(MID(SUBSTITUTE(G16,";",REPT(" ",99)),397,99)),FIND(":",TRIM(MID(SUBSTITUTE(G16,";",REPT(" ",99)),397,99)))+1,99))))</f>
        <v/>
      </c>
    </row>
    <row r="17">
      <c r="C17" s="11">
        <f>IFERROR(VLOOKUP(B17,ItemData_Equipment!$A:$B,2,FALSE),"")</f>
        <v/>
      </c>
      <c r="H17" s="11">
        <f>IF(G17="","",TEXTJOIN("; ",TRUE,IF(TRIM(MID(SUBSTITUTE(G17,";",REPT(" ",99)),1,99))="","",IFERROR(VLOOKUP(--LEFT(TRIM(MID(SUBSTITUTE(G17,";",REPT(" ",99)),1,99)),FIND(":",TRIM(MID(SUBSTITUTE(G17,";",REPT(" ",99)),1,99)))-1),_Lookup!$A:$B,2,FALSE),"?")&amp;"×"&amp;MID(TRIM(MID(SUBSTITUTE(G17,";",REPT(" ",99)),1,99)),FIND(":",TRIM(MID(SUBSTITUTE(G17,";",REPT(" ",99)),1,99)))+1,99)),IF(TRIM(MID(SUBSTITUTE(G17,";",REPT(" ",99)),100,99))="","",IFERROR(VLOOKUP(--LEFT(TRIM(MID(SUBSTITUTE(G17,";",REPT(" ",99)),100,99)),FIND(":",TRIM(MID(SUBSTITUTE(G17,";",REPT(" ",99)),100,99)))-1),_Lookup!$A:$B,2,FALSE),"?")&amp;"×"&amp;MID(TRIM(MID(SUBSTITUTE(G17,";",REPT(" ",99)),100,99)),FIND(":",TRIM(MID(SUBSTITUTE(G17,";",REPT(" ",99)),100,99)))+1,99)),IF(TRIM(MID(SUBSTITUTE(G17,";",REPT(" ",99)),199,99))="","",IFERROR(VLOOKUP(--LEFT(TRIM(MID(SUBSTITUTE(G17,";",REPT(" ",99)),199,99)),FIND(":",TRIM(MID(SUBSTITUTE(G17,";",REPT(" ",99)),199,99)))-1),_Lookup!$A:$B,2,FALSE),"?")&amp;"×"&amp;MID(TRIM(MID(SUBSTITUTE(G17,";",REPT(" ",99)),199,99)),FIND(":",TRIM(MID(SUBSTITUTE(G17,";",REPT(" ",99)),199,99)))+1,99)),IF(TRIM(MID(SUBSTITUTE(G17,";",REPT(" ",99)),298,99))="","",IFERROR(VLOOKUP(--LEFT(TRIM(MID(SUBSTITUTE(G17,";",REPT(" ",99)),298,99)),FIND(":",TRIM(MID(SUBSTITUTE(G17,";",REPT(" ",99)),298,99)))-1),_Lookup!$A:$B,2,FALSE),"?")&amp;"×"&amp;MID(TRIM(MID(SUBSTITUTE(G17,";",REPT(" ",99)),298,99)),FIND(":",TRIM(MID(SUBSTITUTE(G17,";",REPT(" ",99)),298,99)))+1,99)),IF(TRIM(MID(SUBSTITUTE(G17,";",REPT(" ",99)),397,99))="","",IFERROR(VLOOKUP(--LEFT(TRIM(MID(SUBSTITUTE(G17,";",REPT(" ",99)),397,99)),FIND(":",TRIM(MID(SUBSTITUTE(G17,";",REPT(" ",99)),397,99)))-1),_Lookup!$A:$B,2,FALSE),"?")&amp;"×"&amp;MID(TRIM(MID(SUBSTITUTE(G17,";",REPT(" ",99)),397,99)),FIND(":",TRIM(MID(SUBSTITUTE(G17,";",REPT(" ",99)),397,99)))+1,99))))</f>
        <v/>
      </c>
    </row>
    <row r="18">
      <c r="C18" s="11">
        <f>IFERROR(VLOOKUP(B18,ItemData_Equipment!$A:$B,2,FALSE),"")</f>
        <v/>
      </c>
      <c r="H18" s="11">
        <f>IF(G18="","",TEXTJOIN("; ",TRUE,IF(TRIM(MID(SUBSTITUTE(G18,";",REPT(" ",99)),1,99))="","",IFERROR(VLOOKUP(--LEFT(TRIM(MID(SUBSTITUTE(G18,";",REPT(" ",99)),1,99)),FIND(":",TRIM(MID(SUBSTITUTE(G18,";",REPT(" ",99)),1,99)))-1),_Lookup!$A:$B,2,FALSE),"?")&amp;"×"&amp;MID(TRIM(MID(SUBSTITUTE(G18,";",REPT(" ",99)),1,99)),FIND(":",TRIM(MID(SUBSTITUTE(G18,";",REPT(" ",99)),1,99)))+1,99)),IF(TRIM(MID(SUBSTITUTE(G18,";",REPT(" ",99)),100,99))="","",IFERROR(VLOOKUP(--LEFT(TRIM(MID(SUBSTITUTE(G18,";",REPT(" ",99)),100,99)),FIND(":",TRIM(MID(SUBSTITUTE(G18,";",REPT(" ",99)),100,99)))-1),_Lookup!$A:$B,2,FALSE),"?")&amp;"×"&amp;MID(TRIM(MID(SUBSTITUTE(G18,";",REPT(" ",99)),100,99)),FIND(":",TRIM(MID(SUBSTITUTE(G18,";",REPT(" ",99)),100,99)))+1,99)),IF(TRIM(MID(SUBSTITUTE(G18,";",REPT(" ",99)),199,99))="","",IFERROR(VLOOKUP(--LEFT(TRIM(MID(SUBSTITUTE(G18,";",REPT(" ",99)),199,99)),FIND(":",TRIM(MID(SUBSTITUTE(G18,";",REPT(" ",99)),199,99)))-1),_Lookup!$A:$B,2,FALSE),"?")&amp;"×"&amp;MID(TRIM(MID(SUBSTITUTE(G18,";",REPT(" ",99)),199,99)),FIND(":",TRIM(MID(SUBSTITUTE(G18,";",REPT(" ",99)),199,99)))+1,99)),IF(TRIM(MID(SUBSTITUTE(G18,";",REPT(" ",99)),298,99))="","",IFERROR(VLOOKUP(--LEFT(TRIM(MID(SUBSTITUTE(G18,";",REPT(" ",99)),298,99)),FIND(":",TRIM(MID(SUBSTITUTE(G18,";",REPT(" ",99)),298,99)))-1),_Lookup!$A:$B,2,FALSE),"?")&amp;"×"&amp;MID(TRIM(MID(SUBSTITUTE(G18,";",REPT(" ",99)),298,99)),FIND(":",TRIM(MID(SUBSTITUTE(G18,";",REPT(" ",99)),298,99)))+1,99)),IF(TRIM(MID(SUBSTITUTE(G18,";",REPT(" ",99)),397,99))="","",IFERROR(VLOOKUP(--LEFT(TRIM(MID(SUBSTITUTE(G18,";",REPT(" ",99)),397,99)),FIND(":",TRIM(MID(SUBSTITUTE(G18,";",REPT(" ",99)),397,99)))-1),_Lookup!$A:$B,2,FALSE),"?")&amp;"×"&amp;MID(TRIM(MID(SUBSTITUTE(G18,";",REPT(" ",99)),397,99)),FIND(":",TRIM(MID(SUBSTITUTE(G18,";",REPT(" ",99)),397,99)))+1,99))))</f>
        <v/>
      </c>
    </row>
    <row r="19">
      <c r="C19" s="11">
        <f>IFERROR(VLOOKUP(B19,ItemData_Equipment!$A:$B,2,FALSE),"")</f>
        <v/>
      </c>
      <c r="H19" s="11">
        <f>IF(G19="","",TEXTJOIN("; ",TRUE,IF(TRIM(MID(SUBSTITUTE(G19,";",REPT(" ",99)),1,99))="","",IFERROR(VLOOKUP(--LEFT(TRIM(MID(SUBSTITUTE(G19,";",REPT(" ",99)),1,99)),FIND(":",TRIM(MID(SUBSTITUTE(G19,";",REPT(" ",99)),1,99)))-1),_Lookup!$A:$B,2,FALSE),"?")&amp;"×"&amp;MID(TRIM(MID(SUBSTITUTE(G19,";",REPT(" ",99)),1,99)),FIND(":",TRIM(MID(SUBSTITUTE(G19,";",REPT(" ",99)),1,99)))+1,99)),IF(TRIM(MID(SUBSTITUTE(G19,";",REPT(" ",99)),100,99))="","",IFERROR(VLOOKUP(--LEFT(TRIM(MID(SUBSTITUTE(G19,";",REPT(" ",99)),100,99)),FIND(":",TRIM(MID(SUBSTITUTE(G19,";",REPT(" ",99)),100,99)))-1),_Lookup!$A:$B,2,FALSE),"?")&amp;"×"&amp;MID(TRIM(MID(SUBSTITUTE(G19,";",REPT(" ",99)),100,99)),FIND(":",TRIM(MID(SUBSTITUTE(G19,";",REPT(" ",99)),100,99)))+1,99)),IF(TRIM(MID(SUBSTITUTE(G19,";",REPT(" ",99)),199,99))="","",IFERROR(VLOOKUP(--LEFT(TRIM(MID(SUBSTITUTE(G19,";",REPT(" ",99)),199,99)),FIND(":",TRIM(MID(SUBSTITUTE(G19,";",REPT(" ",99)),199,99)))-1),_Lookup!$A:$B,2,FALSE),"?")&amp;"×"&amp;MID(TRIM(MID(SUBSTITUTE(G19,";",REPT(" ",99)),199,99)),FIND(":",TRIM(MID(SUBSTITUTE(G19,";",REPT(" ",99)),199,99)))+1,99)),IF(TRIM(MID(SUBSTITUTE(G19,";",REPT(" ",99)),298,99))="","",IFERROR(VLOOKUP(--LEFT(TRIM(MID(SUBSTITUTE(G19,";",REPT(" ",99)),298,99)),FIND(":",TRIM(MID(SUBSTITUTE(G19,";",REPT(" ",99)),298,99)))-1),_Lookup!$A:$B,2,FALSE),"?")&amp;"×"&amp;MID(TRIM(MID(SUBSTITUTE(G19,";",REPT(" ",99)),298,99)),FIND(":",TRIM(MID(SUBSTITUTE(G19,";",REPT(" ",99)),298,99)))+1,99)),IF(TRIM(MID(SUBSTITUTE(G19,";",REPT(" ",99)),397,99))="","",IFERROR(VLOOKUP(--LEFT(TRIM(MID(SUBSTITUTE(G19,";",REPT(" ",99)),397,99)),FIND(":",TRIM(MID(SUBSTITUTE(G19,";",REPT(" ",99)),397,99)))-1),_Lookup!$A:$B,2,FALSE),"?")&amp;"×"&amp;MID(TRIM(MID(SUBSTITUTE(G19,";",REPT(" ",99)),397,99)),FIND(":",TRIM(MID(SUBSTITUTE(G19,";",REPT(" ",99)),397,99)))+1,99))))</f>
        <v/>
      </c>
    </row>
    <row r="20">
      <c r="C20" s="11">
        <f>IFERROR(VLOOKUP(B20,ItemData_Equipment!$A:$B,2,FALSE),"")</f>
        <v/>
      </c>
      <c r="H20" s="11">
        <f>IF(G20="","",TEXTJOIN("; ",TRUE,IF(TRIM(MID(SUBSTITUTE(G20,";",REPT(" ",99)),1,99))="","",IFERROR(VLOOKUP(--LEFT(TRIM(MID(SUBSTITUTE(G20,";",REPT(" ",99)),1,99)),FIND(":",TRIM(MID(SUBSTITUTE(G20,";",REPT(" ",99)),1,99)))-1),_Lookup!$A:$B,2,FALSE),"?")&amp;"×"&amp;MID(TRIM(MID(SUBSTITUTE(G20,";",REPT(" ",99)),1,99)),FIND(":",TRIM(MID(SUBSTITUTE(G20,";",REPT(" ",99)),1,99)))+1,99)),IF(TRIM(MID(SUBSTITUTE(G20,";",REPT(" ",99)),100,99))="","",IFERROR(VLOOKUP(--LEFT(TRIM(MID(SUBSTITUTE(G20,";",REPT(" ",99)),100,99)),FIND(":",TRIM(MID(SUBSTITUTE(G20,";",REPT(" ",99)),100,99)))-1),_Lookup!$A:$B,2,FALSE),"?")&amp;"×"&amp;MID(TRIM(MID(SUBSTITUTE(G20,";",REPT(" ",99)),100,99)),FIND(":",TRIM(MID(SUBSTITUTE(G20,";",REPT(" ",99)),100,99)))+1,99)),IF(TRIM(MID(SUBSTITUTE(G20,";",REPT(" ",99)),199,99))="","",IFERROR(VLOOKUP(--LEFT(TRIM(MID(SUBSTITUTE(G20,";",REPT(" ",99)),199,99)),FIND(":",TRIM(MID(SUBSTITUTE(G20,";",REPT(" ",99)),199,99)))-1),_Lookup!$A:$B,2,FALSE),"?")&amp;"×"&amp;MID(TRIM(MID(SUBSTITUTE(G20,";",REPT(" ",99)),199,99)),FIND(":",TRIM(MID(SUBSTITUTE(G20,";",REPT(" ",99)),199,99)))+1,99)),IF(TRIM(MID(SUBSTITUTE(G20,";",REPT(" ",99)),298,99))="","",IFERROR(VLOOKUP(--LEFT(TRIM(MID(SUBSTITUTE(G20,";",REPT(" ",99)),298,99)),FIND(":",TRIM(MID(SUBSTITUTE(G20,";",REPT(" ",99)),298,99)))-1),_Lookup!$A:$B,2,FALSE),"?")&amp;"×"&amp;MID(TRIM(MID(SUBSTITUTE(G20,";",REPT(" ",99)),298,99)),FIND(":",TRIM(MID(SUBSTITUTE(G20,";",REPT(" ",99)),298,99)))+1,99)),IF(TRIM(MID(SUBSTITUTE(G20,";",REPT(" ",99)),397,99))="","",IFERROR(VLOOKUP(--LEFT(TRIM(MID(SUBSTITUTE(G20,";",REPT(" ",99)),397,99)),FIND(":",TRIM(MID(SUBSTITUTE(G20,";",REPT(" ",99)),397,99)))-1),_Lookup!$A:$B,2,FALSE),"?")&amp;"×"&amp;MID(TRIM(MID(SUBSTITUTE(G20,";",REPT(" ",99)),397,99)),FIND(":",TRIM(MID(SUBSTITUTE(G20,";",REPT(" ",99)),397,99)))+1,99))))</f>
        <v/>
      </c>
    </row>
    <row r="21">
      <c r="C21" s="11">
        <f>IFERROR(VLOOKUP(B21,ItemData_Equipment!$A:$B,2,FALSE),"")</f>
        <v/>
      </c>
      <c r="H21" s="11">
        <f>IF(G21="","",TEXTJOIN("; ",TRUE,IF(TRIM(MID(SUBSTITUTE(G21,";",REPT(" ",99)),1,99))="","",IFERROR(VLOOKUP(--LEFT(TRIM(MID(SUBSTITUTE(G21,";",REPT(" ",99)),1,99)),FIND(":",TRIM(MID(SUBSTITUTE(G21,";",REPT(" ",99)),1,99)))-1),_Lookup!$A:$B,2,FALSE),"?")&amp;"×"&amp;MID(TRIM(MID(SUBSTITUTE(G21,";",REPT(" ",99)),1,99)),FIND(":",TRIM(MID(SUBSTITUTE(G21,";",REPT(" ",99)),1,99)))+1,99)),IF(TRIM(MID(SUBSTITUTE(G21,";",REPT(" ",99)),100,99))="","",IFERROR(VLOOKUP(--LEFT(TRIM(MID(SUBSTITUTE(G21,";",REPT(" ",99)),100,99)),FIND(":",TRIM(MID(SUBSTITUTE(G21,";",REPT(" ",99)),100,99)))-1),_Lookup!$A:$B,2,FALSE),"?")&amp;"×"&amp;MID(TRIM(MID(SUBSTITUTE(G21,";",REPT(" ",99)),100,99)),FIND(":",TRIM(MID(SUBSTITUTE(G21,";",REPT(" ",99)),100,99)))+1,99)),IF(TRIM(MID(SUBSTITUTE(G21,";",REPT(" ",99)),199,99))="","",IFERROR(VLOOKUP(--LEFT(TRIM(MID(SUBSTITUTE(G21,";",REPT(" ",99)),199,99)),FIND(":",TRIM(MID(SUBSTITUTE(G21,";",REPT(" ",99)),199,99)))-1),_Lookup!$A:$B,2,FALSE),"?")&amp;"×"&amp;MID(TRIM(MID(SUBSTITUTE(G21,";",REPT(" ",99)),199,99)),FIND(":",TRIM(MID(SUBSTITUTE(G21,";",REPT(" ",99)),199,99)))+1,99)),IF(TRIM(MID(SUBSTITUTE(G21,";",REPT(" ",99)),298,99))="","",IFERROR(VLOOKUP(--LEFT(TRIM(MID(SUBSTITUTE(G21,";",REPT(" ",99)),298,99)),FIND(":",TRIM(MID(SUBSTITUTE(G21,";",REPT(" ",99)),298,99)))-1),_Lookup!$A:$B,2,FALSE),"?")&amp;"×"&amp;MID(TRIM(MID(SUBSTITUTE(G21,";",REPT(" ",99)),298,99)),FIND(":",TRIM(MID(SUBSTITUTE(G21,";",REPT(" ",99)),298,99)))+1,99)),IF(TRIM(MID(SUBSTITUTE(G21,";",REPT(" ",99)),397,99))="","",IFERROR(VLOOKUP(--LEFT(TRIM(MID(SUBSTITUTE(G21,";",REPT(" ",99)),397,99)),FIND(":",TRIM(MID(SUBSTITUTE(G21,";",REPT(" ",99)),397,99)))-1),_Lookup!$A:$B,2,FALSE),"?")&amp;"×"&amp;MID(TRIM(MID(SUBSTITUTE(G21,";",REPT(" ",99)),397,99)),FIND(":",TRIM(MID(SUBSTITUTE(G21,";",REPT(" ",99)),397,99)))+1,99))))</f>
        <v/>
      </c>
    </row>
    <row r="22">
      <c r="C22" s="11">
        <f>IFERROR(VLOOKUP(B22,ItemData_Equipment!$A:$B,2,FALSE),"")</f>
        <v/>
      </c>
      <c r="H22" s="11">
        <f>IF(G22="","",TEXTJOIN("; ",TRUE,IF(TRIM(MID(SUBSTITUTE(G22,";",REPT(" ",99)),1,99))="","",IFERROR(VLOOKUP(--LEFT(TRIM(MID(SUBSTITUTE(G22,";",REPT(" ",99)),1,99)),FIND(":",TRIM(MID(SUBSTITUTE(G22,";",REPT(" ",99)),1,99)))-1),_Lookup!$A:$B,2,FALSE),"?")&amp;"×"&amp;MID(TRIM(MID(SUBSTITUTE(G22,";",REPT(" ",99)),1,99)),FIND(":",TRIM(MID(SUBSTITUTE(G22,";",REPT(" ",99)),1,99)))+1,99)),IF(TRIM(MID(SUBSTITUTE(G22,";",REPT(" ",99)),100,99))="","",IFERROR(VLOOKUP(--LEFT(TRIM(MID(SUBSTITUTE(G22,";",REPT(" ",99)),100,99)),FIND(":",TRIM(MID(SUBSTITUTE(G22,";",REPT(" ",99)),100,99)))-1),_Lookup!$A:$B,2,FALSE),"?")&amp;"×"&amp;MID(TRIM(MID(SUBSTITUTE(G22,";",REPT(" ",99)),100,99)),FIND(":",TRIM(MID(SUBSTITUTE(G22,";",REPT(" ",99)),100,99)))+1,99)),IF(TRIM(MID(SUBSTITUTE(G22,";",REPT(" ",99)),199,99))="","",IFERROR(VLOOKUP(--LEFT(TRIM(MID(SUBSTITUTE(G22,";",REPT(" ",99)),199,99)),FIND(":",TRIM(MID(SUBSTITUTE(G22,";",REPT(" ",99)),199,99)))-1),_Lookup!$A:$B,2,FALSE),"?")&amp;"×"&amp;MID(TRIM(MID(SUBSTITUTE(G22,";",REPT(" ",99)),199,99)),FIND(":",TRIM(MID(SUBSTITUTE(G22,";",REPT(" ",99)),199,99)))+1,99)),IF(TRIM(MID(SUBSTITUTE(G22,";",REPT(" ",99)),298,99))="","",IFERROR(VLOOKUP(--LEFT(TRIM(MID(SUBSTITUTE(G22,";",REPT(" ",99)),298,99)),FIND(":",TRIM(MID(SUBSTITUTE(G22,";",REPT(" ",99)),298,99)))-1),_Lookup!$A:$B,2,FALSE),"?")&amp;"×"&amp;MID(TRIM(MID(SUBSTITUTE(G22,";",REPT(" ",99)),298,99)),FIND(":",TRIM(MID(SUBSTITUTE(G22,";",REPT(" ",99)),298,99)))+1,99)),IF(TRIM(MID(SUBSTITUTE(G22,";",REPT(" ",99)),397,99))="","",IFERROR(VLOOKUP(--LEFT(TRIM(MID(SUBSTITUTE(G22,";",REPT(" ",99)),397,99)),FIND(":",TRIM(MID(SUBSTITUTE(G22,";",REPT(" ",99)),397,99)))-1),_Lookup!$A:$B,2,FALSE),"?")&amp;"×"&amp;MID(TRIM(MID(SUBSTITUTE(G22,";",REPT(" ",99)),397,99)),FIND(":",TRIM(MID(SUBSTITUTE(G22,";",REPT(" ",99)),397,99)))+1,99))))</f>
        <v/>
      </c>
    </row>
    <row r="23">
      <c r="C23" s="11">
        <f>IFERROR(VLOOKUP(B23,ItemData_Equipment!$A:$B,2,FALSE),"")</f>
        <v/>
      </c>
      <c r="H23" s="11">
        <f>IF(G23="","",TEXTJOIN("; ",TRUE,IF(TRIM(MID(SUBSTITUTE(G23,";",REPT(" ",99)),1,99))="","",IFERROR(VLOOKUP(--LEFT(TRIM(MID(SUBSTITUTE(G23,";",REPT(" ",99)),1,99)),FIND(":",TRIM(MID(SUBSTITUTE(G23,";",REPT(" ",99)),1,99)))-1),_Lookup!$A:$B,2,FALSE),"?")&amp;"×"&amp;MID(TRIM(MID(SUBSTITUTE(G23,";",REPT(" ",99)),1,99)),FIND(":",TRIM(MID(SUBSTITUTE(G23,";",REPT(" ",99)),1,99)))+1,99)),IF(TRIM(MID(SUBSTITUTE(G23,";",REPT(" ",99)),100,99))="","",IFERROR(VLOOKUP(--LEFT(TRIM(MID(SUBSTITUTE(G23,";",REPT(" ",99)),100,99)),FIND(":",TRIM(MID(SUBSTITUTE(G23,";",REPT(" ",99)),100,99)))-1),_Lookup!$A:$B,2,FALSE),"?")&amp;"×"&amp;MID(TRIM(MID(SUBSTITUTE(G23,";",REPT(" ",99)),100,99)),FIND(":",TRIM(MID(SUBSTITUTE(G23,";",REPT(" ",99)),100,99)))+1,99)),IF(TRIM(MID(SUBSTITUTE(G23,";",REPT(" ",99)),199,99))="","",IFERROR(VLOOKUP(--LEFT(TRIM(MID(SUBSTITUTE(G23,";",REPT(" ",99)),199,99)),FIND(":",TRIM(MID(SUBSTITUTE(G23,";",REPT(" ",99)),199,99)))-1),_Lookup!$A:$B,2,FALSE),"?")&amp;"×"&amp;MID(TRIM(MID(SUBSTITUTE(G23,";",REPT(" ",99)),199,99)),FIND(":",TRIM(MID(SUBSTITUTE(G23,";",REPT(" ",99)),199,99)))+1,99)),IF(TRIM(MID(SUBSTITUTE(G23,";",REPT(" ",99)),298,99))="","",IFERROR(VLOOKUP(--LEFT(TRIM(MID(SUBSTITUTE(G23,";",REPT(" ",99)),298,99)),FIND(":",TRIM(MID(SUBSTITUTE(G23,";",REPT(" ",99)),298,99)))-1),_Lookup!$A:$B,2,FALSE),"?")&amp;"×"&amp;MID(TRIM(MID(SUBSTITUTE(G23,";",REPT(" ",99)),298,99)),FIND(":",TRIM(MID(SUBSTITUTE(G23,";",REPT(" ",99)),298,99)))+1,99)),IF(TRIM(MID(SUBSTITUTE(G23,";",REPT(" ",99)),397,99))="","",IFERROR(VLOOKUP(--LEFT(TRIM(MID(SUBSTITUTE(G23,";",REPT(" ",99)),397,99)),FIND(":",TRIM(MID(SUBSTITUTE(G23,";",REPT(" ",99)),397,99)))-1),_Lookup!$A:$B,2,FALSE),"?")&amp;"×"&amp;MID(TRIM(MID(SUBSTITUTE(G23,";",REPT(" ",99)),397,99)),FIND(":",TRIM(MID(SUBSTITUTE(G23,";",REPT(" ",99)),397,99)))+1,99))))</f>
        <v/>
      </c>
    </row>
    <row r="24">
      <c r="C24" s="11">
        <f>IFERROR(VLOOKUP(B24,ItemData_Equipment!$A:$B,2,FALSE),"")</f>
        <v/>
      </c>
      <c r="H24" s="11">
        <f>IF(G24="","",TEXTJOIN("; ",TRUE,IF(TRIM(MID(SUBSTITUTE(G24,";",REPT(" ",99)),1,99))="","",IFERROR(VLOOKUP(--LEFT(TRIM(MID(SUBSTITUTE(G24,";",REPT(" ",99)),1,99)),FIND(":",TRIM(MID(SUBSTITUTE(G24,";",REPT(" ",99)),1,99)))-1),_Lookup!$A:$B,2,FALSE),"?")&amp;"×"&amp;MID(TRIM(MID(SUBSTITUTE(G24,";",REPT(" ",99)),1,99)),FIND(":",TRIM(MID(SUBSTITUTE(G24,";",REPT(" ",99)),1,99)))+1,99)),IF(TRIM(MID(SUBSTITUTE(G24,";",REPT(" ",99)),100,99))="","",IFERROR(VLOOKUP(--LEFT(TRIM(MID(SUBSTITUTE(G24,";",REPT(" ",99)),100,99)),FIND(":",TRIM(MID(SUBSTITUTE(G24,";",REPT(" ",99)),100,99)))-1),_Lookup!$A:$B,2,FALSE),"?")&amp;"×"&amp;MID(TRIM(MID(SUBSTITUTE(G24,";",REPT(" ",99)),100,99)),FIND(":",TRIM(MID(SUBSTITUTE(G24,";",REPT(" ",99)),100,99)))+1,99)),IF(TRIM(MID(SUBSTITUTE(G24,";",REPT(" ",99)),199,99))="","",IFERROR(VLOOKUP(--LEFT(TRIM(MID(SUBSTITUTE(G24,";",REPT(" ",99)),199,99)),FIND(":",TRIM(MID(SUBSTITUTE(G24,";",REPT(" ",99)),199,99)))-1),_Lookup!$A:$B,2,FALSE),"?")&amp;"×"&amp;MID(TRIM(MID(SUBSTITUTE(G24,";",REPT(" ",99)),199,99)),FIND(":",TRIM(MID(SUBSTITUTE(G24,";",REPT(" ",99)),199,99)))+1,99)),IF(TRIM(MID(SUBSTITUTE(G24,";",REPT(" ",99)),298,99))="","",IFERROR(VLOOKUP(--LEFT(TRIM(MID(SUBSTITUTE(G24,";",REPT(" ",99)),298,99)),FIND(":",TRIM(MID(SUBSTITUTE(G24,";",REPT(" ",99)),298,99)))-1),_Lookup!$A:$B,2,FALSE),"?")&amp;"×"&amp;MID(TRIM(MID(SUBSTITUTE(G24,";",REPT(" ",99)),298,99)),FIND(":",TRIM(MID(SUBSTITUTE(G24,";",REPT(" ",99)),298,99)))+1,99)),IF(TRIM(MID(SUBSTITUTE(G24,";",REPT(" ",99)),397,99))="","",IFERROR(VLOOKUP(--LEFT(TRIM(MID(SUBSTITUTE(G24,";",REPT(" ",99)),397,99)),FIND(":",TRIM(MID(SUBSTITUTE(G24,";",REPT(" ",99)),397,99)))-1),_Lookup!$A:$B,2,FALSE),"?")&amp;"×"&amp;MID(TRIM(MID(SUBSTITUTE(G24,";",REPT(" ",99)),397,99)),FIND(":",TRIM(MID(SUBSTITUTE(G24,";",REPT(" ",99)),397,99)))+1,99))))</f>
        <v/>
      </c>
    </row>
    <row r="25">
      <c r="C25" s="11">
        <f>IFERROR(VLOOKUP(B25,ItemData_Equipment!$A:$B,2,FALSE),"")</f>
        <v/>
      </c>
      <c r="H25" s="11">
        <f>IF(G25="","",TEXTJOIN("; ",TRUE,IF(TRIM(MID(SUBSTITUTE(G25,";",REPT(" ",99)),1,99))="","",IFERROR(VLOOKUP(--LEFT(TRIM(MID(SUBSTITUTE(G25,";",REPT(" ",99)),1,99)),FIND(":",TRIM(MID(SUBSTITUTE(G25,";",REPT(" ",99)),1,99)))-1),_Lookup!$A:$B,2,FALSE),"?")&amp;"×"&amp;MID(TRIM(MID(SUBSTITUTE(G25,";",REPT(" ",99)),1,99)),FIND(":",TRIM(MID(SUBSTITUTE(G25,";",REPT(" ",99)),1,99)))+1,99)),IF(TRIM(MID(SUBSTITUTE(G25,";",REPT(" ",99)),100,99))="","",IFERROR(VLOOKUP(--LEFT(TRIM(MID(SUBSTITUTE(G25,";",REPT(" ",99)),100,99)),FIND(":",TRIM(MID(SUBSTITUTE(G25,";",REPT(" ",99)),100,99)))-1),_Lookup!$A:$B,2,FALSE),"?")&amp;"×"&amp;MID(TRIM(MID(SUBSTITUTE(G25,";",REPT(" ",99)),100,99)),FIND(":",TRIM(MID(SUBSTITUTE(G25,";",REPT(" ",99)),100,99)))+1,99)),IF(TRIM(MID(SUBSTITUTE(G25,";",REPT(" ",99)),199,99))="","",IFERROR(VLOOKUP(--LEFT(TRIM(MID(SUBSTITUTE(G25,";",REPT(" ",99)),199,99)),FIND(":",TRIM(MID(SUBSTITUTE(G25,";",REPT(" ",99)),199,99)))-1),_Lookup!$A:$B,2,FALSE),"?")&amp;"×"&amp;MID(TRIM(MID(SUBSTITUTE(G25,";",REPT(" ",99)),199,99)),FIND(":",TRIM(MID(SUBSTITUTE(G25,";",REPT(" ",99)),199,99)))+1,99)),IF(TRIM(MID(SUBSTITUTE(G25,";",REPT(" ",99)),298,99))="","",IFERROR(VLOOKUP(--LEFT(TRIM(MID(SUBSTITUTE(G25,";",REPT(" ",99)),298,99)),FIND(":",TRIM(MID(SUBSTITUTE(G25,";",REPT(" ",99)),298,99)))-1),_Lookup!$A:$B,2,FALSE),"?")&amp;"×"&amp;MID(TRIM(MID(SUBSTITUTE(G25,";",REPT(" ",99)),298,99)),FIND(":",TRIM(MID(SUBSTITUTE(G25,";",REPT(" ",99)),298,99)))+1,99)),IF(TRIM(MID(SUBSTITUTE(G25,";",REPT(" ",99)),397,99))="","",IFERROR(VLOOKUP(--LEFT(TRIM(MID(SUBSTITUTE(G25,";",REPT(" ",99)),397,99)),FIND(":",TRIM(MID(SUBSTITUTE(G25,";",REPT(" ",99)),397,99)))-1),_Lookup!$A:$B,2,FALSE),"?")&amp;"×"&amp;MID(TRIM(MID(SUBSTITUTE(G25,";",REPT(" ",99)),397,99)),FIND(":",TRIM(MID(SUBSTITUTE(G25,";",REPT(" ",99)),397,99)))+1,99))))</f>
        <v/>
      </c>
    </row>
    <row r="26">
      <c r="C26" s="11">
        <f>IFERROR(VLOOKUP(B26,ItemData_Equipment!$A:$B,2,FALSE),"")</f>
        <v/>
      </c>
      <c r="H26" s="11">
        <f>IF(G26="","",TEXTJOIN("; ",TRUE,IF(TRIM(MID(SUBSTITUTE(G26,";",REPT(" ",99)),1,99))="","",IFERROR(VLOOKUP(--LEFT(TRIM(MID(SUBSTITUTE(G26,";",REPT(" ",99)),1,99)),FIND(":",TRIM(MID(SUBSTITUTE(G26,";",REPT(" ",99)),1,99)))-1),_Lookup!$A:$B,2,FALSE),"?")&amp;"×"&amp;MID(TRIM(MID(SUBSTITUTE(G26,";",REPT(" ",99)),1,99)),FIND(":",TRIM(MID(SUBSTITUTE(G26,";",REPT(" ",99)),1,99)))+1,99)),IF(TRIM(MID(SUBSTITUTE(G26,";",REPT(" ",99)),100,99))="","",IFERROR(VLOOKUP(--LEFT(TRIM(MID(SUBSTITUTE(G26,";",REPT(" ",99)),100,99)),FIND(":",TRIM(MID(SUBSTITUTE(G26,";",REPT(" ",99)),100,99)))-1),_Lookup!$A:$B,2,FALSE),"?")&amp;"×"&amp;MID(TRIM(MID(SUBSTITUTE(G26,";",REPT(" ",99)),100,99)),FIND(":",TRIM(MID(SUBSTITUTE(G26,";",REPT(" ",99)),100,99)))+1,99)),IF(TRIM(MID(SUBSTITUTE(G26,";",REPT(" ",99)),199,99))="","",IFERROR(VLOOKUP(--LEFT(TRIM(MID(SUBSTITUTE(G26,";",REPT(" ",99)),199,99)),FIND(":",TRIM(MID(SUBSTITUTE(G26,";",REPT(" ",99)),199,99)))-1),_Lookup!$A:$B,2,FALSE),"?")&amp;"×"&amp;MID(TRIM(MID(SUBSTITUTE(G26,";",REPT(" ",99)),199,99)),FIND(":",TRIM(MID(SUBSTITUTE(G26,";",REPT(" ",99)),199,99)))+1,99)),IF(TRIM(MID(SUBSTITUTE(G26,";",REPT(" ",99)),298,99))="","",IFERROR(VLOOKUP(--LEFT(TRIM(MID(SUBSTITUTE(G26,";",REPT(" ",99)),298,99)),FIND(":",TRIM(MID(SUBSTITUTE(G26,";",REPT(" ",99)),298,99)))-1),_Lookup!$A:$B,2,FALSE),"?")&amp;"×"&amp;MID(TRIM(MID(SUBSTITUTE(G26,";",REPT(" ",99)),298,99)),FIND(":",TRIM(MID(SUBSTITUTE(G26,";",REPT(" ",99)),298,99)))+1,99)),IF(TRIM(MID(SUBSTITUTE(G26,";",REPT(" ",99)),397,99))="","",IFERROR(VLOOKUP(--LEFT(TRIM(MID(SUBSTITUTE(G26,";",REPT(" ",99)),397,99)),FIND(":",TRIM(MID(SUBSTITUTE(G26,";",REPT(" ",99)),397,99)))-1),_Lookup!$A:$B,2,FALSE),"?")&amp;"×"&amp;MID(TRIM(MID(SUBSTITUTE(G26,";",REPT(" ",99)),397,99)),FIND(":",TRIM(MID(SUBSTITUTE(G26,";",REPT(" ",99)),397,99)))+1,99))))</f>
        <v/>
      </c>
    </row>
    <row r="27">
      <c r="C27" s="11">
        <f>IFERROR(VLOOKUP(B27,ItemData_Equipment!$A:$B,2,FALSE),"")</f>
        <v/>
      </c>
      <c r="H27" s="11">
        <f>IF(G27="","",TEXTJOIN("; ",TRUE,IF(TRIM(MID(SUBSTITUTE(G27,";",REPT(" ",99)),1,99))="","",IFERROR(VLOOKUP(--LEFT(TRIM(MID(SUBSTITUTE(G27,";",REPT(" ",99)),1,99)),FIND(":",TRIM(MID(SUBSTITUTE(G27,";",REPT(" ",99)),1,99)))-1),_Lookup!$A:$B,2,FALSE),"?")&amp;"×"&amp;MID(TRIM(MID(SUBSTITUTE(G27,";",REPT(" ",99)),1,99)),FIND(":",TRIM(MID(SUBSTITUTE(G27,";",REPT(" ",99)),1,99)))+1,99)),IF(TRIM(MID(SUBSTITUTE(G27,";",REPT(" ",99)),100,99))="","",IFERROR(VLOOKUP(--LEFT(TRIM(MID(SUBSTITUTE(G27,";",REPT(" ",99)),100,99)),FIND(":",TRIM(MID(SUBSTITUTE(G27,";",REPT(" ",99)),100,99)))-1),_Lookup!$A:$B,2,FALSE),"?")&amp;"×"&amp;MID(TRIM(MID(SUBSTITUTE(G27,";",REPT(" ",99)),100,99)),FIND(":",TRIM(MID(SUBSTITUTE(G27,";",REPT(" ",99)),100,99)))+1,99)),IF(TRIM(MID(SUBSTITUTE(G27,";",REPT(" ",99)),199,99))="","",IFERROR(VLOOKUP(--LEFT(TRIM(MID(SUBSTITUTE(G27,";",REPT(" ",99)),199,99)),FIND(":",TRIM(MID(SUBSTITUTE(G27,";",REPT(" ",99)),199,99)))-1),_Lookup!$A:$B,2,FALSE),"?")&amp;"×"&amp;MID(TRIM(MID(SUBSTITUTE(G27,";",REPT(" ",99)),199,99)),FIND(":",TRIM(MID(SUBSTITUTE(G27,";",REPT(" ",99)),199,99)))+1,99)),IF(TRIM(MID(SUBSTITUTE(G27,";",REPT(" ",99)),298,99))="","",IFERROR(VLOOKUP(--LEFT(TRIM(MID(SUBSTITUTE(G27,";",REPT(" ",99)),298,99)),FIND(":",TRIM(MID(SUBSTITUTE(G27,";",REPT(" ",99)),298,99)))-1),_Lookup!$A:$B,2,FALSE),"?")&amp;"×"&amp;MID(TRIM(MID(SUBSTITUTE(G27,";",REPT(" ",99)),298,99)),FIND(":",TRIM(MID(SUBSTITUTE(G27,";",REPT(" ",99)),298,99)))+1,99)),IF(TRIM(MID(SUBSTITUTE(G27,";",REPT(" ",99)),397,99))="","",IFERROR(VLOOKUP(--LEFT(TRIM(MID(SUBSTITUTE(G27,";",REPT(" ",99)),397,99)),FIND(":",TRIM(MID(SUBSTITUTE(G27,";",REPT(" ",99)),397,99)))-1),_Lookup!$A:$B,2,FALSE),"?")&amp;"×"&amp;MID(TRIM(MID(SUBSTITUTE(G27,";",REPT(" ",99)),397,99)),FIND(":",TRIM(MID(SUBSTITUTE(G27,";",REPT(" ",99)),397,99)))+1,99))))</f>
        <v/>
      </c>
    </row>
    <row r="28">
      <c r="C28" s="11">
        <f>IFERROR(VLOOKUP(B28,ItemData_Equipment!$A:$B,2,FALSE),"")</f>
        <v/>
      </c>
      <c r="H28" s="11">
        <f>IF(G28="","",TEXTJOIN("; ",TRUE,IF(TRIM(MID(SUBSTITUTE(G28,";",REPT(" ",99)),1,99))="","",IFERROR(VLOOKUP(--LEFT(TRIM(MID(SUBSTITUTE(G28,";",REPT(" ",99)),1,99)),FIND(":",TRIM(MID(SUBSTITUTE(G28,";",REPT(" ",99)),1,99)))-1),_Lookup!$A:$B,2,FALSE),"?")&amp;"×"&amp;MID(TRIM(MID(SUBSTITUTE(G28,";",REPT(" ",99)),1,99)),FIND(":",TRIM(MID(SUBSTITUTE(G28,";",REPT(" ",99)),1,99)))+1,99)),IF(TRIM(MID(SUBSTITUTE(G28,";",REPT(" ",99)),100,99))="","",IFERROR(VLOOKUP(--LEFT(TRIM(MID(SUBSTITUTE(G28,";",REPT(" ",99)),100,99)),FIND(":",TRIM(MID(SUBSTITUTE(G28,";",REPT(" ",99)),100,99)))-1),_Lookup!$A:$B,2,FALSE),"?")&amp;"×"&amp;MID(TRIM(MID(SUBSTITUTE(G28,";",REPT(" ",99)),100,99)),FIND(":",TRIM(MID(SUBSTITUTE(G28,";",REPT(" ",99)),100,99)))+1,99)),IF(TRIM(MID(SUBSTITUTE(G28,";",REPT(" ",99)),199,99))="","",IFERROR(VLOOKUP(--LEFT(TRIM(MID(SUBSTITUTE(G28,";",REPT(" ",99)),199,99)),FIND(":",TRIM(MID(SUBSTITUTE(G28,";",REPT(" ",99)),199,99)))-1),_Lookup!$A:$B,2,FALSE),"?")&amp;"×"&amp;MID(TRIM(MID(SUBSTITUTE(G28,";",REPT(" ",99)),199,99)),FIND(":",TRIM(MID(SUBSTITUTE(G28,";",REPT(" ",99)),199,99)))+1,99)),IF(TRIM(MID(SUBSTITUTE(G28,";",REPT(" ",99)),298,99))="","",IFERROR(VLOOKUP(--LEFT(TRIM(MID(SUBSTITUTE(G28,";",REPT(" ",99)),298,99)),FIND(":",TRIM(MID(SUBSTITUTE(G28,";",REPT(" ",99)),298,99)))-1),_Lookup!$A:$B,2,FALSE),"?")&amp;"×"&amp;MID(TRIM(MID(SUBSTITUTE(G28,";",REPT(" ",99)),298,99)),FIND(":",TRIM(MID(SUBSTITUTE(G28,";",REPT(" ",99)),298,99)))+1,99)),IF(TRIM(MID(SUBSTITUTE(G28,";",REPT(" ",99)),397,99))="","",IFERROR(VLOOKUP(--LEFT(TRIM(MID(SUBSTITUTE(G28,";",REPT(" ",99)),397,99)),FIND(":",TRIM(MID(SUBSTITUTE(G28,";",REPT(" ",99)),397,99)))-1),_Lookup!$A:$B,2,FALSE),"?")&amp;"×"&amp;MID(TRIM(MID(SUBSTITUTE(G28,";",REPT(" ",99)),397,99)),FIND(":",TRIM(MID(SUBSTITUTE(G28,";",REPT(" ",99)),397,99)))+1,99))))</f>
        <v/>
      </c>
    </row>
    <row r="29">
      <c r="C29" s="11">
        <f>IFERROR(VLOOKUP(B29,ItemData_Equipment!$A:$B,2,FALSE),"")</f>
        <v/>
      </c>
      <c r="H29" s="11">
        <f>IF(G29="","",TEXTJOIN("; ",TRUE,IF(TRIM(MID(SUBSTITUTE(G29,";",REPT(" ",99)),1,99))="","",IFERROR(VLOOKUP(--LEFT(TRIM(MID(SUBSTITUTE(G29,";",REPT(" ",99)),1,99)),FIND(":",TRIM(MID(SUBSTITUTE(G29,";",REPT(" ",99)),1,99)))-1),_Lookup!$A:$B,2,FALSE),"?")&amp;"×"&amp;MID(TRIM(MID(SUBSTITUTE(G29,";",REPT(" ",99)),1,99)),FIND(":",TRIM(MID(SUBSTITUTE(G29,";",REPT(" ",99)),1,99)))+1,99)),IF(TRIM(MID(SUBSTITUTE(G29,";",REPT(" ",99)),100,99))="","",IFERROR(VLOOKUP(--LEFT(TRIM(MID(SUBSTITUTE(G29,";",REPT(" ",99)),100,99)),FIND(":",TRIM(MID(SUBSTITUTE(G29,";",REPT(" ",99)),100,99)))-1),_Lookup!$A:$B,2,FALSE),"?")&amp;"×"&amp;MID(TRIM(MID(SUBSTITUTE(G29,";",REPT(" ",99)),100,99)),FIND(":",TRIM(MID(SUBSTITUTE(G29,";",REPT(" ",99)),100,99)))+1,99)),IF(TRIM(MID(SUBSTITUTE(G29,";",REPT(" ",99)),199,99))="","",IFERROR(VLOOKUP(--LEFT(TRIM(MID(SUBSTITUTE(G29,";",REPT(" ",99)),199,99)),FIND(":",TRIM(MID(SUBSTITUTE(G29,";",REPT(" ",99)),199,99)))-1),_Lookup!$A:$B,2,FALSE),"?")&amp;"×"&amp;MID(TRIM(MID(SUBSTITUTE(G29,";",REPT(" ",99)),199,99)),FIND(":",TRIM(MID(SUBSTITUTE(G29,";",REPT(" ",99)),199,99)))+1,99)),IF(TRIM(MID(SUBSTITUTE(G29,";",REPT(" ",99)),298,99))="","",IFERROR(VLOOKUP(--LEFT(TRIM(MID(SUBSTITUTE(G29,";",REPT(" ",99)),298,99)),FIND(":",TRIM(MID(SUBSTITUTE(G29,";",REPT(" ",99)),298,99)))-1),_Lookup!$A:$B,2,FALSE),"?")&amp;"×"&amp;MID(TRIM(MID(SUBSTITUTE(G29,";",REPT(" ",99)),298,99)),FIND(":",TRIM(MID(SUBSTITUTE(G29,";",REPT(" ",99)),298,99)))+1,99)),IF(TRIM(MID(SUBSTITUTE(G29,";",REPT(" ",99)),397,99))="","",IFERROR(VLOOKUP(--LEFT(TRIM(MID(SUBSTITUTE(G29,";",REPT(" ",99)),397,99)),FIND(":",TRIM(MID(SUBSTITUTE(G29,";",REPT(" ",99)),397,99)))-1),_Lookup!$A:$B,2,FALSE),"?")&amp;"×"&amp;MID(TRIM(MID(SUBSTITUTE(G29,";",REPT(" ",99)),397,99)),FIND(":",TRIM(MID(SUBSTITUTE(G29,";",REPT(" ",99)),397,99)))+1,99))))</f>
        <v/>
      </c>
    </row>
    <row r="30">
      <c r="C30" s="11">
        <f>IFERROR(VLOOKUP(B30,ItemData_Equipment!$A:$B,2,FALSE),"")</f>
        <v/>
      </c>
      <c r="H30" s="11">
        <f>IF(G30="","",TEXTJOIN("; ",TRUE,IF(TRIM(MID(SUBSTITUTE(G30,";",REPT(" ",99)),1,99))="","",IFERROR(VLOOKUP(--LEFT(TRIM(MID(SUBSTITUTE(G30,";",REPT(" ",99)),1,99)),FIND(":",TRIM(MID(SUBSTITUTE(G30,";",REPT(" ",99)),1,99)))-1),_Lookup!$A:$B,2,FALSE),"?")&amp;"×"&amp;MID(TRIM(MID(SUBSTITUTE(G30,";",REPT(" ",99)),1,99)),FIND(":",TRIM(MID(SUBSTITUTE(G30,";",REPT(" ",99)),1,99)))+1,99)),IF(TRIM(MID(SUBSTITUTE(G30,";",REPT(" ",99)),100,99))="","",IFERROR(VLOOKUP(--LEFT(TRIM(MID(SUBSTITUTE(G30,";",REPT(" ",99)),100,99)),FIND(":",TRIM(MID(SUBSTITUTE(G30,";",REPT(" ",99)),100,99)))-1),_Lookup!$A:$B,2,FALSE),"?")&amp;"×"&amp;MID(TRIM(MID(SUBSTITUTE(G30,";",REPT(" ",99)),100,99)),FIND(":",TRIM(MID(SUBSTITUTE(G30,";",REPT(" ",99)),100,99)))+1,99)),IF(TRIM(MID(SUBSTITUTE(G30,";",REPT(" ",99)),199,99))="","",IFERROR(VLOOKUP(--LEFT(TRIM(MID(SUBSTITUTE(G30,";",REPT(" ",99)),199,99)),FIND(":",TRIM(MID(SUBSTITUTE(G30,";",REPT(" ",99)),199,99)))-1),_Lookup!$A:$B,2,FALSE),"?")&amp;"×"&amp;MID(TRIM(MID(SUBSTITUTE(G30,";",REPT(" ",99)),199,99)),FIND(":",TRIM(MID(SUBSTITUTE(G30,";",REPT(" ",99)),199,99)))+1,99)),IF(TRIM(MID(SUBSTITUTE(G30,";",REPT(" ",99)),298,99))="","",IFERROR(VLOOKUP(--LEFT(TRIM(MID(SUBSTITUTE(G30,";",REPT(" ",99)),298,99)),FIND(":",TRIM(MID(SUBSTITUTE(G30,";",REPT(" ",99)),298,99)))-1),_Lookup!$A:$B,2,FALSE),"?")&amp;"×"&amp;MID(TRIM(MID(SUBSTITUTE(G30,";",REPT(" ",99)),298,99)),FIND(":",TRIM(MID(SUBSTITUTE(G30,";",REPT(" ",99)),298,99)))+1,99)),IF(TRIM(MID(SUBSTITUTE(G30,";",REPT(" ",99)),397,99))="","",IFERROR(VLOOKUP(--LEFT(TRIM(MID(SUBSTITUTE(G30,";",REPT(" ",99)),397,99)),FIND(":",TRIM(MID(SUBSTITUTE(G30,";",REPT(" ",99)),397,99)))-1),_Lookup!$A:$B,2,FALSE),"?")&amp;"×"&amp;MID(TRIM(MID(SUBSTITUTE(G30,";",REPT(" ",99)),397,99)),FIND(":",TRIM(MID(SUBSTITUTE(G30,";",REPT(" ",99)),397,99)))+1,99))))</f>
        <v/>
      </c>
    </row>
    <row r="31">
      <c r="C31" s="11">
        <f>IFERROR(VLOOKUP(B31,ItemData_Equipment!$A:$B,2,FALSE),"")</f>
        <v/>
      </c>
      <c r="H31" s="11">
        <f>IF(G31="","",TEXTJOIN("; ",TRUE,IF(TRIM(MID(SUBSTITUTE(G31,";",REPT(" ",99)),1,99))="","",IFERROR(VLOOKUP(--LEFT(TRIM(MID(SUBSTITUTE(G31,";",REPT(" ",99)),1,99)),FIND(":",TRIM(MID(SUBSTITUTE(G31,";",REPT(" ",99)),1,99)))-1),_Lookup!$A:$B,2,FALSE),"?")&amp;"×"&amp;MID(TRIM(MID(SUBSTITUTE(G31,";",REPT(" ",99)),1,99)),FIND(":",TRIM(MID(SUBSTITUTE(G31,";",REPT(" ",99)),1,99)))+1,99)),IF(TRIM(MID(SUBSTITUTE(G31,";",REPT(" ",99)),100,99))="","",IFERROR(VLOOKUP(--LEFT(TRIM(MID(SUBSTITUTE(G31,";",REPT(" ",99)),100,99)),FIND(":",TRIM(MID(SUBSTITUTE(G31,";",REPT(" ",99)),100,99)))-1),_Lookup!$A:$B,2,FALSE),"?")&amp;"×"&amp;MID(TRIM(MID(SUBSTITUTE(G31,";",REPT(" ",99)),100,99)),FIND(":",TRIM(MID(SUBSTITUTE(G31,";",REPT(" ",99)),100,99)))+1,99)),IF(TRIM(MID(SUBSTITUTE(G31,";",REPT(" ",99)),199,99))="","",IFERROR(VLOOKUP(--LEFT(TRIM(MID(SUBSTITUTE(G31,";",REPT(" ",99)),199,99)),FIND(":",TRIM(MID(SUBSTITUTE(G31,";",REPT(" ",99)),199,99)))-1),_Lookup!$A:$B,2,FALSE),"?")&amp;"×"&amp;MID(TRIM(MID(SUBSTITUTE(G31,";",REPT(" ",99)),199,99)),FIND(":",TRIM(MID(SUBSTITUTE(G31,";",REPT(" ",99)),199,99)))+1,99)),IF(TRIM(MID(SUBSTITUTE(G31,";",REPT(" ",99)),298,99))="","",IFERROR(VLOOKUP(--LEFT(TRIM(MID(SUBSTITUTE(G31,";",REPT(" ",99)),298,99)),FIND(":",TRIM(MID(SUBSTITUTE(G31,";",REPT(" ",99)),298,99)))-1),_Lookup!$A:$B,2,FALSE),"?")&amp;"×"&amp;MID(TRIM(MID(SUBSTITUTE(G31,";",REPT(" ",99)),298,99)),FIND(":",TRIM(MID(SUBSTITUTE(G31,";",REPT(" ",99)),298,99)))+1,99)),IF(TRIM(MID(SUBSTITUTE(G31,";",REPT(" ",99)),397,99))="","",IFERROR(VLOOKUP(--LEFT(TRIM(MID(SUBSTITUTE(G31,";",REPT(" ",99)),397,99)),FIND(":",TRIM(MID(SUBSTITUTE(G31,";",REPT(" ",99)),397,99)))-1),_Lookup!$A:$B,2,FALSE),"?")&amp;"×"&amp;MID(TRIM(MID(SUBSTITUTE(G31,";",REPT(" ",99)),397,99)),FIND(":",TRIM(MID(SUBSTITUTE(G31,";",REPT(" ",99)),397,99)))+1,99))))</f>
        <v/>
      </c>
    </row>
    <row r="32">
      <c r="C32" s="11">
        <f>IFERROR(VLOOKUP(B32,ItemData_Equipment!$A:$B,2,FALSE),"")</f>
        <v/>
      </c>
      <c r="H32" s="11">
        <f>IF(G32="","",TEXTJOIN("; ",TRUE,IF(TRIM(MID(SUBSTITUTE(G32,";",REPT(" ",99)),1,99))="","",IFERROR(VLOOKUP(--LEFT(TRIM(MID(SUBSTITUTE(G32,";",REPT(" ",99)),1,99)),FIND(":",TRIM(MID(SUBSTITUTE(G32,";",REPT(" ",99)),1,99)))-1),_Lookup!$A:$B,2,FALSE),"?")&amp;"×"&amp;MID(TRIM(MID(SUBSTITUTE(G32,";",REPT(" ",99)),1,99)),FIND(":",TRIM(MID(SUBSTITUTE(G32,";",REPT(" ",99)),1,99)))+1,99)),IF(TRIM(MID(SUBSTITUTE(G32,";",REPT(" ",99)),100,99))="","",IFERROR(VLOOKUP(--LEFT(TRIM(MID(SUBSTITUTE(G32,";",REPT(" ",99)),100,99)),FIND(":",TRIM(MID(SUBSTITUTE(G32,";",REPT(" ",99)),100,99)))-1),_Lookup!$A:$B,2,FALSE),"?")&amp;"×"&amp;MID(TRIM(MID(SUBSTITUTE(G32,";",REPT(" ",99)),100,99)),FIND(":",TRIM(MID(SUBSTITUTE(G32,";",REPT(" ",99)),100,99)))+1,99)),IF(TRIM(MID(SUBSTITUTE(G32,";",REPT(" ",99)),199,99))="","",IFERROR(VLOOKUP(--LEFT(TRIM(MID(SUBSTITUTE(G32,";",REPT(" ",99)),199,99)),FIND(":",TRIM(MID(SUBSTITUTE(G32,";",REPT(" ",99)),199,99)))-1),_Lookup!$A:$B,2,FALSE),"?")&amp;"×"&amp;MID(TRIM(MID(SUBSTITUTE(G32,";",REPT(" ",99)),199,99)),FIND(":",TRIM(MID(SUBSTITUTE(G32,";",REPT(" ",99)),199,99)))+1,99)),IF(TRIM(MID(SUBSTITUTE(G32,";",REPT(" ",99)),298,99))="","",IFERROR(VLOOKUP(--LEFT(TRIM(MID(SUBSTITUTE(G32,";",REPT(" ",99)),298,99)),FIND(":",TRIM(MID(SUBSTITUTE(G32,";",REPT(" ",99)),298,99)))-1),_Lookup!$A:$B,2,FALSE),"?")&amp;"×"&amp;MID(TRIM(MID(SUBSTITUTE(G32,";",REPT(" ",99)),298,99)),FIND(":",TRIM(MID(SUBSTITUTE(G32,";",REPT(" ",99)),298,99)))+1,99)),IF(TRIM(MID(SUBSTITUTE(G32,";",REPT(" ",99)),397,99))="","",IFERROR(VLOOKUP(--LEFT(TRIM(MID(SUBSTITUTE(G32,";",REPT(" ",99)),397,99)),FIND(":",TRIM(MID(SUBSTITUTE(G32,";",REPT(" ",99)),397,99)))-1),_Lookup!$A:$B,2,FALSE),"?")&amp;"×"&amp;MID(TRIM(MID(SUBSTITUTE(G32,";",REPT(" ",99)),397,99)),FIND(":",TRIM(MID(SUBSTITUTE(G32,";",REPT(" ",99)),397,99)))+1,99))))</f>
        <v/>
      </c>
    </row>
    <row r="33">
      <c r="C33" s="11">
        <f>IFERROR(VLOOKUP(B33,ItemData_Equipment!$A:$B,2,FALSE),"")</f>
        <v/>
      </c>
      <c r="H33" s="11">
        <f>IF(G33="","",TEXTJOIN("; ",TRUE,IF(TRIM(MID(SUBSTITUTE(G33,";",REPT(" ",99)),1,99))="","",IFERROR(VLOOKUP(--LEFT(TRIM(MID(SUBSTITUTE(G33,";",REPT(" ",99)),1,99)),FIND(":",TRIM(MID(SUBSTITUTE(G33,";",REPT(" ",99)),1,99)))-1),_Lookup!$A:$B,2,FALSE),"?")&amp;"×"&amp;MID(TRIM(MID(SUBSTITUTE(G33,";",REPT(" ",99)),1,99)),FIND(":",TRIM(MID(SUBSTITUTE(G33,";",REPT(" ",99)),1,99)))+1,99)),IF(TRIM(MID(SUBSTITUTE(G33,";",REPT(" ",99)),100,99))="","",IFERROR(VLOOKUP(--LEFT(TRIM(MID(SUBSTITUTE(G33,";",REPT(" ",99)),100,99)),FIND(":",TRIM(MID(SUBSTITUTE(G33,";",REPT(" ",99)),100,99)))-1),_Lookup!$A:$B,2,FALSE),"?")&amp;"×"&amp;MID(TRIM(MID(SUBSTITUTE(G33,";",REPT(" ",99)),100,99)),FIND(":",TRIM(MID(SUBSTITUTE(G33,";",REPT(" ",99)),100,99)))+1,99)),IF(TRIM(MID(SUBSTITUTE(G33,";",REPT(" ",99)),199,99))="","",IFERROR(VLOOKUP(--LEFT(TRIM(MID(SUBSTITUTE(G33,";",REPT(" ",99)),199,99)),FIND(":",TRIM(MID(SUBSTITUTE(G33,";",REPT(" ",99)),199,99)))-1),_Lookup!$A:$B,2,FALSE),"?")&amp;"×"&amp;MID(TRIM(MID(SUBSTITUTE(G33,";",REPT(" ",99)),199,99)),FIND(":",TRIM(MID(SUBSTITUTE(G33,";",REPT(" ",99)),199,99)))+1,99)),IF(TRIM(MID(SUBSTITUTE(G33,";",REPT(" ",99)),298,99))="","",IFERROR(VLOOKUP(--LEFT(TRIM(MID(SUBSTITUTE(G33,";",REPT(" ",99)),298,99)),FIND(":",TRIM(MID(SUBSTITUTE(G33,";",REPT(" ",99)),298,99)))-1),_Lookup!$A:$B,2,FALSE),"?")&amp;"×"&amp;MID(TRIM(MID(SUBSTITUTE(G33,";",REPT(" ",99)),298,99)),FIND(":",TRIM(MID(SUBSTITUTE(G33,";",REPT(" ",99)),298,99)))+1,99)),IF(TRIM(MID(SUBSTITUTE(G33,";",REPT(" ",99)),397,99))="","",IFERROR(VLOOKUP(--LEFT(TRIM(MID(SUBSTITUTE(G33,";",REPT(" ",99)),397,99)),FIND(":",TRIM(MID(SUBSTITUTE(G33,";",REPT(" ",99)),397,99)))-1),_Lookup!$A:$B,2,FALSE),"?")&amp;"×"&amp;MID(TRIM(MID(SUBSTITUTE(G33,";",REPT(" ",99)),397,99)),FIND(":",TRIM(MID(SUBSTITUTE(G33,";",REPT(" ",99)),397,99)))+1,99))))</f>
        <v/>
      </c>
    </row>
    <row r="34">
      <c r="C34" s="11">
        <f>IFERROR(VLOOKUP(B34,ItemData_Equipment!$A:$B,2,FALSE),"")</f>
        <v/>
      </c>
      <c r="H34" s="11">
        <f>IF(G34="","",TEXTJOIN("; ",TRUE,IF(TRIM(MID(SUBSTITUTE(G34,";",REPT(" ",99)),1,99))="","",IFERROR(VLOOKUP(--LEFT(TRIM(MID(SUBSTITUTE(G34,";",REPT(" ",99)),1,99)),FIND(":",TRIM(MID(SUBSTITUTE(G34,";",REPT(" ",99)),1,99)))-1),_Lookup!$A:$B,2,FALSE),"?")&amp;"×"&amp;MID(TRIM(MID(SUBSTITUTE(G34,";",REPT(" ",99)),1,99)),FIND(":",TRIM(MID(SUBSTITUTE(G34,";",REPT(" ",99)),1,99)))+1,99)),IF(TRIM(MID(SUBSTITUTE(G34,";",REPT(" ",99)),100,99))="","",IFERROR(VLOOKUP(--LEFT(TRIM(MID(SUBSTITUTE(G34,";",REPT(" ",99)),100,99)),FIND(":",TRIM(MID(SUBSTITUTE(G34,";",REPT(" ",99)),100,99)))-1),_Lookup!$A:$B,2,FALSE),"?")&amp;"×"&amp;MID(TRIM(MID(SUBSTITUTE(G34,";",REPT(" ",99)),100,99)),FIND(":",TRIM(MID(SUBSTITUTE(G34,";",REPT(" ",99)),100,99)))+1,99)),IF(TRIM(MID(SUBSTITUTE(G34,";",REPT(" ",99)),199,99))="","",IFERROR(VLOOKUP(--LEFT(TRIM(MID(SUBSTITUTE(G34,";",REPT(" ",99)),199,99)),FIND(":",TRIM(MID(SUBSTITUTE(G34,";",REPT(" ",99)),199,99)))-1),_Lookup!$A:$B,2,FALSE),"?")&amp;"×"&amp;MID(TRIM(MID(SUBSTITUTE(G34,";",REPT(" ",99)),199,99)),FIND(":",TRIM(MID(SUBSTITUTE(G34,";",REPT(" ",99)),199,99)))+1,99)),IF(TRIM(MID(SUBSTITUTE(G34,";",REPT(" ",99)),298,99))="","",IFERROR(VLOOKUP(--LEFT(TRIM(MID(SUBSTITUTE(G34,";",REPT(" ",99)),298,99)),FIND(":",TRIM(MID(SUBSTITUTE(G34,";",REPT(" ",99)),298,99)))-1),_Lookup!$A:$B,2,FALSE),"?")&amp;"×"&amp;MID(TRIM(MID(SUBSTITUTE(G34,";",REPT(" ",99)),298,99)),FIND(":",TRIM(MID(SUBSTITUTE(G34,";",REPT(" ",99)),298,99)))+1,99)),IF(TRIM(MID(SUBSTITUTE(G34,";",REPT(" ",99)),397,99))="","",IFERROR(VLOOKUP(--LEFT(TRIM(MID(SUBSTITUTE(G34,";",REPT(" ",99)),397,99)),FIND(":",TRIM(MID(SUBSTITUTE(G34,";",REPT(" ",99)),397,99)))-1),_Lookup!$A:$B,2,FALSE),"?")&amp;"×"&amp;MID(TRIM(MID(SUBSTITUTE(G34,";",REPT(" ",99)),397,99)),FIND(":",TRIM(MID(SUBSTITUTE(G34,";",REPT(" ",99)),397,99)))+1,99))))</f>
        <v/>
      </c>
    </row>
    <row r="35">
      <c r="C35" s="11">
        <f>IFERROR(VLOOKUP(B35,ItemData_Equipment!$A:$B,2,FALSE),"")</f>
        <v/>
      </c>
      <c r="H35" s="11">
        <f>IF(G35="","",TEXTJOIN("; ",TRUE,IF(TRIM(MID(SUBSTITUTE(G35,";",REPT(" ",99)),1,99))="","",IFERROR(VLOOKUP(--LEFT(TRIM(MID(SUBSTITUTE(G35,";",REPT(" ",99)),1,99)),FIND(":",TRIM(MID(SUBSTITUTE(G35,";",REPT(" ",99)),1,99)))-1),_Lookup!$A:$B,2,FALSE),"?")&amp;"×"&amp;MID(TRIM(MID(SUBSTITUTE(G35,";",REPT(" ",99)),1,99)),FIND(":",TRIM(MID(SUBSTITUTE(G35,";",REPT(" ",99)),1,99)))+1,99)),IF(TRIM(MID(SUBSTITUTE(G35,";",REPT(" ",99)),100,99))="","",IFERROR(VLOOKUP(--LEFT(TRIM(MID(SUBSTITUTE(G35,";",REPT(" ",99)),100,99)),FIND(":",TRIM(MID(SUBSTITUTE(G35,";",REPT(" ",99)),100,99)))-1),_Lookup!$A:$B,2,FALSE),"?")&amp;"×"&amp;MID(TRIM(MID(SUBSTITUTE(G35,";",REPT(" ",99)),100,99)),FIND(":",TRIM(MID(SUBSTITUTE(G35,";",REPT(" ",99)),100,99)))+1,99)),IF(TRIM(MID(SUBSTITUTE(G35,";",REPT(" ",99)),199,99))="","",IFERROR(VLOOKUP(--LEFT(TRIM(MID(SUBSTITUTE(G35,";",REPT(" ",99)),199,99)),FIND(":",TRIM(MID(SUBSTITUTE(G35,";",REPT(" ",99)),199,99)))-1),_Lookup!$A:$B,2,FALSE),"?")&amp;"×"&amp;MID(TRIM(MID(SUBSTITUTE(G35,";",REPT(" ",99)),199,99)),FIND(":",TRIM(MID(SUBSTITUTE(G35,";",REPT(" ",99)),199,99)))+1,99)),IF(TRIM(MID(SUBSTITUTE(G35,";",REPT(" ",99)),298,99))="","",IFERROR(VLOOKUP(--LEFT(TRIM(MID(SUBSTITUTE(G35,";",REPT(" ",99)),298,99)),FIND(":",TRIM(MID(SUBSTITUTE(G35,";",REPT(" ",99)),298,99)))-1),_Lookup!$A:$B,2,FALSE),"?")&amp;"×"&amp;MID(TRIM(MID(SUBSTITUTE(G35,";",REPT(" ",99)),298,99)),FIND(":",TRIM(MID(SUBSTITUTE(G35,";",REPT(" ",99)),298,99)))+1,99)),IF(TRIM(MID(SUBSTITUTE(G35,";",REPT(" ",99)),397,99))="","",IFERROR(VLOOKUP(--LEFT(TRIM(MID(SUBSTITUTE(G35,";",REPT(" ",99)),397,99)),FIND(":",TRIM(MID(SUBSTITUTE(G35,";",REPT(" ",99)),397,99)))-1),_Lookup!$A:$B,2,FALSE),"?")&amp;"×"&amp;MID(TRIM(MID(SUBSTITUTE(G35,";",REPT(" ",99)),397,99)),FIND(":",TRIM(MID(SUBSTITUTE(G35,";",REPT(" ",99)),397,99)))+1,99))))</f>
        <v/>
      </c>
    </row>
    <row r="36">
      <c r="C36" s="11">
        <f>IFERROR(VLOOKUP(B36,ItemData_Equipment!$A:$B,2,FALSE),"")</f>
        <v/>
      </c>
      <c r="H36" s="11">
        <f>IF(G36="","",TEXTJOIN("; ",TRUE,IF(TRIM(MID(SUBSTITUTE(G36,";",REPT(" ",99)),1,99))="","",IFERROR(VLOOKUP(--LEFT(TRIM(MID(SUBSTITUTE(G36,";",REPT(" ",99)),1,99)),FIND(":",TRIM(MID(SUBSTITUTE(G36,";",REPT(" ",99)),1,99)))-1),_Lookup!$A:$B,2,FALSE),"?")&amp;"×"&amp;MID(TRIM(MID(SUBSTITUTE(G36,";",REPT(" ",99)),1,99)),FIND(":",TRIM(MID(SUBSTITUTE(G36,";",REPT(" ",99)),1,99)))+1,99)),IF(TRIM(MID(SUBSTITUTE(G36,";",REPT(" ",99)),100,99))="","",IFERROR(VLOOKUP(--LEFT(TRIM(MID(SUBSTITUTE(G36,";",REPT(" ",99)),100,99)),FIND(":",TRIM(MID(SUBSTITUTE(G36,";",REPT(" ",99)),100,99)))-1),_Lookup!$A:$B,2,FALSE),"?")&amp;"×"&amp;MID(TRIM(MID(SUBSTITUTE(G36,";",REPT(" ",99)),100,99)),FIND(":",TRIM(MID(SUBSTITUTE(G36,";",REPT(" ",99)),100,99)))+1,99)),IF(TRIM(MID(SUBSTITUTE(G36,";",REPT(" ",99)),199,99))="","",IFERROR(VLOOKUP(--LEFT(TRIM(MID(SUBSTITUTE(G36,";",REPT(" ",99)),199,99)),FIND(":",TRIM(MID(SUBSTITUTE(G36,";",REPT(" ",99)),199,99)))-1),_Lookup!$A:$B,2,FALSE),"?")&amp;"×"&amp;MID(TRIM(MID(SUBSTITUTE(G36,";",REPT(" ",99)),199,99)),FIND(":",TRIM(MID(SUBSTITUTE(G36,";",REPT(" ",99)),199,99)))+1,99)),IF(TRIM(MID(SUBSTITUTE(G36,";",REPT(" ",99)),298,99))="","",IFERROR(VLOOKUP(--LEFT(TRIM(MID(SUBSTITUTE(G36,";",REPT(" ",99)),298,99)),FIND(":",TRIM(MID(SUBSTITUTE(G36,";",REPT(" ",99)),298,99)))-1),_Lookup!$A:$B,2,FALSE),"?")&amp;"×"&amp;MID(TRIM(MID(SUBSTITUTE(G36,";",REPT(" ",99)),298,99)),FIND(":",TRIM(MID(SUBSTITUTE(G36,";",REPT(" ",99)),298,99)))+1,99)),IF(TRIM(MID(SUBSTITUTE(G36,";",REPT(" ",99)),397,99))="","",IFERROR(VLOOKUP(--LEFT(TRIM(MID(SUBSTITUTE(G36,";",REPT(" ",99)),397,99)),FIND(":",TRIM(MID(SUBSTITUTE(G36,";",REPT(" ",99)),397,99)))-1),_Lookup!$A:$B,2,FALSE),"?")&amp;"×"&amp;MID(TRIM(MID(SUBSTITUTE(G36,";",REPT(" ",99)),397,99)),FIND(":",TRIM(MID(SUBSTITUTE(G36,";",REPT(" ",99)),397,99)))+1,99))))</f>
        <v/>
      </c>
    </row>
    <row r="37">
      <c r="C37" s="11">
        <f>IFERROR(VLOOKUP(B37,ItemData_Equipment!$A:$B,2,FALSE),"")</f>
        <v/>
      </c>
      <c r="H37" s="11">
        <f>IF(G37="","",TEXTJOIN("; ",TRUE,IF(TRIM(MID(SUBSTITUTE(G37,";",REPT(" ",99)),1,99))="","",IFERROR(VLOOKUP(--LEFT(TRIM(MID(SUBSTITUTE(G37,";",REPT(" ",99)),1,99)),FIND(":",TRIM(MID(SUBSTITUTE(G37,";",REPT(" ",99)),1,99)))-1),_Lookup!$A:$B,2,FALSE),"?")&amp;"×"&amp;MID(TRIM(MID(SUBSTITUTE(G37,";",REPT(" ",99)),1,99)),FIND(":",TRIM(MID(SUBSTITUTE(G37,";",REPT(" ",99)),1,99)))+1,99)),IF(TRIM(MID(SUBSTITUTE(G37,";",REPT(" ",99)),100,99))="","",IFERROR(VLOOKUP(--LEFT(TRIM(MID(SUBSTITUTE(G37,";",REPT(" ",99)),100,99)),FIND(":",TRIM(MID(SUBSTITUTE(G37,";",REPT(" ",99)),100,99)))-1),_Lookup!$A:$B,2,FALSE),"?")&amp;"×"&amp;MID(TRIM(MID(SUBSTITUTE(G37,";",REPT(" ",99)),100,99)),FIND(":",TRIM(MID(SUBSTITUTE(G37,";",REPT(" ",99)),100,99)))+1,99)),IF(TRIM(MID(SUBSTITUTE(G37,";",REPT(" ",99)),199,99))="","",IFERROR(VLOOKUP(--LEFT(TRIM(MID(SUBSTITUTE(G37,";",REPT(" ",99)),199,99)),FIND(":",TRIM(MID(SUBSTITUTE(G37,";",REPT(" ",99)),199,99)))-1),_Lookup!$A:$B,2,FALSE),"?")&amp;"×"&amp;MID(TRIM(MID(SUBSTITUTE(G37,";",REPT(" ",99)),199,99)),FIND(":",TRIM(MID(SUBSTITUTE(G37,";",REPT(" ",99)),199,99)))+1,99)),IF(TRIM(MID(SUBSTITUTE(G37,";",REPT(" ",99)),298,99))="","",IFERROR(VLOOKUP(--LEFT(TRIM(MID(SUBSTITUTE(G37,";",REPT(" ",99)),298,99)),FIND(":",TRIM(MID(SUBSTITUTE(G37,";",REPT(" ",99)),298,99)))-1),_Lookup!$A:$B,2,FALSE),"?")&amp;"×"&amp;MID(TRIM(MID(SUBSTITUTE(G37,";",REPT(" ",99)),298,99)),FIND(":",TRIM(MID(SUBSTITUTE(G37,";",REPT(" ",99)),298,99)))+1,99)),IF(TRIM(MID(SUBSTITUTE(G37,";",REPT(" ",99)),397,99))="","",IFERROR(VLOOKUP(--LEFT(TRIM(MID(SUBSTITUTE(G37,";",REPT(" ",99)),397,99)),FIND(":",TRIM(MID(SUBSTITUTE(G37,";",REPT(" ",99)),397,99)))-1),_Lookup!$A:$B,2,FALSE),"?")&amp;"×"&amp;MID(TRIM(MID(SUBSTITUTE(G37,";",REPT(" ",99)),397,99)),FIND(":",TRIM(MID(SUBSTITUTE(G37,";",REPT(" ",99)),397,99)))+1,99))))</f>
        <v/>
      </c>
    </row>
    <row r="38">
      <c r="C38" s="11">
        <f>IFERROR(VLOOKUP(B38,ItemData_Equipment!$A:$B,2,FALSE),"")</f>
        <v/>
      </c>
      <c r="H38" s="11">
        <f>IF(G38="","",TEXTJOIN("; ",TRUE,IF(TRIM(MID(SUBSTITUTE(G38,";",REPT(" ",99)),1,99))="","",IFERROR(VLOOKUP(--LEFT(TRIM(MID(SUBSTITUTE(G38,";",REPT(" ",99)),1,99)),FIND(":",TRIM(MID(SUBSTITUTE(G38,";",REPT(" ",99)),1,99)))-1),_Lookup!$A:$B,2,FALSE),"?")&amp;"×"&amp;MID(TRIM(MID(SUBSTITUTE(G38,";",REPT(" ",99)),1,99)),FIND(":",TRIM(MID(SUBSTITUTE(G38,";",REPT(" ",99)),1,99)))+1,99)),IF(TRIM(MID(SUBSTITUTE(G38,";",REPT(" ",99)),100,99))="","",IFERROR(VLOOKUP(--LEFT(TRIM(MID(SUBSTITUTE(G38,";",REPT(" ",99)),100,99)),FIND(":",TRIM(MID(SUBSTITUTE(G38,";",REPT(" ",99)),100,99)))-1),_Lookup!$A:$B,2,FALSE),"?")&amp;"×"&amp;MID(TRIM(MID(SUBSTITUTE(G38,";",REPT(" ",99)),100,99)),FIND(":",TRIM(MID(SUBSTITUTE(G38,";",REPT(" ",99)),100,99)))+1,99)),IF(TRIM(MID(SUBSTITUTE(G38,";",REPT(" ",99)),199,99))="","",IFERROR(VLOOKUP(--LEFT(TRIM(MID(SUBSTITUTE(G38,";",REPT(" ",99)),199,99)),FIND(":",TRIM(MID(SUBSTITUTE(G38,";",REPT(" ",99)),199,99)))-1),_Lookup!$A:$B,2,FALSE),"?")&amp;"×"&amp;MID(TRIM(MID(SUBSTITUTE(G38,";",REPT(" ",99)),199,99)),FIND(":",TRIM(MID(SUBSTITUTE(G38,";",REPT(" ",99)),199,99)))+1,99)),IF(TRIM(MID(SUBSTITUTE(G38,";",REPT(" ",99)),298,99))="","",IFERROR(VLOOKUP(--LEFT(TRIM(MID(SUBSTITUTE(G38,";",REPT(" ",99)),298,99)),FIND(":",TRIM(MID(SUBSTITUTE(G38,";",REPT(" ",99)),298,99)))-1),_Lookup!$A:$B,2,FALSE),"?")&amp;"×"&amp;MID(TRIM(MID(SUBSTITUTE(G38,";",REPT(" ",99)),298,99)),FIND(":",TRIM(MID(SUBSTITUTE(G38,";",REPT(" ",99)),298,99)))+1,99)),IF(TRIM(MID(SUBSTITUTE(G38,";",REPT(" ",99)),397,99))="","",IFERROR(VLOOKUP(--LEFT(TRIM(MID(SUBSTITUTE(G38,";",REPT(" ",99)),397,99)),FIND(":",TRIM(MID(SUBSTITUTE(G38,";",REPT(" ",99)),397,99)))-1),_Lookup!$A:$B,2,FALSE),"?")&amp;"×"&amp;MID(TRIM(MID(SUBSTITUTE(G38,";",REPT(" ",99)),397,99)),FIND(":",TRIM(MID(SUBSTITUTE(G38,";",REPT(" ",99)),397,99)))+1,99))))</f>
        <v/>
      </c>
    </row>
    <row r="39">
      <c r="C39" s="11">
        <f>IFERROR(VLOOKUP(B39,ItemData_Equipment!$A:$B,2,FALSE),"")</f>
        <v/>
      </c>
      <c r="H39" s="11">
        <f>IF(G39="","",TEXTJOIN("; ",TRUE,IF(TRIM(MID(SUBSTITUTE(G39,";",REPT(" ",99)),1,99))="","",IFERROR(VLOOKUP(--LEFT(TRIM(MID(SUBSTITUTE(G39,";",REPT(" ",99)),1,99)),FIND(":",TRIM(MID(SUBSTITUTE(G39,";",REPT(" ",99)),1,99)))-1),_Lookup!$A:$B,2,FALSE),"?")&amp;"×"&amp;MID(TRIM(MID(SUBSTITUTE(G39,";",REPT(" ",99)),1,99)),FIND(":",TRIM(MID(SUBSTITUTE(G39,";",REPT(" ",99)),1,99)))+1,99)),IF(TRIM(MID(SUBSTITUTE(G39,";",REPT(" ",99)),100,99))="","",IFERROR(VLOOKUP(--LEFT(TRIM(MID(SUBSTITUTE(G39,";",REPT(" ",99)),100,99)),FIND(":",TRIM(MID(SUBSTITUTE(G39,";",REPT(" ",99)),100,99)))-1),_Lookup!$A:$B,2,FALSE),"?")&amp;"×"&amp;MID(TRIM(MID(SUBSTITUTE(G39,";",REPT(" ",99)),100,99)),FIND(":",TRIM(MID(SUBSTITUTE(G39,";",REPT(" ",99)),100,99)))+1,99)),IF(TRIM(MID(SUBSTITUTE(G39,";",REPT(" ",99)),199,99))="","",IFERROR(VLOOKUP(--LEFT(TRIM(MID(SUBSTITUTE(G39,";",REPT(" ",99)),199,99)),FIND(":",TRIM(MID(SUBSTITUTE(G39,";",REPT(" ",99)),199,99)))-1),_Lookup!$A:$B,2,FALSE),"?")&amp;"×"&amp;MID(TRIM(MID(SUBSTITUTE(G39,";",REPT(" ",99)),199,99)),FIND(":",TRIM(MID(SUBSTITUTE(G39,";",REPT(" ",99)),199,99)))+1,99)),IF(TRIM(MID(SUBSTITUTE(G39,";",REPT(" ",99)),298,99))="","",IFERROR(VLOOKUP(--LEFT(TRIM(MID(SUBSTITUTE(G39,";",REPT(" ",99)),298,99)),FIND(":",TRIM(MID(SUBSTITUTE(G39,";",REPT(" ",99)),298,99)))-1),_Lookup!$A:$B,2,FALSE),"?")&amp;"×"&amp;MID(TRIM(MID(SUBSTITUTE(G39,";",REPT(" ",99)),298,99)),FIND(":",TRIM(MID(SUBSTITUTE(G39,";",REPT(" ",99)),298,99)))+1,99)),IF(TRIM(MID(SUBSTITUTE(G39,";",REPT(" ",99)),397,99))="","",IFERROR(VLOOKUP(--LEFT(TRIM(MID(SUBSTITUTE(G39,";",REPT(" ",99)),397,99)),FIND(":",TRIM(MID(SUBSTITUTE(G39,";",REPT(" ",99)),397,99)))-1),_Lookup!$A:$B,2,FALSE),"?")&amp;"×"&amp;MID(TRIM(MID(SUBSTITUTE(G39,";",REPT(" ",99)),397,99)),FIND(":",TRIM(MID(SUBSTITUTE(G39,";",REPT(" ",99)),397,99)))+1,99))))</f>
        <v/>
      </c>
    </row>
    <row r="40">
      <c r="C40" s="11">
        <f>IFERROR(VLOOKUP(B40,ItemData_Equipment!$A:$B,2,FALSE),"")</f>
        <v/>
      </c>
      <c r="H40" s="11">
        <f>IF(G40="","",TEXTJOIN("; ",TRUE,IF(TRIM(MID(SUBSTITUTE(G40,";",REPT(" ",99)),1,99))="","",IFERROR(VLOOKUP(--LEFT(TRIM(MID(SUBSTITUTE(G40,";",REPT(" ",99)),1,99)),FIND(":",TRIM(MID(SUBSTITUTE(G40,";",REPT(" ",99)),1,99)))-1),_Lookup!$A:$B,2,FALSE),"?")&amp;"×"&amp;MID(TRIM(MID(SUBSTITUTE(G40,";",REPT(" ",99)),1,99)),FIND(":",TRIM(MID(SUBSTITUTE(G40,";",REPT(" ",99)),1,99)))+1,99)),IF(TRIM(MID(SUBSTITUTE(G40,";",REPT(" ",99)),100,99))="","",IFERROR(VLOOKUP(--LEFT(TRIM(MID(SUBSTITUTE(G40,";",REPT(" ",99)),100,99)),FIND(":",TRIM(MID(SUBSTITUTE(G40,";",REPT(" ",99)),100,99)))-1),_Lookup!$A:$B,2,FALSE),"?")&amp;"×"&amp;MID(TRIM(MID(SUBSTITUTE(G40,";",REPT(" ",99)),100,99)),FIND(":",TRIM(MID(SUBSTITUTE(G40,";",REPT(" ",99)),100,99)))+1,99)),IF(TRIM(MID(SUBSTITUTE(G40,";",REPT(" ",99)),199,99))="","",IFERROR(VLOOKUP(--LEFT(TRIM(MID(SUBSTITUTE(G40,";",REPT(" ",99)),199,99)),FIND(":",TRIM(MID(SUBSTITUTE(G40,";",REPT(" ",99)),199,99)))-1),_Lookup!$A:$B,2,FALSE),"?")&amp;"×"&amp;MID(TRIM(MID(SUBSTITUTE(G40,";",REPT(" ",99)),199,99)),FIND(":",TRIM(MID(SUBSTITUTE(G40,";",REPT(" ",99)),199,99)))+1,99)),IF(TRIM(MID(SUBSTITUTE(G40,";",REPT(" ",99)),298,99))="","",IFERROR(VLOOKUP(--LEFT(TRIM(MID(SUBSTITUTE(G40,";",REPT(" ",99)),298,99)),FIND(":",TRIM(MID(SUBSTITUTE(G40,";",REPT(" ",99)),298,99)))-1),_Lookup!$A:$B,2,FALSE),"?")&amp;"×"&amp;MID(TRIM(MID(SUBSTITUTE(G40,";",REPT(" ",99)),298,99)),FIND(":",TRIM(MID(SUBSTITUTE(G40,";",REPT(" ",99)),298,99)))+1,99)),IF(TRIM(MID(SUBSTITUTE(G40,";",REPT(" ",99)),397,99))="","",IFERROR(VLOOKUP(--LEFT(TRIM(MID(SUBSTITUTE(G40,";",REPT(" ",99)),397,99)),FIND(":",TRIM(MID(SUBSTITUTE(G40,";",REPT(" ",99)),397,99)))-1),_Lookup!$A:$B,2,FALSE),"?")&amp;"×"&amp;MID(TRIM(MID(SUBSTITUTE(G40,";",REPT(" ",99)),397,99)),FIND(":",TRIM(MID(SUBSTITUTE(G40,";",REPT(" ",99)),397,99)))+1,99))))</f>
        <v/>
      </c>
    </row>
    <row r="41">
      <c r="C41" s="11">
        <f>IFERROR(VLOOKUP(B41,ItemData_Equipment!$A:$B,2,FALSE),"")</f>
        <v/>
      </c>
      <c r="H41" s="11">
        <f>IF(G41="","",TEXTJOIN("; ",TRUE,IF(TRIM(MID(SUBSTITUTE(G41,";",REPT(" ",99)),1,99))="","",IFERROR(VLOOKUP(--LEFT(TRIM(MID(SUBSTITUTE(G41,";",REPT(" ",99)),1,99)),FIND(":",TRIM(MID(SUBSTITUTE(G41,";",REPT(" ",99)),1,99)))-1),_Lookup!$A:$B,2,FALSE),"?")&amp;"×"&amp;MID(TRIM(MID(SUBSTITUTE(G41,";",REPT(" ",99)),1,99)),FIND(":",TRIM(MID(SUBSTITUTE(G41,";",REPT(" ",99)),1,99)))+1,99)),IF(TRIM(MID(SUBSTITUTE(G41,";",REPT(" ",99)),100,99))="","",IFERROR(VLOOKUP(--LEFT(TRIM(MID(SUBSTITUTE(G41,";",REPT(" ",99)),100,99)),FIND(":",TRIM(MID(SUBSTITUTE(G41,";",REPT(" ",99)),100,99)))-1),_Lookup!$A:$B,2,FALSE),"?")&amp;"×"&amp;MID(TRIM(MID(SUBSTITUTE(G41,";",REPT(" ",99)),100,99)),FIND(":",TRIM(MID(SUBSTITUTE(G41,";",REPT(" ",99)),100,99)))+1,99)),IF(TRIM(MID(SUBSTITUTE(G41,";",REPT(" ",99)),199,99))="","",IFERROR(VLOOKUP(--LEFT(TRIM(MID(SUBSTITUTE(G41,";",REPT(" ",99)),199,99)),FIND(":",TRIM(MID(SUBSTITUTE(G41,";",REPT(" ",99)),199,99)))-1),_Lookup!$A:$B,2,FALSE),"?")&amp;"×"&amp;MID(TRIM(MID(SUBSTITUTE(G41,";",REPT(" ",99)),199,99)),FIND(":",TRIM(MID(SUBSTITUTE(G41,";",REPT(" ",99)),199,99)))+1,99)),IF(TRIM(MID(SUBSTITUTE(G41,";",REPT(" ",99)),298,99))="","",IFERROR(VLOOKUP(--LEFT(TRIM(MID(SUBSTITUTE(G41,";",REPT(" ",99)),298,99)),FIND(":",TRIM(MID(SUBSTITUTE(G41,";",REPT(" ",99)),298,99)))-1),_Lookup!$A:$B,2,FALSE),"?")&amp;"×"&amp;MID(TRIM(MID(SUBSTITUTE(G41,";",REPT(" ",99)),298,99)),FIND(":",TRIM(MID(SUBSTITUTE(G41,";",REPT(" ",99)),298,99)))+1,99)),IF(TRIM(MID(SUBSTITUTE(G41,";",REPT(" ",99)),397,99))="","",IFERROR(VLOOKUP(--LEFT(TRIM(MID(SUBSTITUTE(G41,";",REPT(" ",99)),397,99)),FIND(":",TRIM(MID(SUBSTITUTE(G41,";",REPT(" ",99)),397,99)))-1),_Lookup!$A:$B,2,FALSE),"?")&amp;"×"&amp;MID(TRIM(MID(SUBSTITUTE(G41,";",REPT(" ",99)),397,99)),FIND(":",TRIM(MID(SUBSTITUTE(G41,";",REPT(" ",99)),397,99)))+1,99))))</f>
        <v/>
      </c>
    </row>
    <row r="42">
      <c r="C42" s="11">
        <f>IFERROR(VLOOKUP(B42,ItemData_Equipment!$A:$B,2,FALSE),"")</f>
        <v/>
      </c>
      <c r="H42" s="11">
        <f>IF(G42="","",TEXTJOIN("; ",TRUE,IF(TRIM(MID(SUBSTITUTE(G42,";",REPT(" ",99)),1,99))="","",IFERROR(VLOOKUP(--LEFT(TRIM(MID(SUBSTITUTE(G42,";",REPT(" ",99)),1,99)),FIND(":",TRIM(MID(SUBSTITUTE(G42,";",REPT(" ",99)),1,99)))-1),_Lookup!$A:$B,2,FALSE),"?")&amp;"×"&amp;MID(TRIM(MID(SUBSTITUTE(G42,";",REPT(" ",99)),1,99)),FIND(":",TRIM(MID(SUBSTITUTE(G42,";",REPT(" ",99)),1,99)))+1,99)),IF(TRIM(MID(SUBSTITUTE(G42,";",REPT(" ",99)),100,99))="","",IFERROR(VLOOKUP(--LEFT(TRIM(MID(SUBSTITUTE(G42,";",REPT(" ",99)),100,99)),FIND(":",TRIM(MID(SUBSTITUTE(G42,";",REPT(" ",99)),100,99)))-1),_Lookup!$A:$B,2,FALSE),"?")&amp;"×"&amp;MID(TRIM(MID(SUBSTITUTE(G42,";",REPT(" ",99)),100,99)),FIND(":",TRIM(MID(SUBSTITUTE(G42,";",REPT(" ",99)),100,99)))+1,99)),IF(TRIM(MID(SUBSTITUTE(G42,";",REPT(" ",99)),199,99))="","",IFERROR(VLOOKUP(--LEFT(TRIM(MID(SUBSTITUTE(G42,";",REPT(" ",99)),199,99)),FIND(":",TRIM(MID(SUBSTITUTE(G42,";",REPT(" ",99)),199,99)))-1),_Lookup!$A:$B,2,FALSE),"?")&amp;"×"&amp;MID(TRIM(MID(SUBSTITUTE(G42,";",REPT(" ",99)),199,99)),FIND(":",TRIM(MID(SUBSTITUTE(G42,";",REPT(" ",99)),199,99)))+1,99)),IF(TRIM(MID(SUBSTITUTE(G42,";",REPT(" ",99)),298,99))="","",IFERROR(VLOOKUP(--LEFT(TRIM(MID(SUBSTITUTE(G42,";",REPT(" ",99)),298,99)),FIND(":",TRIM(MID(SUBSTITUTE(G42,";",REPT(" ",99)),298,99)))-1),_Lookup!$A:$B,2,FALSE),"?")&amp;"×"&amp;MID(TRIM(MID(SUBSTITUTE(G42,";",REPT(" ",99)),298,99)),FIND(":",TRIM(MID(SUBSTITUTE(G42,";",REPT(" ",99)),298,99)))+1,99)),IF(TRIM(MID(SUBSTITUTE(G42,";",REPT(" ",99)),397,99))="","",IFERROR(VLOOKUP(--LEFT(TRIM(MID(SUBSTITUTE(G42,";",REPT(" ",99)),397,99)),FIND(":",TRIM(MID(SUBSTITUTE(G42,";",REPT(" ",99)),397,99)))-1),_Lookup!$A:$B,2,FALSE),"?")&amp;"×"&amp;MID(TRIM(MID(SUBSTITUTE(G42,";",REPT(" ",99)),397,99)),FIND(":",TRIM(MID(SUBSTITUTE(G42,";",REPT(" ",99)),397,99)))+1,99))))</f>
        <v/>
      </c>
    </row>
    <row r="43">
      <c r="C43" s="11">
        <f>IFERROR(VLOOKUP(B43,ItemData_Equipment!$A:$B,2,FALSE),"")</f>
        <v/>
      </c>
      <c r="H43" s="11">
        <f>IF(G43="","",TEXTJOIN("; ",TRUE,IF(TRIM(MID(SUBSTITUTE(G43,";",REPT(" ",99)),1,99))="","",IFERROR(VLOOKUP(--LEFT(TRIM(MID(SUBSTITUTE(G43,";",REPT(" ",99)),1,99)),FIND(":",TRIM(MID(SUBSTITUTE(G43,";",REPT(" ",99)),1,99)))-1),_Lookup!$A:$B,2,FALSE),"?")&amp;"×"&amp;MID(TRIM(MID(SUBSTITUTE(G43,";",REPT(" ",99)),1,99)),FIND(":",TRIM(MID(SUBSTITUTE(G43,";",REPT(" ",99)),1,99)))+1,99)),IF(TRIM(MID(SUBSTITUTE(G43,";",REPT(" ",99)),100,99))="","",IFERROR(VLOOKUP(--LEFT(TRIM(MID(SUBSTITUTE(G43,";",REPT(" ",99)),100,99)),FIND(":",TRIM(MID(SUBSTITUTE(G43,";",REPT(" ",99)),100,99)))-1),_Lookup!$A:$B,2,FALSE),"?")&amp;"×"&amp;MID(TRIM(MID(SUBSTITUTE(G43,";",REPT(" ",99)),100,99)),FIND(":",TRIM(MID(SUBSTITUTE(G43,";",REPT(" ",99)),100,99)))+1,99)),IF(TRIM(MID(SUBSTITUTE(G43,";",REPT(" ",99)),199,99))="","",IFERROR(VLOOKUP(--LEFT(TRIM(MID(SUBSTITUTE(G43,";",REPT(" ",99)),199,99)),FIND(":",TRIM(MID(SUBSTITUTE(G43,";",REPT(" ",99)),199,99)))-1),_Lookup!$A:$B,2,FALSE),"?")&amp;"×"&amp;MID(TRIM(MID(SUBSTITUTE(G43,";",REPT(" ",99)),199,99)),FIND(":",TRIM(MID(SUBSTITUTE(G43,";",REPT(" ",99)),199,99)))+1,99)),IF(TRIM(MID(SUBSTITUTE(G43,";",REPT(" ",99)),298,99))="","",IFERROR(VLOOKUP(--LEFT(TRIM(MID(SUBSTITUTE(G43,";",REPT(" ",99)),298,99)),FIND(":",TRIM(MID(SUBSTITUTE(G43,";",REPT(" ",99)),298,99)))-1),_Lookup!$A:$B,2,FALSE),"?")&amp;"×"&amp;MID(TRIM(MID(SUBSTITUTE(G43,";",REPT(" ",99)),298,99)),FIND(":",TRIM(MID(SUBSTITUTE(G43,";",REPT(" ",99)),298,99)))+1,99)),IF(TRIM(MID(SUBSTITUTE(G43,";",REPT(" ",99)),397,99))="","",IFERROR(VLOOKUP(--LEFT(TRIM(MID(SUBSTITUTE(G43,";",REPT(" ",99)),397,99)),FIND(":",TRIM(MID(SUBSTITUTE(G43,";",REPT(" ",99)),397,99)))-1),_Lookup!$A:$B,2,FALSE),"?")&amp;"×"&amp;MID(TRIM(MID(SUBSTITUTE(G43,";",REPT(" ",99)),397,99)),FIND(":",TRIM(MID(SUBSTITUTE(G43,";",REPT(" ",99)),397,99)))+1,99))))</f>
        <v/>
      </c>
    </row>
    <row r="44">
      <c r="C44" s="11">
        <f>IFERROR(VLOOKUP(B44,ItemData_Equipment!$A:$B,2,FALSE),"")</f>
        <v/>
      </c>
      <c r="H44" s="11">
        <f>IF(G44="","",TEXTJOIN("; ",TRUE,IF(TRIM(MID(SUBSTITUTE(G44,";",REPT(" ",99)),1,99))="","",IFERROR(VLOOKUP(--LEFT(TRIM(MID(SUBSTITUTE(G44,";",REPT(" ",99)),1,99)),FIND(":",TRIM(MID(SUBSTITUTE(G44,";",REPT(" ",99)),1,99)))-1),_Lookup!$A:$B,2,FALSE),"?")&amp;"×"&amp;MID(TRIM(MID(SUBSTITUTE(G44,";",REPT(" ",99)),1,99)),FIND(":",TRIM(MID(SUBSTITUTE(G44,";",REPT(" ",99)),1,99)))+1,99)),IF(TRIM(MID(SUBSTITUTE(G44,";",REPT(" ",99)),100,99))="","",IFERROR(VLOOKUP(--LEFT(TRIM(MID(SUBSTITUTE(G44,";",REPT(" ",99)),100,99)),FIND(":",TRIM(MID(SUBSTITUTE(G44,";",REPT(" ",99)),100,99)))-1),_Lookup!$A:$B,2,FALSE),"?")&amp;"×"&amp;MID(TRIM(MID(SUBSTITUTE(G44,";",REPT(" ",99)),100,99)),FIND(":",TRIM(MID(SUBSTITUTE(G44,";",REPT(" ",99)),100,99)))+1,99)),IF(TRIM(MID(SUBSTITUTE(G44,";",REPT(" ",99)),199,99))="","",IFERROR(VLOOKUP(--LEFT(TRIM(MID(SUBSTITUTE(G44,";",REPT(" ",99)),199,99)),FIND(":",TRIM(MID(SUBSTITUTE(G44,";",REPT(" ",99)),199,99)))-1),_Lookup!$A:$B,2,FALSE),"?")&amp;"×"&amp;MID(TRIM(MID(SUBSTITUTE(G44,";",REPT(" ",99)),199,99)),FIND(":",TRIM(MID(SUBSTITUTE(G44,";",REPT(" ",99)),199,99)))+1,99)),IF(TRIM(MID(SUBSTITUTE(G44,";",REPT(" ",99)),298,99))="","",IFERROR(VLOOKUP(--LEFT(TRIM(MID(SUBSTITUTE(G44,";",REPT(" ",99)),298,99)),FIND(":",TRIM(MID(SUBSTITUTE(G44,";",REPT(" ",99)),298,99)))-1),_Lookup!$A:$B,2,FALSE),"?")&amp;"×"&amp;MID(TRIM(MID(SUBSTITUTE(G44,";",REPT(" ",99)),298,99)),FIND(":",TRIM(MID(SUBSTITUTE(G44,";",REPT(" ",99)),298,99)))+1,99)),IF(TRIM(MID(SUBSTITUTE(G44,";",REPT(" ",99)),397,99))="","",IFERROR(VLOOKUP(--LEFT(TRIM(MID(SUBSTITUTE(G44,";",REPT(" ",99)),397,99)),FIND(":",TRIM(MID(SUBSTITUTE(G44,";",REPT(" ",99)),397,99)))-1),_Lookup!$A:$B,2,FALSE),"?")&amp;"×"&amp;MID(TRIM(MID(SUBSTITUTE(G44,";",REPT(" ",99)),397,99)),FIND(":",TRIM(MID(SUBSTITUTE(G44,";",REPT(" ",99)),397,99)))+1,99))))</f>
        <v/>
      </c>
    </row>
    <row r="45">
      <c r="C45" s="11">
        <f>IFERROR(VLOOKUP(B45,ItemData_Equipment!$A:$B,2,FALSE),"")</f>
        <v/>
      </c>
      <c r="H45" s="11">
        <f>IF(G45="","",TEXTJOIN("; ",TRUE,IF(TRIM(MID(SUBSTITUTE(G45,";",REPT(" ",99)),1,99))="","",IFERROR(VLOOKUP(--LEFT(TRIM(MID(SUBSTITUTE(G45,";",REPT(" ",99)),1,99)),FIND(":",TRIM(MID(SUBSTITUTE(G45,";",REPT(" ",99)),1,99)))-1),_Lookup!$A:$B,2,FALSE),"?")&amp;"×"&amp;MID(TRIM(MID(SUBSTITUTE(G45,";",REPT(" ",99)),1,99)),FIND(":",TRIM(MID(SUBSTITUTE(G45,";",REPT(" ",99)),1,99)))+1,99)),IF(TRIM(MID(SUBSTITUTE(G45,";",REPT(" ",99)),100,99))="","",IFERROR(VLOOKUP(--LEFT(TRIM(MID(SUBSTITUTE(G45,";",REPT(" ",99)),100,99)),FIND(":",TRIM(MID(SUBSTITUTE(G45,";",REPT(" ",99)),100,99)))-1),_Lookup!$A:$B,2,FALSE),"?")&amp;"×"&amp;MID(TRIM(MID(SUBSTITUTE(G45,";",REPT(" ",99)),100,99)),FIND(":",TRIM(MID(SUBSTITUTE(G45,";",REPT(" ",99)),100,99)))+1,99)),IF(TRIM(MID(SUBSTITUTE(G45,";",REPT(" ",99)),199,99))="","",IFERROR(VLOOKUP(--LEFT(TRIM(MID(SUBSTITUTE(G45,";",REPT(" ",99)),199,99)),FIND(":",TRIM(MID(SUBSTITUTE(G45,";",REPT(" ",99)),199,99)))-1),_Lookup!$A:$B,2,FALSE),"?")&amp;"×"&amp;MID(TRIM(MID(SUBSTITUTE(G45,";",REPT(" ",99)),199,99)),FIND(":",TRIM(MID(SUBSTITUTE(G45,";",REPT(" ",99)),199,99)))+1,99)),IF(TRIM(MID(SUBSTITUTE(G45,";",REPT(" ",99)),298,99))="","",IFERROR(VLOOKUP(--LEFT(TRIM(MID(SUBSTITUTE(G45,";",REPT(" ",99)),298,99)),FIND(":",TRIM(MID(SUBSTITUTE(G45,";",REPT(" ",99)),298,99)))-1),_Lookup!$A:$B,2,FALSE),"?")&amp;"×"&amp;MID(TRIM(MID(SUBSTITUTE(G45,";",REPT(" ",99)),298,99)),FIND(":",TRIM(MID(SUBSTITUTE(G45,";",REPT(" ",99)),298,99)))+1,99)),IF(TRIM(MID(SUBSTITUTE(G45,";",REPT(" ",99)),397,99))="","",IFERROR(VLOOKUP(--LEFT(TRIM(MID(SUBSTITUTE(G45,";",REPT(" ",99)),397,99)),FIND(":",TRIM(MID(SUBSTITUTE(G45,";",REPT(" ",99)),397,99)))-1),_Lookup!$A:$B,2,FALSE),"?")&amp;"×"&amp;MID(TRIM(MID(SUBSTITUTE(G45,";",REPT(" ",99)),397,99)),FIND(":",TRIM(MID(SUBSTITUTE(G45,";",REPT(" ",99)),397,99)))+1,99))))</f>
        <v/>
      </c>
    </row>
    <row r="46">
      <c r="C46" s="11">
        <f>IFERROR(VLOOKUP(B46,ItemData_Equipment!$A:$B,2,FALSE),"")</f>
        <v/>
      </c>
      <c r="H46" s="11">
        <f>IF(G46="","",TEXTJOIN("; ",TRUE,IF(TRIM(MID(SUBSTITUTE(G46,";",REPT(" ",99)),1,99))="","",IFERROR(VLOOKUP(--LEFT(TRIM(MID(SUBSTITUTE(G46,";",REPT(" ",99)),1,99)),FIND(":",TRIM(MID(SUBSTITUTE(G46,";",REPT(" ",99)),1,99)))-1),_Lookup!$A:$B,2,FALSE),"?")&amp;"×"&amp;MID(TRIM(MID(SUBSTITUTE(G46,";",REPT(" ",99)),1,99)),FIND(":",TRIM(MID(SUBSTITUTE(G46,";",REPT(" ",99)),1,99)))+1,99)),IF(TRIM(MID(SUBSTITUTE(G46,";",REPT(" ",99)),100,99))="","",IFERROR(VLOOKUP(--LEFT(TRIM(MID(SUBSTITUTE(G46,";",REPT(" ",99)),100,99)),FIND(":",TRIM(MID(SUBSTITUTE(G46,";",REPT(" ",99)),100,99)))-1),_Lookup!$A:$B,2,FALSE),"?")&amp;"×"&amp;MID(TRIM(MID(SUBSTITUTE(G46,";",REPT(" ",99)),100,99)),FIND(":",TRIM(MID(SUBSTITUTE(G46,";",REPT(" ",99)),100,99)))+1,99)),IF(TRIM(MID(SUBSTITUTE(G46,";",REPT(" ",99)),199,99))="","",IFERROR(VLOOKUP(--LEFT(TRIM(MID(SUBSTITUTE(G46,";",REPT(" ",99)),199,99)),FIND(":",TRIM(MID(SUBSTITUTE(G46,";",REPT(" ",99)),199,99)))-1),_Lookup!$A:$B,2,FALSE),"?")&amp;"×"&amp;MID(TRIM(MID(SUBSTITUTE(G46,";",REPT(" ",99)),199,99)),FIND(":",TRIM(MID(SUBSTITUTE(G46,";",REPT(" ",99)),199,99)))+1,99)),IF(TRIM(MID(SUBSTITUTE(G46,";",REPT(" ",99)),298,99))="","",IFERROR(VLOOKUP(--LEFT(TRIM(MID(SUBSTITUTE(G46,";",REPT(" ",99)),298,99)),FIND(":",TRIM(MID(SUBSTITUTE(G46,";",REPT(" ",99)),298,99)))-1),_Lookup!$A:$B,2,FALSE),"?")&amp;"×"&amp;MID(TRIM(MID(SUBSTITUTE(G46,";",REPT(" ",99)),298,99)),FIND(":",TRIM(MID(SUBSTITUTE(G46,";",REPT(" ",99)),298,99)))+1,99)),IF(TRIM(MID(SUBSTITUTE(G46,";",REPT(" ",99)),397,99))="","",IFERROR(VLOOKUP(--LEFT(TRIM(MID(SUBSTITUTE(G46,";",REPT(" ",99)),397,99)),FIND(":",TRIM(MID(SUBSTITUTE(G46,";",REPT(" ",99)),397,99)))-1),_Lookup!$A:$B,2,FALSE),"?")&amp;"×"&amp;MID(TRIM(MID(SUBSTITUTE(G46,";",REPT(" ",99)),397,99)),FIND(":",TRIM(MID(SUBSTITUTE(G46,";",REPT(" ",99)),397,99)))+1,99))))</f>
        <v/>
      </c>
    </row>
    <row r="47">
      <c r="C47" s="11">
        <f>IFERROR(VLOOKUP(B47,ItemData_Equipment!$A:$B,2,FALSE),"")</f>
        <v/>
      </c>
      <c r="H47" s="11">
        <f>IF(G47="","",TEXTJOIN("; ",TRUE,IF(TRIM(MID(SUBSTITUTE(G47,";",REPT(" ",99)),1,99))="","",IFERROR(VLOOKUP(--LEFT(TRIM(MID(SUBSTITUTE(G47,";",REPT(" ",99)),1,99)),FIND(":",TRIM(MID(SUBSTITUTE(G47,";",REPT(" ",99)),1,99)))-1),_Lookup!$A:$B,2,FALSE),"?")&amp;"×"&amp;MID(TRIM(MID(SUBSTITUTE(G47,";",REPT(" ",99)),1,99)),FIND(":",TRIM(MID(SUBSTITUTE(G47,";",REPT(" ",99)),1,99)))+1,99)),IF(TRIM(MID(SUBSTITUTE(G47,";",REPT(" ",99)),100,99))="","",IFERROR(VLOOKUP(--LEFT(TRIM(MID(SUBSTITUTE(G47,";",REPT(" ",99)),100,99)),FIND(":",TRIM(MID(SUBSTITUTE(G47,";",REPT(" ",99)),100,99)))-1),_Lookup!$A:$B,2,FALSE),"?")&amp;"×"&amp;MID(TRIM(MID(SUBSTITUTE(G47,";",REPT(" ",99)),100,99)),FIND(":",TRIM(MID(SUBSTITUTE(G47,";",REPT(" ",99)),100,99)))+1,99)),IF(TRIM(MID(SUBSTITUTE(G47,";",REPT(" ",99)),199,99))="","",IFERROR(VLOOKUP(--LEFT(TRIM(MID(SUBSTITUTE(G47,";",REPT(" ",99)),199,99)),FIND(":",TRIM(MID(SUBSTITUTE(G47,";",REPT(" ",99)),199,99)))-1),_Lookup!$A:$B,2,FALSE),"?")&amp;"×"&amp;MID(TRIM(MID(SUBSTITUTE(G47,";",REPT(" ",99)),199,99)),FIND(":",TRIM(MID(SUBSTITUTE(G47,";",REPT(" ",99)),199,99)))+1,99)),IF(TRIM(MID(SUBSTITUTE(G47,";",REPT(" ",99)),298,99))="","",IFERROR(VLOOKUP(--LEFT(TRIM(MID(SUBSTITUTE(G47,";",REPT(" ",99)),298,99)),FIND(":",TRIM(MID(SUBSTITUTE(G47,";",REPT(" ",99)),298,99)))-1),_Lookup!$A:$B,2,FALSE),"?")&amp;"×"&amp;MID(TRIM(MID(SUBSTITUTE(G47,";",REPT(" ",99)),298,99)),FIND(":",TRIM(MID(SUBSTITUTE(G47,";",REPT(" ",99)),298,99)))+1,99)),IF(TRIM(MID(SUBSTITUTE(G47,";",REPT(" ",99)),397,99))="","",IFERROR(VLOOKUP(--LEFT(TRIM(MID(SUBSTITUTE(G47,";",REPT(" ",99)),397,99)),FIND(":",TRIM(MID(SUBSTITUTE(G47,";",REPT(" ",99)),397,99)))-1),_Lookup!$A:$B,2,FALSE),"?")&amp;"×"&amp;MID(TRIM(MID(SUBSTITUTE(G47,";",REPT(" ",99)),397,99)),FIND(":",TRIM(MID(SUBSTITUTE(G47,";",REPT(" ",99)),397,99)))+1,99))))</f>
        <v/>
      </c>
    </row>
    <row r="48">
      <c r="C48" s="11">
        <f>IFERROR(VLOOKUP(B48,ItemData_Equipment!$A:$B,2,FALSE),"")</f>
        <v/>
      </c>
      <c r="H48" s="11">
        <f>IF(G48="","",TEXTJOIN("; ",TRUE,IF(TRIM(MID(SUBSTITUTE(G48,";",REPT(" ",99)),1,99))="","",IFERROR(VLOOKUP(--LEFT(TRIM(MID(SUBSTITUTE(G48,";",REPT(" ",99)),1,99)),FIND(":",TRIM(MID(SUBSTITUTE(G48,";",REPT(" ",99)),1,99)))-1),_Lookup!$A:$B,2,FALSE),"?")&amp;"×"&amp;MID(TRIM(MID(SUBSTITUTE(G48,";",REPT(" ",99)),1,99)),FIND(":",TRIM(MID(SUBSTITUTE(G48,";",REPT(" ",99)),1,99)))+1,99)),IF(TRIM(MID(SUBSTITUTE(G48,";",REPT(" ",99)),100,99))="","",IFERROR(VLOOKUP(--LEFT(TRIM(MID(SUBSTITUTE(G48,";",REPT(" ",99)),100,99)),FIND(":",TRIM(MID(SUBSTITUTE(G48,";",REPT(" ",99)),100,99)))-1),_Lookup!$A:$B,2,FALSE),"?")&amp;"×"&amp;MID(TRIM(MID(SUBSTITUTE(G48,";",REPT(" ",99)),100,99)),FIND(":",TRIM(MID(SUBSTITUTE(G48,";",REPT(" ",99)),100,99)))+1,99)),IF(TRIM(MID(SUBSTITUTE(G48,";",REPT(" ",99)),199,99))="","",IFERROR(VLOOKUP(--LEFT(TRIM(MID(SUBSTITUTE(G48,";",REPT(" ",99)),199,99)),FIND(":",TRIM(MID(SUBSTITUTE(G48,";",REPT(" ",99)),199,99)))-1),_Lookup!$A:$B,2,FALSE),"?")&amp;"×"&amp;MID(TRIM(MID(SUBSTITUTE(G48,";",REPT(" ",99)),199,99)),FIND(":",TRIM(MID(SUBSTITUTE(G48,";",REPT(" ",99)),199,99)))+1,99)),IF(TRIM(MID(SUBSTITUTE(G48,";",REPT(" ",99)),298,99))="","",IFERROR(VLOOKUP(--LEFT(TRIM(MID(SUBSTITUTE(G48,";",REPT(" ",99)),298,99)),FIND(":",TRIM(MID(SUBSTITUTE(G48,";",REPT(" ",99)),298,99)))-1),_Lookup!$A:$B,2,FALSE),"?")&amp;"×"&amp;MID(TRIM(MID(SUBSTITUTE(G48,";",REPT(" ",99)),298,99)),FIND(":",TRIM(MID(SUBSTITUTE(G48,";",REPT(" ",99)),298,99)))+1,99)),IF(TRIM(MID(SUBSTITUTE(G48,";",REPT(" ",99)),397,99))="","",IFERROR(VLOOKUP(--LEFT(TRIM(MID(SUBSTITUTE(G48,";",REPT(" ",99)),397,99)),FIND(":",TRIM(MID(SUBSTITUTE(G48,";",REPT(" ",99)),397,99)))-1),_Lookup!$A:$B,2,FALSE),"?")&amp;"×"&amp;MID(TRIM(MID(SUBSTITUTE(G48,";",REPT(" ",99)),397,99)),FIND(":",TRIM(MID(SUBSTITUTE(G48,";",REPT(" ",99)),397,99)))+1,99))))</f>
        <v/>
      </c>
    </row>
    <row r="49">
      <c r="C49" s="11">
        <f>IFERROR(VLOOKUP(B49,ItemData_Equipment!$A:$B,2,FALSE),"")</f>
        <v/>
      </c>
      <c r="H49" s="11">
        <f>IF(G49="","",TEXTJOIN("; ",TRUE,IF(TRIM(MID(SUBSTITUTE(G49,";",REPT(" ",99)),1,99))="","",IFERROR(VLOOKUP(--LEFT(TRIM(MID(SUBSTITUTE(G49,";",REPT(" ",99)),1,99)),FIND(":",TRIM(MID(SUBSTITUTE(G49,";",REPT(" ",99)),1,99)))-1),_Lookup!$A:$B,2,FALSE),"?")&amp;"×"&amp;MID(TRIM(MID(SUBSTITUTE(G49,";",REPT(" ",99)),1,99)),FIND(":",TRIM(MID(SUBSTITUTE(G49,";",REPT(" ",99)),1,99)))+1,99)),IF(TRIM(MID(SUBSTITUTE(G49,";",REPT(" ",99)),100,99))="","",IFERROR(VLOOKUP(--LEFT(TRIM(MID(SUBSTITUTE(G49,";",REPT(" ",99)),100,99)),FIND(":",TRIM(MID(SUBSTITUTE(G49,";",REPT(" ",99)),100,99)))-1),_Lookup!$A:$B,2,FALSE),"?")&amp;"×"&amp;MID(TRIM(MID(SUBSTITUTE(G49,";",REPT(" ",99)),100,99)),FIND(":",TRIM(MID(SUBSTITUTE(G49,";",REPT(" ",99)),100,99)))+1,99)),IF(TRIM(MID(SUBSTITUTE(G49,";",REPT(" ",99)),199,99))="","",IFERROR(VLOOKUP(--LEFT(TRIM(MID(SUBSTITUTE(G49,";",REPT(" ",99)),199,99)),FIND(":",TRIM(MID(SUBSTITUTE(G49,";",REPT(" ",99)),199,99)))-1),_Lookup!$A:$B,2,FALSE),"?")&amp;"×"&amp;MID(TRIM(MID(SUBSTITUTE(G49,";",REPT(" ",99)),199,99)),FIND(":",TRIM(MID(SUBSTITUTE(G49,";",REPT(" ",99)),199,99)))+1,99)),IF(TRIM(MID(SUBSTITUTE(G49,";",REPT(" ",99)),298,99))="","",IFERROR(VLOOKUP(--LEFT(TRIM(MID(SUBSTITUTE(G49,";",REPT(" ",99)),298,99)),FIND(":",TRIM(MID(SUBSTITUTE(G49,";",REPT(" ",99)),298,99)))-1),_Lookup!$A:$B,2,FALSE),"?")&amp;"×"&amp;MID(TRIM(MID(SUBSTITUTE(G49,";",REPT(" ",99)),298,99)),FIND(":",TRIM(MID(SUBSTITUTE(G49,";",REPT(" ",99)),298,99)))+1,99)),IF(TRIM(MID(SUBSTITUTE(G49,";",REPT(" ",99)),397,99))="","",IFERROR(VLOOKUP(--LEFT(TRIM(MID(SUBSTITUTE(G49,";",REPT(" ",99)),397,99)),FIND(":",TRIM(MID(SUBSTITUTE(G49,";",REPT(" ",99)),397,99)))-1),_Lookup!$A:$B,2,FALSE),"?")&amp;"×"&amp;MID(TRIM(MID(SUBSTITUTE(G49,";",REPT(" ",99)),397,99)),FIND(":",TRIM(MID(SUBSTITUTE(G49,";",REPT(" ",99)),397,99)))+1,99))))</f>
        <v/>
      </c>
    </row>
    <row r="50">
      <c r="C50" s="11">
        <f>IFERROR(VLOOKUP(B50,ItemData_Equipment!$A:$B,2,FALSE),"")</f>
        <v/>
      </c>
      <c r="H50" s="11">
        <f>IF(G50="","",TEXTJOIN("; ",TRUE,IF(TRIM(MID(SUBSTITUTE(G50,";",REPT(" ",99)),1,99))="","",IFERROR(VLOOKUP(--LEFT(TRIM(MID(SUBSTITUTE(G50,";",REPT(" ",99)),1,99)),FIND(":",TRIM(MID(SUBSTITUTE(G50,";",REPT(" ",99)),1,99)))-1),_Lookup!$A:$B,2,FALSE),"?")&amp;"×"&amp;MID(TRIM(MID(SUBSTITUTE(G50,";",REPT(" ",99)),1,99)),FIND(":",TRIM(MID(SUBSTITUTE(G50,";",REPT(" ",99)),1,99)))+1,99)),IF(TRIM(MID(SUBSTITUTE(G50,";",REPT(" ",99)),100,99))="","",IFERROR(VLOOKUP(--LEFT(TRIM(MID(SUBSTITUTE(G50,";",REPT(" ",99)),100,99)),FIND(":",TRIM(MID(SUBSTITUTE(G50,";",REPT(" ",99)),100,99)))-1),_Lookup!$A:$B,2,FALSE),"?")&amp;"×"&amp;MID(TRIM(MID(SUBSTITUTE(G50,";",REPT(" ",99)),100,99)),FIND(":",TRIM(MID(SUBSTITUTE(G50,";",REPT(" ",99)),100,99)))+1,99)),IF(TRIM(MID(SUBSTITUTE(G50,";",REPT(" ",99)),199,99))="","",IFERROR(VLOOKUP(--LEFT(TRIM(MID(SUBSTITUTE(G50,";",REPT(" ",99)),199,99)),FIND(":",TRIM(MID(SUBSTITUTE(G50,";",REPT(" ",99)),199,99)))-1),_Lookup!$A:$B,2,FALSE),"?")&amp;"×"&amp;MID(TRIM(MID(SUBSTITUTE(G50,";",REPT(" ",99)),199,99)),FIND(":",TRIM(MID(SUBSTITUTE(G50,";",REPT(" ",99)),199,99)))+1,99)),IF(TRIM(MID(SUBSTITUTE(G50,";",REPT(" ",99)),298,99))="","",IFERROR(VLOOKUP(--LEFT(TRIM(MID(SUBSTITUTE(G50,";",REPT(" ",99)),298,99)),FIND(":",TRIM(MID(SUBSTITUTE(G50,";",REPT(" ",99)),298,99)))-1),_Lookup!$A:$B,2,FALSE),"?")&amp;"×"&amp;MID(TRIM(MID(SUBSTITUTE(G50,";",REPT(" ",99)),298,99)),FIND(":",TRIM(MID(SUBSTITUTE(G50,";",REPT(" ",99)),298,99)))+1,99)),IF(TRIM(MID(SUBSTITUTE(G50,";",REPT(" ",99)),397,99))="","",IFERROR(VLOOKUP(--LEFT(TRIM(MID(SUBSTITUTE(G50,";",REPT(" ",99)),397,99)),FIND(":",TRIM(MID(SUBSTITUTE(G50,";",REPT(" ",99)),397,99)))-1),_Lookup!$A:$B,2,FALSE),"?")&amp;"×"&amp;MID(TRIM(MID(SUBSTITUTE(G50,";",REPT(" ",99)),397,99)),FIND(":",TRIM(MID(SUBSTITUTE(G50,";",REPT(" ",99)),397,99)))+1,99))))</f>
        <v/>
      </c>
    </row>
    <row r="51">
      <c r="C51" s="11">
        <f>IFERROR(VLOOKUP(B51,ItemData_Equipment!$A:$B,2,FALSE),"")</f>
        <v/>
      </c>
      <c r="H51" s="11">
        <f>IF(G51="","",TEXTJOIN("; ",TRUE,IF(TRIM(MID(SUBSTITUTE(G51,";",REPT(" ",99)),1,99))="","",IFERROR(VLOOKUP(--LEFT(TRIM(MID(SUBSTITUTE(G51,";",REPT(" ",99)),1,99)),FIND(":",TRIM(MID(SUBSTITUTE(G51,";",REPT(" ",99)),1,99)))-1),_Lookup!$A:$B,2,FALSE),"?")&amp;"×"&amp;MID(TRIM(MID(SUBSTITUTE(G51,";",REPT(" ",99)),1,99)),FIND(":",TRIM(MID(SUBSTITUTE(G51,";",REPT(" ",99)),1,99)))+1,99)),IF(TRIM(MID(SUBSTITUTE(G51,";",REPT(" ",99)),100,99))="","",IFERROR(VLOOKUP(--LEFT(TRIM(MID(SUBSTITUTE(G51,";",REPT(" ",99)),100,99)),FIND(":",TRIM(MID(SUBSTITUTE(G51,";",REPT(" ",99)),100,99)))-1),_Lookup!$A:$B,2,FALSE),"?")&amp;"×"&amp;MID(TRIM(MID(SUBSTITUTE(G51,";",REPT(" ",99)),100,99)),FIND(":",TRIM(MID(SUBSTITUTE(G51,";",REPT(" ",99)),100,99)))+1,99)),IF(TRIM(MID(SUBSTITUTE(G51,";",REPT(" ",99)),199,99))="","",IFERROR(VLOOKUP(--LEFT(TRIM(MID(SUBSTITUTE(G51,";",REPT(" ",99)),199,99)),FIND(":",TRIM(MID(SUBSTITUTE(G51,";",REPT(" ",99)),199,99)))-1),_Lookup!$A:$B,2,FALSE),"?")&amp;"×"&amp;MID(TRIM(MID(SUBSTITUTE(G51,";",REPT(" ",99)),199,99)),FIND(":",TRIM(MID(SUBSTITUTE(G51,";",REPT(" ",99)),199,99)))+1,99)),IF(TRIM(MID(SUBSTITUTE(G51,";",REPT(" ",99)),298,99))="","",IFERROR(VLOOKUP(--LEFT(TRIM(MID(SUBSTITUTE(G51,";",REPT(" ",99)),298,99)),FIND(":",TRIM(MID(SUBSTITUTE(G51,";",REPT(" ",99)),298,99)))-1),_Lookup!$A:$B,2,FALSE),"?")&amp;"×"&amp;MID(TRIM(MID(SUBSTITUTE(G51,";",REPT(" ",99)),298,99)),FIND(":",TRIM(MID(SUBSTITUTE(G51,";",REPT(" ",99)),298,99)))+1,99)),IF(TRIM(MID(SUBSTITUTE(G51,";",REPT(" ",99)),397,99))="","",IFERROR(VLOOKUP(--LEFT(TRIM(MID(SUBSTITUTE(G51,";",REPT(" ",99)),397,99)),FIND(":",TRIM(MID(SUBSTITUTE(G51,";",REPT(" ",99)),397,99)))-1),_Lookup!$A:$B,2,FALSE),"?")&amp;"×"&amp;MID(TRIM(MID(SUBSTITUTE(G51,";",REPT(" ",99)),397,99)),FIND(":",TRIM(MID(SUBSTITUTE(G51,";",REPT(" ",99)),397,99)))+1,99))))</f>
        <v/>
      </c>
    </row>
    <row r="52">
      <c r="C52" s="11">
        <f>IFERROR(VLOOKUP(B52,ItemData_Equipment!$A:$B,2,FALSE),"")</f>
        <v/>
      </c>
      <c r="H52" s="11">
        <f>IF(G52="","",TEXTJOIN("; ",TRUE,IF(TRIM(MID(SUBSTITUTE(G52,";",REPT(" ",99)),1,99))="","",IFERROR(VLOOKUP(--LEFT(TRIM(MID(SUBSTITUTE(G52,";",REPT(" ",99)),1,99)),FIND(":",TRIM(MID(SUBSTITUTE(G52,";",REPT(" ",99)),1,99)))-1),_Lookup!$A:$B,2,FALSE),"?")&amp;"×"&amp;MID(TRIM(MID(SUBSTITUTE(G52,";",REPT(" ",99)),1,99)),FIND(":",TRIM(MID(SUBSTITUTE(G52,";",REPT(" ",99)),1,99)))+1,99)),IF(TRIM(MID(SUBSTITUTE(G52,";",REPT(" ",99)),100,99))="","",IFERROR(VLOOKUP(--LEFT(TRIM(MID(SUBSTITUTE(G52,";",REPT(" ",99)),100,99)),FIND(":",TRIM(MID(SUBSTITUTE(G52,";",REPT(" ",99)),100,99)))-1),_Lookup!$A:$B,2,FALSE),"?")&amp;"×"&amp;MID(TRIM(MID(SUBSTITUTE(G52,";",REPT(" ",99)),100,99)),FIND(":",TRIM(MID(SUBSTITUTE(G52,";",REPT(" ",99)),100,99)))+1,99)),IF(TRIM(MID(SUBSTITUTE(G52,";",REPT(" ",99)),199,99))="","",IFERROR(VLOOKUP(--LEFT(TRIM(MID(SUBSTITUTE(G52,";",REPT(" ",99)),199,99)),FIND(":",TRIM(MID(SUBSTITUTE(G52,";",REPT(" ",99)),199,99)))-1),_Lookup!$A:$B,2,FALSE),"?")&amp;"×"&amp;MID(TRIM(MID(SUBSTITUTE(G52,";",REPT(" ",99)),199,99)),FIND(":",TRIM(MID(SUBSTITUTE(G52,";",REPT(" ",99)),199,99)))+1,99)),IF(TRIM(MID(SUBSTITUTE(G52,";",REPT(" ",99)),298,99))="","",IFERROR(VLOOKUP(--LEFT(TRIM(MID(SUBSTITUTE(G52,";",REPT(" ",99)),298,99)),FIND(":",TRIM(MID(SUBSTITUTE(G52,";",REPT(" ",99)),298,99)))-1),_Lookup!$A:$B,2,FALSE),"?")&amp;"×"&amp;MID(TRIM(MID(SUBSTITUTE(G52,";",REPT(" ",99)),298,99)),FIND(":",TRIM(MID(SUBSTITUTE(G52,";",REPT(" ",99)),298,99)))+1,99)),IF(TRIM(MID(SUBSTITUTE(G52,";",REPT(" ",99)),397,99))="","",IFERROR(VLOOKUP(--LEFT(TRIM(MID(SUBSTITUTE(G52,";",REPT(" ",99)),397,99)),FIND(":",TRIM(MID(SUBSTITUTE(G52,";",REPT(" ",99)),397,99)))-1),_Lookup!$A:$B,2,FALSE),"?")&amp;"×"&amp;MID(TRIM(MID(SUBSTITUTE(G52,";",REPT(" ",99)),397,99)),FIND(":",TRIM(MID(SUBSTITUTE(G52,";",REPT(" ",99)),397,99)))+1,99))))</f>
        <v/>
      </c>
    </row>
    <row r="53">
      <c r="C53" s="11">
        <f>IFERROR(VLOOKUP(B53,ItemData_Equipment!$A:$B,2,FALSE),"")</f>
        <v/>
      </c>
      <c r="H53" s="11">
        <f>IF(G53="","",TEXTJOIN("; ",TRUE,IF(TRIM(MID(SUBSTITUTE(G53,";",REPT(" ",99)),1,99))="","",IFERROR(VLOOKUP(--LEFT(TRIM(MID(SUBSTITUTE(G53,";",REPT(" ",99)),1,99)),FIND(":",TRIM(MID(SUBSTITUTE(G53,";",REPT(" ",99)),1,99)))-1),_Lookup!$A:$B,2,FALSE),"?")&amp;"×"&amp;MID(TRIM(MID(SUBSTITUTE(G53,";",REPT(" ",99)),1,99)),FIND(":",TRIM(MID(SUBSTITUTE(G53,";",REPT(" ",99)),1,99)))+1,99)),IF(TRIM(MID(SUBSTITUTE(G53,";",REPT(" ",99)),100,99))="","",IFERROR(VLOOKUP(--LEFT(TRIM(MID(SUBSTITUTE(G53,";",REPT(" ",99)),100,99)),FIND(":",TRIM(MID(SUBSTITUTE(G53,";",REPT(" ",99)),100,99)))-1),_Lookup!$A:$B,2,FALSE),"?")&amp;"×"&amp;MID(TRIM(MID(SUBSTITUTE(G53,";",REPT(" ",99)),100,99)),FIND(":",TRIM(MID(SUBSTITUTE(G53,";",REPT(" ",99)),100,99)))+1,99)),IF(TRIM(MID(SUBSTITUTE(G53,";",REPT(" ",99)),199,99))="","",IFERROR(VLOOKUP(--LEFT(TRIM(MID(SUBSTITUTE(G53,";",REPT(" ",99)),199,99)),FIND(":",TRIM(MID(SUBSTITUTE(G53,";",REPT(" ",99)),199,99)))-1),_Lookup!$A:$B,2,FALSE),"?")&amp;"×"&amp;MID(TRIM(MID(SUBSTITUTE(G53,";",REPT(" ",99)),199,99)),FIND(":",TRIM(MID(SUBSTITUTE(G53,";",REPT(" ",99)),199,99)))+1,99)),IF(TRIM(MID(SUBSTITUTE(G53,";",REPT(" ",99)),298,99))="","",IFERROR(VLOOKUP(--LEFT(TRIM(MID(SUBSTITUTE(G53,";",REPT(" ",99)),298,99)),FIND(":",TRIM(MID(SUBSTITUTE(G53,";",REPT(" ",99)),298,99)))-1),_Lookup!$A:$B,2,FALSE),"?")&amp;"×"&amp;MID(TRIM(MID(SUBSTITUTE(G53,";",REPT(" ",99)),298,99)),FIND(":",TRIM(MID(SUBSTITUTE(G53,";",REPT(" ",99)),298,99)))+1,99)),IF(TRIM(MID(SUBSTITUTE(G53,";",REPT(" ",99)),397,99))="","",IFERROR(VLOOKUP(--LEFT(TRIM(MID(SUBSTITUTE(G53,";",REPT(" ",99)),397,99)),FIND(":",TRIM(MID(SUBSTITUTE(G53,";",REPT(" ",99)),397,99)))-1),_Lookup!$A:$B,2,FALSE),"?")&amp;"×"&amp;MID(TRIM(MID(SUBSTITUTE(G53,";",REPT(" ",99)),397,99)),FIND(":",TRIM(MID(SUBSTITUTE(G53,";",REPT(" ",99)),397,99)))+1,99))))</f>
        <v/>
      </c>
    </row>
    <row r="54">
      <c r="C54" s="11">
        <f>IFERROR(VLOOKUP(B54,ItemData_Equipment!$A:$B,2,FALSE),"")</f>
        <v/>
      </c>
      <c r="H54" s="11">
        <f>IF(G54="","",TEXTJOIN("; ",TRUE,IF(TRIM(MID(SUBSTITUTE(G54,";",REPT(" ",99)),1,99))="","",IFERROR(VLOOKUP(--LEFT(TRIM(MID(SUBSTITUTE(G54,";",REPT(" ",99)),1,99)),FIND(":",TRIM(MID(SUBSTITUTE(G54,";",REPT(" ",99)),1,99)))-1),_Lookup!$A:$B,2,FALSE),"?")&amp;"×"&amp;MID(TRIM(MID(SUBSTITUTE(G54,";",REPT(" ",99)),1,99)),FIND(":",TRIM(MID(SUBSTITUTE(G54,";",REPT(" ",99)),1,99)))+1,99)),IF(TRIM(MID(SUBSTITUTE(G54,";",REPT(" ",99)),100,99))="","",IFERROR(VLOOKUP(--LEFT(TRIM(MID(SUBSTITUTE(G54,";",REPT(" ",99)),100,99)),FIND(":",TRIM(MID(SUBSTITUTE(G54,";",REPT(" ",99)),100,99)))-1),_Lookup!$A:$B,2,FALSE),"?")&amp;"×"&amp;MID(TRIM(MID(SUBSTITUTE(G54,";",REPT(" ",99)),100,99)),FIND(":",TRIM(MID(SUBSTITUTE(G54,";",REPT(" ",99)),100,99)))+1,99)),IF(TRIM(MID(SUBSTITUTE(G54,";",REPT(" ",99)),199,99))="","",IFERROR(VLOOKUP(--LEFT(TRIM(MID(SUBSTITUTE(G54,";",REPT(" ",99)),199,99)),FIND(":",TRIM(MID(SUBSTITUTE(G54,";",REPT(" ",99)),199,99)))-1),_Lookup!$A:$B,2,FALSE),"?")&amp;"×"&amp;MID(TRIM(MID(SUBSTITUTE(G54,";",REPT(" ",99)),199,99)),FIND(":",TRIM(MID(SUBSTITUTE(G54,";",REPT(" ",99)),199,99)))+1,99)),IF(TRIM(MID(SUBSTITUTE(G54,";",REPT(" ",99)),298,99))="","",IFERROR(VLOOKUP(--LEFT(TRIM(MID(SUBSTITUTE(G54,";",REPT(" ",99)),298,99)),FIND(":",TRIM(MID(SUBSTITUTE(G54,";",REPT(" ",99)),298,99)))-1),_Lookup!$A:$B,2,FALSE),"?")&amp;"×"&amp;MID(TRIM(MID(SUBSTITUTE(G54,";",REPT(" ",99)),298,99)),FIND(":",TRIM(MID(SUBSTITUTE(G54,";",REPT(" ",99)),298,99)))+1,99)),IF(TRIM(MID(SUBSTITUTE(G54,";",REPT(" ",99)),397,99))="","",IFERROR(VLOOKUP(--LEFT(TRIM(MID(SUBSTITUTE(G54,";",REPT(" ",99)),397,99)),FIND(":",TRIM(MID(SUBSTITUTE(G54,";",REPT(" ",99)),397,99)))-1),_Lookup!$A:$B,2,FALSE),"?")&amp;"×"&amp;MID(TRIM(MID(SUBSTITUTE(G54,";",REPT(" ",99)),397,99)),FIND(":",TRIM(MID(SUBSTITUTE(G54,";",REPT(" ",99)),397,99)))+1,99))))</f>
        <v/>
      </c>
    </row>
    <row r="55">
      <c r="C55" s="11">
        <f>IFERROR(VLOOKUP(B55,ItemData_Equipment!$A:$B,2,FALSE),"")</f>
        <v/>
      </c>
      <c r="H55" s="11">
        <f>IF(G55="","",TEXTJOIN("; ",TRUE,IF(TRIM(MID(SUBSTITUTE(G55,";",REPT(" ",99)),1,99))="","",IFERROR(VLOOKUP(--LEFT(TRIM(MID(SUBSTITUTE(G55,";",REPT(" ",99)),1,99)),FIND(":",TRIM(MID(SUBSTITUTE(G55,";",REPT(" ",99)),1,99)))-1),_Lookup!$A:$B,2,FALSE),"?")&amp;"×"&amp;MID(TRIM(MID(SUBSTITUTE(G55,";",REPT(" ",99)),1,99)),FIND(":",TRIM(MID(SUBSTITUTE(G55,";",REPT(" ",99)),1,99)))+1,99)),IF(TRIM(MID(SUBSTITUTE(G55,";",REPT(" ",99)),100,99))="","",IFERROR(VLOOKUP(--LEFT(TRIM(MID(SUBSTITUTE(G55,";",REPT(" ",99)),100,99)),FIND(":",TRIM(MID(SUBSTITUTE(G55,";",REPT(" ",99)),100,99)))-1),_Lookup!$A:$B,2,FALSE),"?")&amp;"×"&amp;MID(TRIM(MID(SUBSTITUTE(G55,";",REPT(" ",99)),100,99)),FIND(":",TRIM(MID(SUBSTITUTE(G55,";",REPT(" ",99)),100,99)))+1,99)),IF(TRIM(MID(SUBSTITUTE(G55,";",REPT(" ",99)),199,99))="","",IFERROR(VLOOKUP(--LEFT(TRIM(MID(SUBSTITUTE(G55,";",REPT(" ",99)),199,99)),FIND(":",TRIM(MID(SUBSTITUTE(G55,";",REPT(" ",99)),199,99)))-1),_Lookup!$A:$B,2,FALSE),"?")&amp;"×"&amp;MID(TRIM(MID(SUBSTITUTE(G55,";",REPT(" ",99)),199,99)),FIND(":",TRIM(MID(SUBSTITUTE(G55,";",REPT(" ",99)),199,99)))+1,99)),IF(TRIM(MID(SUBSTITUTE(G55,";",REPT(" ",99)),298,99))="","",IFERROR(VLOOKUP(--LEFT(TRIM(MID(SUBSTITUTE(G55,";",REPT(" ",99)),298,99)),FIND(":",TRIM(MID(SUBSTITUTE(G55,";",REPT(" ",99)),298,99)))-1),_Lookup!$A:$B,2,FALSE),"?")&amp;"×"&amp;MID(TRIM(MID(SUBSTITUTE(G55,";",REPT(" ",99)),298,99)),FIND(":",TRIM(MID(SUBSTITUTE(G55,";",REPT(" ",99)),298,99)))+1,99)),IF(TRIM(MID(SUBSTITUTE(G55,";",REPT(" ",99)),397,99))="","",IFERROR(VLOOKUP(--LEFT(TRIM(MID(SUBSTITUTE(G55,";",REPT(" ",99)),397,99)),FIND(":",TRIM(MID(SUBSTITUTE(G55,";",REPT(" ",99)),397,99)))-1),_Lookup!$A:$B,2,FALSE),"?")&amp;"×"&amp;MID(TRIM(MID(SUBSTITUTE(G55,";",REPT(" ",99)),397,99)),FIND(":",TRIM(MID(SUBSTITUTE(G55,";",REPT(" ",99)),397,99)))+1,99))))</f>
        <v/>
      </c>
    </row>
    <row r="56">
      <c r="C56" s="11">
        <f>IFERROR(VLOOKUP(B56,ItemData_Equipment!$A:$B,2,FALSE),"")</f>
        <v/>
      </c>
      <c r="H56" s="11">
        <f>IF(G56="","",TEXTJOIN("; ",TRUE,IF(TRIM(MID(SUBSTITUTE(G56,";",REPT(" ",99)),1,99))="","",IFERROR(VLOOKUP(--LEFT(TRIM(MID(SUBSTITUTE(G56,";",REPT(" ",99)),1,99)),FIND(":",TRIM(MID(SUBSTITUTE(G56,";",REPT(" ",99)),1,99)))-1),_Lookup!$A:$B,2,FALSE),"?")&amp;"×"&amp;MID(TRIM(MID(SUBSTITUTE(G56,";",REPT(" ",99)),1,99)),FIND(":",TRIM(MID(SUBSTITUTE(G56,";",REPT(" ",99)),1,99)))+1,99)),IF(TRIM(MID(SUBSTITUTE(G56,";",REPT(" ",99)),100,99))="","",IFERROR(VLOOKUP(--LEFT(TRIM(MID(SUBSTITUTE(G56,";",REPT(" ",99)),100,99)),FIND(":",TRIM(MID(SUBSTITUTE(G56,";",REPT(" ",99)),100,99)))-1),_Lookup!$A:$B,2,FALSE),"?")&amp;"×"&amp;MID(TRIM(MID(SUBSTITUTE(G56,";",REPT(" ",99)),100,99)),FIND(":",TRIM(MID(SUBSTITUTE(G56,";",REPT(" ",99)),100,99)))+1,99)),IF(TRIM(MID(SUBSTITUTE(G56,";",REPT(" ",99)),199,99))="","",IFERROR(VLOOKUP(--LEFT(TRIM(MID(SUBSTITUTE(G56,";",REPT(" ",99)),199,99)),FIND(":",TRIM(MID(SUBSTITUTE(G56,";",REPT(" ",99)),199,99)))-1),_Lookup!$A:$B,2,FALSE),"?")&amp;"×"&amp;MID(TRIM(MID(SUBSTITUTE(G56,";",REPT(" ",99)),199,99)),FIND(":",TRIM(MID(SUBSTITUTE(G56,";",REPT(" ",99)),199,99)))+1,99)),IF(TRIM(MID(SUBSTITUTE(G56,";",REPT(" ",99)),298,99))="","",IFERROR(VLOOKUP(--LEFT(TRIM(MID(SUBSTITUTE(G56,";",REPT(" ",99)),298,99)),FIND(":",TRIM(MID(SUBSTITUTE(G56,";",REPT(" ",99)),298,99)))-1),_Lookup!$A:$B,2,FALSE),"?")&amp;"×"&amp;MID(TRIM(MID(SUBSTITUTE(G56,";",REPT(" ",99)),298,99)),FIND(":",TRIM(MID(SUBSTITUTE(G56,";",REPT(" ",99)),298,99)))+1,99)),IF(TRIM(MID(SUBSTITUTE(G56,";",REPT(" ",99)),397,99))="","",IFERROR(VLOOKUP(--LEFT(TRIM(MID(SUBSTITUTE(G56,";",REPT(" ",99)),397,99)),FIND(":",TRIM(MID(SUBSTITUTE(G56,";",REPT(" ",99)),397,99)))-1),_Lookup!$A:$B,2,FALSE),"?")&amp;"×"&amp;MID(TRIM(MID(SUBSTITUTE(G56,";",REPT(" ",99)),397,99)),FIND(":",TRIM(MID(SUBSTITUTE(G56,";",REPT(" ",99)),397,99)))+1,99))))</f>
        <v/>
      </c>
    </row>
    <row r="57">
      <c r="C57" s="11">
        <f>IFERROR(VLOOKUP(B57,ItemData_Equipment!$A:$B,2,FALSE),"")</f>
        <v/>
      </c>
      <c r="H57" s="11">
        <f>IF(G57="","",TEXTJOIN("; ",TRUE,IF(TRIM(MID(SUBSTITUTE(G57,";",REPT(" ",99)),1,99))="","",IFERROR(VLOOKUP(--LEFT(TRIM(MID(SUBSTITUTE(G57,";",REPT(" ",99)),1,99)),FIND(":",TRIM(MID(SUBSTITUTE(G57,";",REPT(" ",99)),1,99)))-1),_Lookup!$A:$B,2,FALSE),"?")&amp;"×"&amp;MID(TRIM(MID(SUBSTITUTE(G57,";",REPT(" ",99)),1,99)),FIND(":",TRIM(MID(SUBSTITUTE(G57,";",REPT(" ",99)),1,99)))+1,99)),IF(TRIM(MID(SUBSTITUTE(G57,";",REPT(" ",99)),100,99))="","",IFERROR(VLOOKUP(--LEFT(TRIM(MID(SUBSTITUTE(G57,";",REPT(" ",99)),100,99)),FIND(":",TRIM(MID(SUBSTITUTE(G57,";",REPT(" ",99)),100,99)))-1),_Lookup!$A:$B,2,FALSE),"?")&amp;"×"&amp;MID(TRIM(MID(SUBSTITUTE(G57,";",REPT(" ",99)),100,99)),FIND(":",TRIM(MID(SUBSTITUTE(G57,";",REPT(" ",99)),100,99)))+1,99)),IF(TRIM(MID(SUBSTITUTE(G57,";",REPT(" ",99)),199,99))="","",IFERROR(VLOOKUP(--LEFT(TRIM(MID(SUBSTITUTE(G57,";",REPT(" ",99)),199,99)),FIND(":",TRIM(MID(SUBSTITUTE(G57,";",REPT(" ",99)),199,99)))-1),_Lookup!$A:$B,2,FALSE),"?")&amp;"×"&amp;MID(TRIM(MID(SUBSTITUTE(G57,";",REPT(" ",99)),199,99)),FIND(":",TRIM(MID(SUBSTITUTE(G57,";",REPT(" ",99)),199,99)))+1,99)),IF(TRIM(MID(SUBSTITUTE(G57,";",REPT(" ",99)),298,99))="","",IFERROR(VLOOKUP(--LEFT(TRIM(MID(SUBSTITUTE(G57,";",REPT(" ",99)),298,99)),FIND(":",TRIM(MID(SUBSTITUTE(G57,";",REPT(" ",99)),298,99)))-1),_Lookup!$A:$B,2,FALSE),"?")&amp;"×"&amp;MID(TRIM(MID(SUBSTITUTE(G57,";",REPT(" ",99)),298,99)),FIND(":",TRIM(MID(SUBSTITUTE(G57,";",REPT(" ",99)),298,99)))+1,99)),IF(TRIM(MID(SUBSTITUTE(G57,";",REPT(" ",99)),397,99))="","",IFERROR(VLOOKUP(--LEFT(TRIM(MID(SUBSTITUTE(G57,";",REPT(" ",99)),397,99)),FIND(":",TRIM(MID(SUBSTITUTE(G57,";",REPT(" ",99)),397,99)))-1),_Lookup!$A:$B,2,FALSE),"?")&amp;"×"&amp;MID(TRIM(MID(SUBSTITUTE(G57,";",REPT(" ",99)),397,99)),FIND(":",TRIM(MID(SUBSTITUTE(G57,";",REPT(" ",99)),397,99)))+1,99))))</f>
        <v/>
      </c>
    </row>
    <row r="58">
      <c r="C58" s="11">
        <f>IFERROR(VLOOKUP(B58,ItemData_Equipment!$A:$B,2,FALSE),"")</f>
        <v/>
      </c>
      <c r="H58" s="11">
        <f>IF(G58="","",TEXTJOIN("; ",TRUE,IF(TRIM(MID(SUBSTITUTE(G58,";",REPT(" ",99)),1,99))="","",IFERROR(VLOOKUP(--LEFT(TRIM(MID(SUBSTITUTE(G58,";",REPT(" ",99)),1,99)),FIND(":",TRIM(MID(SUBSTITUTE(G58,";",REPT(" ",99)),1,99)))-1),_Lookup!$A:$B,2,FALSE),"?")&amp;"×"&amp;MID(TRIM(MID(SUBSTITUTE(G58,";",REPT(" ",99)),1,99)),FIND(":",TRIM(MID(SUBSTITUTE(G58,";",REPT(" ",99)),1,99)))+1,99)),IF(TRIM(MID(SUBSTITUTE(G58,";",REPT(" ",99)),100,99))="","",IFERROR(VLOOKUP(--LEFT(TRIM(MID(SUBSTITUTE(G58,";",REPT(" ",99)),100,99)),FIND(":",TRIM(MID(SUBSTITUTE(G58,";",REPT(" ",99)),100,99)))-1),_Lookup!$A:$B,2,FALSE),"?")&amp;"×"&amp;MID(TRIM(MID(SUBSTITUTE(G58,";",REPT(" ",99)),100,99)),FIND(":",TRIM(MID(SUBSTITUTE(G58,";",REPT(" ",99)),100,99)))+1,99)),IF(TRIM(MID(SUBSTITUTE(G58,";",REPT(" ",99)),199,99))="","",IFERROR(VLOOKUP(--LEFT(TRIM(MID(SUBSTITUTE(G58,";",REPT(" ",99)),199,99)),FIND(":",TRIM(MID(SUBSTITUTE(G58,";",REPT(" ",99)),199,99)))-1),_Lookup!$A:$B,2,FALSE),"?")&amp;"×"&amp;MID(TRIM(MID(SUBSTITUTE(G58,";",REPT(" ",99)),199,99)),FIND(":",TRIM(MID(SUBSTITUTE(G58,";",REPT(" ",99)),199,99)))+1,99)),IF(TRIM(MID(SUBSTITUTE(G58,";",REPT(" ",99)),298,99))="","",IFERROR(VLOOKUP(--LEFT(TRIM(MID(SUBSTITUTE(G58,";",REPT(" ",99)),298,99)),FIND(":",TRIM(MID(SUBSTITUTE(G58,";",REPT(" ",99)),298,99)))-1),_Lookup!$A:$B,2,FALSE),"?")&amp;"×"&amp;MID(TRIM(MID(SUBSTITUTE(G58,";",REPT(" ",99)),298,99)),FIND(":",TRIM(MID(SUBSTITUTE(G58,";",REPT(" ",99)),298,99)))+1,99)),IF(TRIM(MID(SUBSTITUTE(G58,";",REPT(" ",99)),397,99))="","",IFERROR(VLOOKUP(--LEFT(TRIM(MID(SUBSTITUTE(G58,";",REPT(" ",99)),397,99)),FIND(":",TRIM(MID(SUBSTITUTE(G58,";",REPT(" ",99)),397,99)))-1),_Lookup!$A:$B,2,FALSE),"?")&amp;"×"&amp;MID(TRIM(MID(SUBSTITUTE(G58,";",REPT(" ",99)),397,99)),FIND(":",TRIM(MID(SUBSTITUTE(G58,";",REPT(" ",99)),397,99)))+1,99))))</f>
        <v/>
      </c>
    </row>
    <row r="59">
      <c r="C59" s="11">
        <f>IFERROR(VLOOKUP(B59,ItemData_Equipment!$A:$B,2,FALSE),"")</f>
        <v/>
      </c>
      <c r="H59" s="11">
        <f>IF(G59="","",TEXTJOIN("; ",TRUE,IF(TRIM(MID(SUBSTITUTE(G59,";",REPT(" ",99)),1,99))="","",IFERROR(VLOOKUP(--LEFT(TRIM(MID(SUBSTITUTE(G59,";",REPT(" ",99)),1,99)),FIND(":",TRIM(MID(SUBSTITUTE(G59,";",REPT(" ",99)),1,99)))-1),_Lookup!$A:$B,2,FALSE),"?")&amp;"×"&amp;MID(TRIM(MID(SUBSTITUTE(G59,";",REPT(" ",99)),1,99)),FIND(":",TRIM(MID(SUBSTITUTE(G59,";",REPT(" ",99)),1,99)))+1,99)),IF(TRIM(MID(SUBSTITUTE(G59,";",REPT(" ",99)),100,99))="","",IFERROR(VLOOKUP(--LEFT(TRIM(MID(SUBSTITUTE(G59,";",REPT(" ",99)),100,99)),FIND(":",TRIM(MID(SUBSTITUTE(G59,";",REPT(" ",99)),100,99)))-1),_Lookup!$A:$B,2,FALSE),"?")&amp;"×"&amp;MID(TRIM(MID(SUBSTITUTE(G59,";",REPT(" ",99)),100,99)),FIND(":",TRIM(MID(SUBSTITUTE(G59,";",REPT(" ",99)),100,99)))+1,99)),IF(TRIM(MID(SUBSTITUTE(G59,";",REPT(" ",99)),199,99))="","",IFERROR(VLOOKUP(--LEFT(TRIM(MID(SUBSTITUTE(G59,";",REPT(" ",99)),199,99)),FIND(":",TRIM(MID(SUBSTITUTE(G59,";",REPT(" ",99)),199,99)))-1),_Lookup!$A:$B,2,FALSE),"?")&amp;"×"&amp;MID(TRIM(MID(SUBSTITUTE(G59,";",REPT(" ",99)),199,99)),FIND(":",TRIM(MID(SUBSTITUTE(G59,";",REPT(" ",99)),199,99)))+1,99)),IF(TRIM(MID(SUBSTITUTE(G59,";",REPT(" ",99)),298,99))="","",IFERROR(VLOOKUP(--LEFT(TRIM(MID(SUBSTITUTE(G59,";",REPT(" ",99)),298,99)),FIND(":",TRIM(MID(SUBSTITUTE(G59,";",REPT(" ",99)),298,99)))-1),_Lookup!$A:$B,2,FALSE),"?")&amp;"×"&amp;MID(TRIM(MID(SUBSTITUTE(G59,";",REPT(" ",99)),298,99)),FIND(":",TRIM(MID(SUBSTITUTE(G59,";",REPT(" ",99)),298,99)))+1,99)),IF(TRIM(MID(SUBSTITUTE(G59,";",REPT(" ",99)),397,99))="","",IFERROR(VLOOKUP(--LEFT(TRIM(MID(SUBSTITUTE(G59,";",REPT(" ",99)),397,99)),FIND(":",TRIM(MID(SUBSTITUTE(G59,";",REPT(" ",99)),397,99)))-1),_Lookup!$A:$B,2,FALSE),"?")&amp;"×"&amp;MID(TRIM(MID(SUBSTITUTE(G59,";",REPT(" ",99)),397,99)),FIND(":",TRIM(MID(SUBSTITUTE(G59,";",REPT(" ",99)),397,99)))+1,99))))</f>
        <v/>
      </c>
    </row>
    <row r="60">
      <c r="C60" s="11">
        <f>IFERROR(VLOOKUP(B60,ItemData_Equipment!$A:$B,2,FALSE),"")</f>
        <v/>
      </c>
      <c r="H60" s="11">
        <f>IF(G60="","",TEXTJOIN("; ",TRUE,IF(TRIM(MID(SUBSTITUTE(G60,";",REPT(" ",99)),1,99))="","",IFERROR(VLOOKUP(--LEFT(TRIM(MID(SUBSTITUTE(G60,";",REPT(" ",99)),1,99)),FIND(":",TRIM(MID(SUBSTITUTE(G60,";",REPT(" ",99)),1,99)))-1),_Lookup!$A:$B,2,FALSE),"?")&amp;"×"&amp;MID(TRIM(MID(SUBSTITUTE(G60,";",REPT(" ",99)),1,99)),FIND(":",TRIM(MID(SUBSTITUTE(G60,";",REPT(" ",99)),1,99)))+1,99)),IF(TRIM(MID(SUBSTITUTE(G60,";",REPT(" ",99)),100,99))="","",IFERROR(VLOOKUP(--LEFT(TRIM(MID(SUBSTITUTE(G60,";",REPT(" ",99)),100,99)),FIND(":",TRIM(MID(SUBSTITUTE(G60,";",REPT(" ",99)),100,99)))-1),_Lookup!$A:$B,2,FALSE),"?")&amp;"×"&amp;MID(TRIM(MID(SUBSTITUTE(G60,";",REPT(" ",99)),100,99)),FIND(":",TRIM(MID(SUBSTITUTE(G60,";",REPT(" ",99)),100,99)))+1,99)),IF(TRIM(MID(SUBSTITUTE(G60,";",REPT(" ",99)),199,99))="","",IFERROR(VLOOKUP(--LEFT(TRIM(MID(SUBSTITUTE(G60,";",REPT(" ",99)),199,99)),FIND(":",TRIM(MID(SUBSTITUTE(G60,";",REPT(" ",99)),199,99)))-1),_Lookup!$A:$B,2,FALSE),"?")&amp;"×"&amp;MID(TRIM(MID(SUBSTITUTE(G60,";",REPT(" ",99)),199,99)),FIND(":",TRIM(MID(SUBSTITUTE(G60,";",REPT(" ",99)),199,99)))+1,99)),IF(TRIM(MID(SUBSTITUTE(G60,";",REPT(" ",99)),298,99))="","",IFERROR(VLOOKUP(--LEFT(TRIM(MID(SUBSTITUTE(G60,";",REPT(" ",99)),298,99)),FIND(":",TRIM(MID(SUBSTITUTE(G60,";",REPT(" ",99)),298,99)))-1),_Lookup!$A:$B,2,FALSE),"?")&amp;"×"&amp;MID(TRIM(MID(SUBSTITUTE(G60,";",REPT(" ",99)),298,99)),FIND(":",TRIM(MID(SUBSTITUTE(G60,";",REPT(" ",99)),298,99)))+1,99)),IF(TRIM(MID(SUBSTITUTE(G60,";",REPT(" ",99)),397,99))="","",IFERROR(VLOOKUP(--LEFT(TRIM(MID(SUBSTITUTE(G60,";",REPT(" ",99)),397,99)),FIND(":",TRIM(MID(SUBSTITUTE(G60,";",REPT(" ",99)),397,99)))-1),_Lookup!$A:$B,2,FALSE),"?")&amp;"×"&amp;MID(TRIM(MID(SUBSTITUTE(G60,";",REPT(" ",99)),397,99)),FIND(":",TRIM(MID(SUBSTITUTE(G60,";",REPT(" ",99)),397,99)))+1,99))))</f>
        <v/>
      </c>
    </row>
    <row r="61">
      <c r="C61" s="11">
        <f>IFERROR(VLOOKUP(B61,ItemData_Equipment!$A:$B,2,FALSE),"")</f>
        <v/>
      </c>
      <c r="H61" s="11">
        <f>IF(G61="","",TEXTJOIN("; ",TRUE,IF(TRIM(MID(SUBSTITUTE(G61,";",REPT(" ",99)),1,99))="","",IFERROR(VLOOKUP(--LEFT(TRIM(MID(SUBSTITUTE(G61,";",REPT(" ",99)),1,99)),FIND(":",TRIM(MID(SUBSTITUTE(G61,";",REPT(" ",99)),1,99)))-1),_Lookup!$A:$B,2,FALSE),"?")&amp;"×"&amp;MID(TRIM(MID(SUBSTITUTE(G61,";",REPT(" ",99)),1,99)),FIND(":",TRIM(MID(SUBSTITUTE(G61,";",REPT(" ",99)),1,99)))+1,99)),IF(TRIM(MID(SUBSTITUTE(G61,";",REPT(" ",99)),100,99))="","",IFERROR(VLOOKUP(--LEFT(TRIM(MID(SUBSTITUTE(G61,";",REPT(" ",99)),100,99)),FIND(":",TRIM(MID(SUBSTITUTE(G61,";",REPT(" ",99)),100,99)))-1),_Lookup!$A:$B,2,FALSE),"?")&amp;"×"&amp;MID(TRIM(MID(SUBSTITUTE(G61,";",REPT(" ",99)),100,99)),FIND(":",TRIM(MID(SUBSTITUTE(G61,";",REPT(" ",99)),100,99)))+1,99)),IF(TRIM(MID(SUBSTITUTE(G61,";",REPT(" ",99)),199,99))="","",IFERROR(VLOOKUP(--LEFT(TRIM(MID(SUBSTITUTE(G61,";",REPT(" ",99)),199,99)),FIND(":",TRIM(MID(SUBSTITUTE(G61,";",REPT(" ",99)),199,99)))-1),_Lookup!$A:$B,2,FALSE),"?")&amp;"×"&amp;MID(TRIM(MID(SUBSTITUTE(G61,";",REPT(" ",99)),199,99)),FIND(":",TRIM(MID(SUBSTITUTE(G61,";",REPT(" ",99)),199,99)))+1,99)),IF(TRIM(MID(SUBSTITUTE(G61,";",REPT(" ",99)),298,99))="","",IFERROR(VLOOKUP(--LEFT(TRIM(MID(SUBSTITUTE(G61,";",REPT(" ",99)),298,99)),FIND(":",TRIM(MID(SUBSTITUTE(G61,";",REPT(" ",99)),298,99)))-1),_Lookup!$A:$B,2,FALSE),"?")&amp;"×"&amp;MID(TRIM(MID(SUBSTITUTE(G61,";",REPT(" ",99)),298,99)),FIND(":",TRIM(MID(SUBSTITUTE(G61,";",REPT(" ",99)),298,99)))+1,99)),IF(TRIM(MID(SUBSTITUTE(G61,";",REPT(" ",99)),397,99))="","",IFERROR(VLOOKUP(--LEFT(TRIM(MID(SUBSTITUTE(G61,";",REPT(" ",99)),397,99)),FIND(":",TRIM(MID(SUBSTITUTE(G61,";",REPT(" ",99)),397,99)))-1),_Lookup!$A:$B,2,FALSE),"?")&amp;"×"&amp;MID(TRIM(MID(SUBSTITUTE(G61,";",REPT(" ",99)),397,99)),FIND(":",TRIM(MID(SUBSTITUTE(G61,";",REPT(" ",99)),397,99)))+1,99))))</f>
        <v/>
      </c>
    </row>
    <row r="62">
      <c r="C62" s="11">
        <f>IFERROR(VLOOKUP(B62,ItemData_Equipment!$A:$B,2,FALSE),"")</f>
        <v/>
      </c>
      <c r="H62" s="11">
        <f>IF(G62="","",TEXTJOIN("; ",TRUE,IF(TRIM(MID(SUBSTITUTE(G62,";",REPT(" ",99)),1,99))="","",IFERROR(VLOOKUP(--LEFT(TRIM(MID(SUBSTITUTE(G62,";",REPT(" ",99)),1,99)),FIND(":",TRIM(MID(SUBSTITUTE(G62,";",REPT(" ",99)),1,99)))-1),_Lookup!$A:$B,2,FALSE),"?")&amp;"×"&amp;MID(TRIM(MID(SUBSTITUTE(G62,";",REPT(" ",99)),1,99)),FIND(":",TRIM(MID(SUBSTITUTE(G62,";",REPT(" ",99)),1,99)))+1,99)),IF(TRIM(MID(SUBSTITUTE(G62,";",REPT(" ",99)),100,99))="","",IFERROR(VLOOKUP(--LEFT(TRIM(MID(SUBSTITUTE(G62,";",REPT(" ",99)),100,99)),FIND(":",TRIM(MID(SUBSTITUTE(G62,";",REPT(" ",99)),100,99)))-1),_Lookup!$A:$B,2,FALSE),"?")&amp;"×"&amp;MID(TRIM(MID(SUBSTITUTE(G62,";",REPT(" ",99)),100,99)),FIND(":",TRIM(MID(SUBSTITUTE(G62,";",REPT(" ",99)),100,99)))+1,99)),IF(TRIM(MID(SUBSTITUTE(G62,";",REPT(" ",99)),199,99))="","",IFERROR(VLOOKUP(--LEFT(TRIM(MID(SUBSTITUTE(G62,";",REPT(" ",99)),199,99)),FIND(":",TRIM(MID(SUBSTITUTE(G62,";",REPT(" ",99)),199,99)))-1),_Lookup!$A:$B,2,FALSE),"?")&amp;"×"&amp;MID(TRIM(MID(SUBSTITUTE(G62,";",REPT(" ",99)),199,99)),FIND(":",TRIM(MID(SUBSTITUTE(G62,";",REPT(" ",99)),199,99)))+1,99)),IF(TRIM(MID(SUBSTITUTE(G62,";",REPT(" ",99)),298,99))="","",IFERROR(VLOOKUP(--LEFT(TRIM(MID(SUBSTITUTE(G62,";",REPT(" ",99)),298,99)),FIND(":",TRIM(MID(SUBSTITUTE(G62,";",REPT(" ",99)),298,99)))-1),_Lookup!$A:$B,2,FALSE),"?")&amp;"×"&amp;MID(TRIM(MID(SUBSTITUTE(G62,";",REPT(" ",99)),298,99)),FIND(":",TRIM(MID(SUBSTITUTE(G62,";",REPT(" ",99)),298,99)))+1,99)),IF(TRIM(MID(SUBSTITUTE(G62,";",REPT(" ",99)),397,99))="","",IFERROR(VLOOKUP(--LEFT(TRIM(MID(SUBSTITUTE(G62,";",REPT(" ",99)),397,99)),FIND(":",TRIM(MID(SUBSTITUTE(G62,";",REPT(" ",99)),397,99)))-1),_Lookup!$A:$B,2,FALSE),"?")&amp;"×"&amp;MID(TRIM(MID(SUBSTITUTE(G62,";",REPT(" ",99)),397,99)),FIND(":",TRIM(MID(SUBSTITUTE(G62,";",REPT(" ",99)),397,99)))+1,99))))</f>
        <v/>
      </c>
    </row>
    <row r="63">
      <c r="C63" s="11">
        <f>IFERROR(VLOOKUP(B63,ItemData_Equipment!$A:$B,2,FALSE),"")</f>
        <v/>
      </c>
      <c r="H63" s="11">
        <f>IF(G63="","",TEXTJOIN("; ",TRUE,IF(TRIM(MID(SUBSTITUTE(G63,";",REPT(" ",99)),1,99))="","",IFERROR(VLOOKUP(--LEFT(TRIM(MID(SUBSTITUTE(G63,";",REPT(" ",99)),1,99)),FIND(":",TRIM(MID(SUBSTITUTE(G63,";",REPT(" ",99)),1,99)))-1),_Lookup!$A:$B,2,FALSE),"?")&amp;"×"&amp;MID(TRIM(MID(SUBSTITUTE(G63,";",REPT(" ",99)),1,99)),FIND(":",TRIM(MID(SUBSTITUTE(G63,";",REPT(" ",99)),1,99)))+1,99)),IF(TRIM(MID(SUBSTITUTE(G63,";",REPT(" ",99)),100,99))="","",IFERROR(VLOOKUP(--LEFT(TRIM(MID(SUBSTITUTE(G63,";",REPT(" ",99)),100,99)),FIND(":",TRIM(MID(SUBSTITUTE(G63,";",REPT(" ",99)),100,99)))-1),_Lookup!$A:$B,2,FALSE),"?")&amp;"×"&amp;MID(TRIM(MID(SUBSTITUTE(G63,";",REPT(" ",99)),100,99)),FIND(":",TRIM(MID(SUBSTITUTE(G63,";",REPT(" ",99)),100,99)))+1,99)),IF(TRIM(MID(SUBSTITUTE(G63,";",REPT(" ",99)),199,99))="","",IFERROR(VLOOKUP(--LEFT(TRIM(MID(SUBSTITUTE(G63,";",REPT(" ",99)),199,99)),FIND(":",TRIM(MID(SUBSTITUTE(G63,";",REPT(" ",99)),199,99)))-1),_Lookup!$A:$B,2,FALSE),"?")&amp;"×"&amp;MID(TRIM(MID(SUBSTITUTE(G63,";",REPT(" ",99)),199,99)),FIND(":",TRIM(MID(SUBSTITUTE(G63,";",REPT(" ",99)),199,99)))+1,99)),IF(TRIM(MID(SUBSTITUTE(G63,";",REPT(" ",99)),298,99))="","",IFERROR(VLOOKUP(--LEFT(TRIM(MID(SUBSTITUTE(G63,";",REPT(" ",99)),298,99)),FIND(":",TRIM(MID(SUBSTITUTE(G63,";",REPT(" ",99)),298,99)))-1),_Lookup!$A:$B,2,FALSE),"?")&amp;"×"&amp;MID(TRIM(MID(SUBSTITUTE(G63,";",REPT(" ",99)),298,99)),FIND(":",TRIM(MID(SUBSTITUTE(G63,";",REPT(" ",99)),298,99)))+1,99)),IF(TRIM(MID(SUBSTITUTE(G63,";",REPT(" ",99)),397,99))="","",IFERROR(VLOOKUP(--LEFT(TRIM(MID(SUBSTITUTE(G63,";",REPT(" ",99)),397,99)),FIND(":",TRIM(MID(SUBSTITUTE(G63,";",REPT(" ",99)),397,99)))-1),_Lookup!$A:$B,2,FALSE),"?")&amp;"×"&amp;MID(TRIM(MID(SUBSTITUTE(G63,";",REPT(" ",99)),397,99)),FIND(":",TRIM(MID(SUBSTITUTE(G63,";",REPT(" ",99)),397,99)))+1,99))))</f>
        <v/>
      </c>
    </row>
    <row r="64">
      <c r="C64" s="11">
        <f>IFERROR(VLOOKUP(B64,ItemData_Equipment!$A:$B,2,FALSE),"")</f>
        <v/>
      </c>
      <c r="H64" s="11">
        <f>IF(G64="","",TEXTJOIN("; ",TRUE,IF(TRIM(MID(SUBSTITUTE(G64,";",REPT(" ",99)),1,99))="","",IFERROR(VLOOKUP(--LEFT(TRIM(MID(SUBSTITUTE(G64,";",REPT(" ",99)),1,99)),FIND(":",TRIM(MID(SUBSTITUTE(G64,";",REPT(" ",99)),1,99)))-1),_Lookup!$A:$B,2,FALSE),"?")&amp;"×"&amp;MID(TRIM(MID(SUBSTITUTE(G64,";",REPT(" ",99)),1,99)),FIND(":",TRIM(MID(SUBSTITUTE(G64,";",REPT(" ",99)),1,99)))+1,99)),IF(TRIM(MID(SUBSTITUTE(G64,";",REPT(" ",99)),100,99))="","",IFERROR(VLOOKUP(--LEFT(TRIM(MID(SUBSTITUTE(G64,";",REPT(" ",99)),100,99)),FIND(":",TRIM(MID(SUBSTITUTE(G64,";",REPT(" ",99)),100,99)))-1),_Lookup!$A:$B,2,FALSE),"?")&amp;"×"&amp;MID(TRIM(MID(SUBSTITUTE(G64,";",REPT(" ",99)),100,99)),FIND(":",TRIM(MID(SUBSTITUTE(G64,";",REPT(" ",99)),100,99)))+1,99)),IF(TRIM(MID(SUBSTITUTE(G64,";",REPT(" ",99)),199,99))="","",IFERROR(VLOOKUP(--LEFT(TRIM(MID(SUBSTITUTE(G64,";",REPT(" ",99)),199,99)),FIND(":",TRIM(MID(SUBSTITUTE(G64,";",REPT(" ",99)),199,99)))-1),_Lookup!$A:$B,2,FALSE),"?")&amp;"×"&amp;MID(TRIM(MID(SUBSTITUTE(G64,";",REPT(" ",99)),199,99)),FIND(":",TRIM(MID(SUBSTITUTE(G64,";",REPT(" ",99)),199,99)))+1,99)),IF(TRIM(MID(SUBSTITUTE(G64,";",REPT(" ",99)),298,99))="","",IFERROR(VLOOKUP(--LEFT(TRIM(MID(SUBSTITUTE(G64,";",REPT(" ",99)),298,99)),FIND(":",TRIM(MID(SUBSTITUTE(G64,";",REPT(" ",99)),298,99)))-1),_Lookup!$A:$B,2,FALSE),"?")&amp;"×"&amp;MID(TRIM(MID(SUBSTITUTE(G64,";",REPT(" ",99)),298,99)),FIND(":",TRIM(MID(SUBSTITUTE(G64,";",REPT(" ",99)),298,99)))+1,99)),IF(TRIM(MID(SUBSTITUTE(G64,";",REPT(" ",99)),397,99))="","",IFERROR(VLOOKUP(--LEFT(TRIM(MID(SUBSTITUTE(G64,";",REPT(" ",99)),397,99)),FIND(":",TRIM(MID(SUBSTITUTE(G64,";",REPT(" ",99)),397,99)))-1),_Lookup!$A:$B,2,FALSE),"?")&amp;"×"&amp;MID(TRIM(MID(SUBSTITUTE(G64,";",REPT(" ",99)),397,99)),FIND(":",TRIM(MID(SUBSTITUTE(G64,";",REPT(" ",99)),397,99)))+1,99))))</f>
        <v/>
      </c>
    </row>
    <row r="65">
      <c r="C65" s="11">
        <f>IFERROR(VLOOKUP(B65,ItemData_Equipment!$A:$B,2,FALSE),"")</f>
        <v/>
      </c>
      <c r="H65" s="11">
        <f>IF(G65="","",TEXTJOIN("; ",TRUE,IF(TRIM(MID(SUBSTITUTE(G65,";",REPT(" ",99)),1,99))="","",IFERROR(VLOOKUP(--LEFT(TRIM(MID(SUBSTITUTE(G65,";",REPT(" ",99)),1,99)),FIND(":",TRIM(MID(SUBSTITUTE(G65,";",REPT(" ",99)),1,99)))-1),_Lookup!$A:$B,2,FALSE),"?")&amp;"×"&amp;MID(TRIM(MID(SUBSTITUTE(G65,";",REPT(" ",99)),1,99)),FIND(":",TRIM(MID(SUBSTITUTE(G65,";",REPT(" ",99)),1,99)))+1,99)),IF(TRIM(MID(SUBSTITUTE(G65,";",REPT(" ",99)),100,99))="","",IFERROR(VLOOKUP(--LEFT(TRIM(MID(SUBSTITUTE(G65,";",REPT(" ",99)),100,99)),FIND(":",TRIM(MID(SUBSTITUTE(G65,";",REPT(" ",99)),100,99)))-1),_Lookup!$A:$B,2,FALSE),"?")&amp;"×"&amp;MID(TRIM(MID(SUBSTITUTE(G65,";",REPT(" ",99)),100,99)),FIND(":",TRIM(MID(SUBSTITUTE(G65,";",REPT(" ",99)),100,99)))+1,99)),IF(TRIM(MID(SUBSTITUTE(G65,";",REPT(" ",99)),199,99))="","",IFERROR(VLOOKUP(--LEFT(TRIM(MID(SUBSTITUTE(G65,";",REPT(" ",99)),199,99)),FIND(":",TRIM(MID(SUBSTITUTE(G65,";",REPT(" ",99)),199,99)))-1),_Lookup!$A:$B,2,FALSE),"?")&amp;"×"&amp;MID(TRIM(MID(SUBSTITUTE(G65,";",REPT(" ",99)),199,99)),FIND(":",TRIM(MID(SUBSTITUTE(G65,";",REPT(" ",99)),199,99)))+1,99)),IF(TRIM(MID(SUBSTITUTE(G65,";",REPT(" ",99)),298,99))="","",IFERROR(VLOOKUP(--LEFT(TRIM(MID(SUBSTITUTE(G65,";",REPT(" ",99)),298,99)),FIND(":",TRIM(MID(SUBSTITUTE(G65,";",REPT(" ",99)),298,99)))-1),_Lookup!$A:$B,2,FALSE),"?")&amp;"×"&amp;MID(TRIM(MID(SUBSTITUTE(G65,";",REPT(" ",99)),298,99)),FIND(":",TRIM(MID(SUBSTITUTE(G65,";",REPT(" ",99)),298,99)))+1,99)),IF(TRIM(MID(SUBSTITUTE(G65,";",REPT(" ",99)),397,99))="","",IFERROR(VLOOKUP(--LEFT(TRIM(MID(SUBSTITUTE(G65,";",REPT(" ",99)),397,99)),FIND(":",TRIM(MID(SUBSTITUTE(G65,";",REPT(" ",99)),397,99)))-1),_Lookup!$A:$B,2,FALSE),"?")&amp;"×"&amp;MID(TRIM(MID(SUBSTITUTE(G65,";",REPT(" ",99)),397,99)),FIND(":",TRIM(MID(SUBSTITUTE(G65,";",REPT(" ",99)),397,99)))+1,99))))</f>
        <v/>
      </c>
    </row>
    <row r="66">
      <c r="C66" s="11">
        <f>IFERROR(VLOOKUP(B66,ItemData_Equipment!$A:$B,2,FALSE),"")</f>
        <v/>
      </c>
      <c r="H66" s="11">
        <f>IF(G66="","",TEXTJOIN("; ",TRUE,IF(TRIM(MID(SUBSTITUTE(G66,";",REPT(" ",99)),1,99))="","",IFERROR(VLOOKUP(--LEFT(TRIM(MID(SUBSTITUTE(G66,";",REPT(" ",99)),1,99)),FIND(":",TRIM(MID(SUBSTITUTE(G66,";",REPT(" ",99)),1,99)))-1),_Lookup!$A:$B,2,FALSE),"?")&amp;"×"&amp;MID(TRIM(MID(SUBSTITUTE(G66,";",REPT(" ",99)),1,99)),FIND(":",TRIM(MID(SUBSTITUTE(G66,";",REPT(" ",99)),1,99)))+1,99)),IF(TRIM(MID(SUBSTITUTE(G66,";",REPT(" ",99)),100,99))="","",IFERROR(VLOOKUP(--LEFT(TRIM(MID(SUBSTITUTE(G66,";",REPT(" ",99)),100,99)),FIND(":",TRIM(MID(SUBSTITUTE(G66,";",REPT(" ",99)),100,99)))-1),_Lookup!$A:$B,2,FALSE),"?")&amp;"×"&amp;MID(TRIM(MID(SUBSTITUTE(G66,";",REPT(" ",99)),100,99)),FIND(":",TRIM(MID(SUBSTITUTE(G66,";",REPT(" ",99)),100,99)))+1,99)),IF(TRIM(MID(SUBSTITUTE(G66,";",REPT(" ",99)),199,99))="","",IFERROR(VLOOKUP(--LEFT(TRIM(MID(SUBSTITUTE(G66,";",REPT(" ",99)),199,99)),FIND(":",TRIM(MID(SUBSTITUTE(G66,";",REPT(" ",99)),199,99)))-1),_Lookup!$A:$B,2,FALSE),"?")&amp;"×"&amp;MID(TRIM(MID(SUBSTITUTE(G66,";",REPT(" ",99)),199,99)),FIND(":",TRIM(MID(SUBSTITUTE(G66,";",REPT(" ",99)),199,99)))+1,99)),IF(TRIM(MID(SUBSTITUTE(G66,";",REPT(" ",99)),298,99))="","",IFERROR(VLOOKUP(--LEFT(TRIM(MID(SUBSTITUTE(G66,";",REPT(" ",99)),298,99)),FIND(":",TRIM(MID(SUBSTITUTE(G66,";",REPT(" ",99)),298,99)))-1),_Lookup!$A:$B,2,FALSE),"?")&amp;"×"&amp;MID(TRIM(MID(SUBSTITUTE(G66,";",REPT(" ",99)),298,99)),FIND(":",TRIM(MID(SUBSTITUTE(G66,";",REPT(" ",99)),298,99)))+1,99)),IF(TRIM(MID(SUBSTITUTE(G66,";",REPT(" ",99)),397,99))="","",IFERROR(VLOOKUP(--LEFT(TRIM(MID(SUBSTITUTE(G66,";",REPT(" ",99)),397,99)),FIND(":",TRIM(MID(SUBSTITUTE(G66,";",REPT(" ",99)),397,99)))-1),_Lookup!$A:$B,2,FALSE),"?")&amp;"×"&amp;MID(TRIM(MID(SUBSTITUTE(G66,";",REPT(" ",99)),397,99)),FIND(":",TRIM(MID(SUBSTITUTE(G66,";",REPT(" ",99)),397,99)))+1,99))))</f>
        <v/>
      </c>
    </row>
    <row r="67">
      <c r="C67" s="11">
        <f>IFERROR(VLOOKUP(B67,ItemData_Equipment!$A:$B,2,FALSE),"")</f>
        <v/>
      </c>
      <c r="H67" s="11">
        <f>IF(G67="","",TEXTJOIN("; ",TRUE,IF(TRIM(MID(SUBSTITUTE(G67,";",REPT(" ",99)),1,99))="","",IFERROR(VLOOKUP(--LEFT(TRIM(MID(SUBSTITUTE(G67,";",REPT(" ",99)),1,99)),FIND(":",TRIM(MID(SUBSTITUTE(G67,";",REPT(" ",99)),1,99)))-1),_Lookup!$A:$B,2,FALSE),"?")&amp;"×"&amp;MID(TRIM(MID(SUBSTITUTE(G67,";",REPT(" ",99)),1,99)),FIND(":",TRIM(MID(SUBSTITUTE(G67,";",REPT(" ",99)),1,99)))+1,99)),IF(TRIM(MID(SUBSTITUTE(G67,";",REPT(" ",99)),100,99))="","",IFERROR(VLOOKUP(--LEFT(TRIM(MID(SUBSTITUTE(G67,";",REPT(" ",99)),100,99)),FIND(":",TRIM(MID(SUBSTITUTE(G67,";",REPT(" ",99)),100,99)))-1),_Lookup!$A:$B,2,FALSE),"?")&amp;"×"&amp;MID(TRIM(MID(SUBSTITUTE(G67,";",REPT(" ",99)),100,99)),FIND(":",TRIM(MID(SUBSTITUTE(G67,";",REPT(" ",99)),100,99)))+1,99)),IF(TRIM(MID(SUBSTITUTE(G67,";",REPT(" ",99)),199,99))="","",IFERROR(VLOOKUP(--LEFT(TRIM(MID(SUBSTITUTE(G67,";",REPT(" ",99)),199,99)),FIND(":",TRIM(MID(SUBSTITUTE(G67,";",REPT(" ",99)),199,99)))-1),_Lookup!$A:$B,2,FALSE),"?")&amp;"×"&amp;MID(TRIM(MID(SUBSTITUTE(G67,";",REPT(" ",99)),199,99)),FIND(":",TRIM(MID(SUBSTITUTE(G67,";",REPT(" ",99)),199,99)))+1,99)),IF(TRIM(MID(SUBSTITUTE(G67,";",REPT(" ",99)),298,99))="","",IFERROR(VLOOKUP(--LEFT(TRIM(MID(SUBSTITUTE(G67,";",REPT(" ",99)),298,99)),FIND(":",TRIM(MID(SUBSTITUTE(G67,";",REPT(" ",99)),298,99)))-1),_Lookup!$A:$B,2,FALSE),"?")&amp;"×"&amp;MID(TRIM(MID(SUBSTITUTE(G67,";",REPT(" ",99)),298,99)),FIND(":",TRIM(MID(SUBSTITUTE(G67,";",REPT(" ",99)),298,99)))+1,99)),IF(TRIM(MID(SUBSTITUTE(G67,";",REPT(" ",99)),397,99))="","",IFERROR(VLOOKUP(--LEFT(TRIM(MID(SUBSTITUTE(G67,";",REPT(" ",99)),397,99)),FIND(":",TRIM(MID(SUBSTITUTE(G67,";",REPT(" ",99)),397,99)))-1),_Lookup!$A:$B,2,FALSE),"?")&amp;"×"&amp;MID(TRIM(MID(SUBSTITUTE(G67,";",REPT(" ",99)),397,99)),FIND(":",TRIM(MID(SUBSTITUTE(G67,";",REPT(" ",99)),397,99)))+1,99))))</f>
        <v/>
      </c>
    </row>
    <row r="68">
      <c r="C68" s="11">
        <f>IFERROR(VLOOKUP(B68,ItemData_Equipment!$A:$B,2,FALSE),"")</f>
        <v/>
      </c>
      <c r="H68" s="11">
        <f>IF(G68="","",TEXTJOIN("; ",TRUE,IF(TRIM(MID(SUBSTITUTE(G68,";",REPT(" ",99)),1,99))="","",IFERROR(VLOOKUP(--LEFT(TRIM(MID(SUBSTITUTE(G68,";",REPT(" ",99)),1,99)),FIND(":",TRIM(MID(SUBSTITUTE(G68,";",REPT(" ",99)),1,99)))-1),_Lookup!$A:$B,2,FALSE),"?")&amp;"×"&amp;MID(TRIM(MID(SUBSTITUTE(G68,";",REPT(" ",99)),1,99)),FIND(":",TRIM(MID(SUBSTITUTE(G68,";",REPT(" ",99)),1,99)))+1,99)),IF(TRIM(MID(SUBSTITUTE(G68,";",REPT(" ",99)),100,99))="","",IFERROR(VLOOKUP(--LEFT(TRIM(MID(SUBSTITUTE(G68,";",REPT(" ",99)),100,99)),FIND(":",TRIM(MID(SUBSTITUTE(G68,";",REPT(" ",99)),100,99)))-1),_Lookup!$A:$B,2,FALSE),"?")&amp;"×"&amp;MID(TRIM(MID(SUBSTITUTE(G68,";",REPT(" ",99)),100,99)),FIND(":",TRIM(MID(SUBSTITUTE(G68,";",REPT(" ",99)),100,99)))+1,99)),IF(TRIM(MID(SUBSTITUTE(G68,";",REPT(" ",99)),199,99))="","",IFERROR(VLOOKUP(--LEFT(TRIM(MID(SUBSTITUTE(G68,";",REPT(" ",99)),199,99)),FIND(":",TRIM(MID(SUBSTITUTE(G68,";",REPT(" ",99)),199,99)))-1),_Lookup!$A:$B,2,FALSE),"?")&amp;"×"&amp;MID(TRIM(MID(SUBSTITUTE(G68,";",REPT(" ",99)),199,99)),FIND(":",TRIM(MID(SUBSTITUTE(G68,";",REPT(" ",99)),199,99)))+1,99)),IF(TRIM(MID(SUBSTITUTE(G68,";",REPT(" ",99)),298,99))="","",IFERROR(VLOOKUP(--LEFT(TRIM(MID(SUBSTITUTE(G68,";",REPT(" ",99)),298,99)),FIND(":",TRIM(MID(SUBSTITUTE(G68,";",REPT(" ",99)),298,99)))-1),_Lookup!$A:$B,2,FALSE),"?")&amp;"×"&amp;MID(TRIM(MID(SUBSTITUTE(G68,";",REPT(" ",99)),298,99)),FIND(":",TRIM(MID(SUBSTITUTE(G68,";",REPT(" ",99)),298,99)))+1,99)),IF(TRIM(MID(SUBSTITUTE(G68,";",REPT(" ",99)),397,99))="","",IFERROR(VLOOKUP(--LEFT(TRIM(MID(SUBSTITUTE(G68,";",REPT(" ",99)),397,99)),FIND(":",TRIM(MID(SUBSTITUTE(G68,";",REPT(" ",99)),397,99)))-1),_Lookup!$A:$B,2,FALSE),"?")&amp;"×"&amp;MID(TRIM(MID(SUBSTITUTE(G68,";",REPT(" ",99)),397,99)),FIND(":",TRIM(MID(SUBSTITUTE(G68,";",REPT(" ",99)),397,99)))+1,99))))</f>
        <v/>
      </c>
    </row>
    <row r="69">
      <c r="C69" s="11">
        <f>IFERROR(VLOOKUP(B69,ItemData_Equipment!$A:$B,2,FALSE),"")</f>
        <v/>
      </c>
      <c r="H69" s="11">
        <f>IF(G69="","",TEXTJOIN("; ",TRUE,IF(TRIM(MID(SUBSTITUTE(G69,";",REPT(" ",99)),1,99))="","",IFERROR(VLOOKUP(--LEFT(TRIM(MID(SUBSTITUTE(G69,";",REPT(" ",99)),1,99)),FIND(":",TRIM(MID(SUBSTITUTE(G69,";",REPT(" ",99)),1,99)))-1),_Lookup!$A:$B,2,FALSE),"?")&amp;"×"&amp;MID(TRIM(MID(SUBSTITUTE(G69,";",REPT(" ",99)),1,99)),FIND(":",TRIM(MID(SUBSTITUTE(G69,";",REPT(" ",99)),1,99)))+1,99)),IF(TRIM(MID(SUBSTITUTE(G69,";",REPT(" ",99)),100,99))="","",IFERROR(VLOOKUP(--LEFT(TRIM(MID(SUBSTITUTE(G69,";",REPT(" ",99)),100,99)),FIND(":",TRIM(MID(SUBSTITUTE(G69,";",REPT(" ",99)),100,99)))-1),_Lookup!$A:$B,2,FALSE),"?")&amp;"×"&amp;MID(TRIM(MID(SUBSTITUTE(G69,";",REPT(" ",99)),100,99)),FIND(":",TRIM(MID(SUBSTITUTE(G69,";",REPT(" ",99)),100,99)))+1,99)),IF(TRIM(MID(SUBSTITUTE(G69,";",REPT(" ",99)),199,99))="","",IFERROR(VLOOKUP(--LEFT(TRIM(MID(SUBSTITUTE(G69,";",REPT(" ",99)),199,99)),FIND(":",TRIM(MID(SUBSTITUTE(G69,";",REPT(" ",99)),199,99)))-1),_Lookup!$A:$B,2,FALSE),"?")&amp;"×"&amp;MID(TRIM(MID(SUBSTITUTE(G69,";",REPT(" ",99)),199,99)),FIND(":",TRIM(MID(SUBSTITUTE(G69,";",REPT(" ",99)),199,99)))+1,99)),IF(TRIM(MID(SUBSTITUTE(G69,";",REPT(" ",99)),298,99))="","",IFERROR(VLOOKUP(--LEFT(TRIM(MID(SUBSTITUTE(G69,";",REPT(" ",99)),298,99)),FIND(":",TRIM(MID(SUBSTITUTE(G69,";",REPT(" ",99)),298,99)))-1),_Lookup!$A:$B,2,FALSE),"?")&amp;"×"&amp;MID(TRIM(MID(SUBSTITUTE(G69,";",REPT(" ",99)),298,99)),FIND(":",TRIM(MID(SUBSTITUTE(G69,";",REPT(" ",99)),298,99)))+1,99)),IF(TRIM(MID(SUBSTITUTE(G69,";",REPT(" ",99)),397,99))="","",IFERROR(VLOOKUP(--LEFT(TRIM(MID(SUBSTITUTE(G69,";",REPT(" ",99)),397,99)),FIND(":",TRIM(MID(SUBSTITUTE(G69,";",REPT(" ",99)),397,99)))-1),_Lookup!$A:$B,2,FALSE),"?")&amp;"×"&amp;MID(TRIM(MID(SUBSTITUTE(G69,";",REPT(" ",99)),397,99)),FIND(":",TRIM(MID(SUBSTITUTE(G69,";",REPT(" ",99)),397,99)))+1,99))))</f>
        <v/>
      </c>
    </row>
    <row r="70">
      <c r="C70" s="11">
        <f>IFERROR(VLOOKUP(B70,ItemData_Equipment!$A:$B,2,FALSE),"")</f>
        <v/>
      </c>
      <c r="H70" s="11">
        <f>IF(G70="","",TEXTJOIN("; ",TRUE,IF(TRIM(MID(SUBSTITUTE(G70,";",REPT(" ",99)),1,99))="","",IFERROR(VLOOKUP(--LEFT(TRIM(MID(SUBSTITUTE(G70,";",REPT(" ",99)),1,99)),FIND(":",TRIM(MID(SUBSTITUTE(G70,";",REPT(" ",99)),1,99)))-1),_Lookup!$A:$B,2,FALSE),"?")&amp;"×"&amp;MID(TRIM(MID(SUBSTITUTE(G70,";",REPT(" ",99)),1,99)),FIND(":",TRIM(MID(SUBSTITUTE(G70,";",REPT(" ",99)),1,99)))+1,99)),IF(TRIM(MID(SUBSTITUTE(G70,";",REPT(" ",99)),100,99))="","",IFERROR(VLOOKUP(--LEFT(TRIM(MID(SUBSTITUTE(G70,";",REPT(" ",99)),100,99)),FIND(":",TRIM(MID(SUBSTITUTE(G70,";",REPT(" ",99)),100,99)))-1),_Lookup!$A:$B,2,FALSE),"?")&amp;"×"&amp;MID(TRIM(MID(SUBSTITUTE(G70,";",REPT(" ",99)),100,99)),FIND(":",TRIM(MID(SUBSTITUTE(G70,";",REPT(" ",99)),100,99)))+1,99)),IF(TRIM(MID(SUBSTITUTE(G70,";",REPT(" ",99)),199,99))="","",IFERROR(VLOOKUP(--LEFT(TRIM(MID(SUBSTITUTE(G70,";",REPT(" ",99)),199,99)),FIND(":",TRIM(MID(SUBSTITUTE(G70,";",REPT(" ",99)),199,99)))-1),_Lookup!$A:$B,2,FALSE),"?")&amp;"×"&amp;MID(TRIM(MID(SUBSTITUTE(G70,";",REPT(" ",99)),199,99)),FIND(":",TRIM(MID(SUBSTITUTE(G70,";",REPT(" ",99)),199,99)))+1,99)),IF(TRIM(MID(SUBSTITUTE(G70,";",REPT(" ",99)),298,99))="","",IFERROR(VLOOKUP(--LEFT(TRIM(MID(SUBSTITUTE(G70,";",REPT(" ",99)),298,99)),FIND(":",TRIM(MID(SUBSTITUTE(G70,";",REPT(" ",99)),298,99)))-1),_Lookup!$A:$B,2,FALSE),"?")&amp;"×"&amp;MID(TRIM(MID(SUBSTITUTE(G70,";",REPT(" ",99)),298,99)),FIND(":",TRIM(MID(SUBSTITUTE(G70,";",REPT(" ",99)),298,99)))+1,99)),IF(TRIM(MID(SUBSTITUTE(G70,";",REPT(" ",99)),397,99))="","",IFERROR(VLOOKUP(--LEFT(TRIM(MID(SUBSTITUTE(G70,";",REPT(" ",99)),397,99)),FIND(":",TRIM(MID(SUBSTITUTE(G70,";",REPT(" ",99)),397,99)))-1),_Lookup!$A:$B,2,FALSE),"?")&amp;"×"&amp;MID(TRIM(MID(SUBSTITUTE(G70,";",REPT(" ",99)),397,99)),FIND(":",TRIM(MID(SUBSTITUTE(G70,";",REPT(" ",99)),397,99)))+1,99))))</f>
        <v/>
      </c>
    </row>
    <row r="71">
      <c r="C71" s="11">
        <f>IFERROR(VLOOKUP(B71,ItemData_Equipment!$A:$B,2,FALSE),"")</f>
        <v/>
      </c>
      <c r="H71" s="11">
        <f>IF(G71="","",TEXTJOIN("; ",TRUE,IF(TRIM(MID(SUBSTITUTE(G71,";",REPT(" ",99)),1,99))="","",IFERROR(VLOOKUP(--LEFT(TRIM(MID(SUBSTITUTE(G71,";",REPT(" ",99)),1,99)),FIND(":",TRIM(MID(SUBSTITUTE(G71,";",REPT(" ",99)),1,99)))-1),_Lookup!$A:$B,2,FALSE),"?")&amp;"×"&amp;MID(TRIM(MID(SUBSTITUTE(G71,";",REPT(" ",99)),1,99)),FIND(":",TRIM(MID(SUBSTITUTE(G71,";",REPT(" ",99)),1,99)))+1,99)),IF(TRIM(MID(SUBSTITUTE(G71,";",REPT(" ",99)),100,99))="","",IFERROR(VLOOKUP(--LEFT(TRIM(MID(SUBSTITUTE(G71,";",REPT(" ",99)),100,99)),FIND(":",TRIM(MID(SUBSTITUTE(G71,";",REPT(" ",99)),100,99)))-1),_Lookup!$A:$B,2,FALSE),"?")&amp;"×"&amp;MID(TRIM(MID(SUBSTITUTE(G71,";",REPT(" ",99)),100,99)),FIND(":",TRIM(MID(SUBSTITUTE(G71,";",REPT(" ",99)),100,99)))+1,99)),IF(TRIM(MID(SUBSTITUTE(G71,";",REPT(" ",99)),199,99))="","",IFERROR(VLOOKUP(--LEFT(TRIM(MID(SUBSTITUTE(G71,";",REPT(" ",99)),199,99)),FIND(":",TRIM(MID(SUBSTITUTE(G71,";",REPT(" ",99)),199,99)))-1),_Lookup!$A:$B,2,FALSE),"?")&amp;"×"&amp;MID(TRIM(MID(SUBSTITUTE(G71,";",REPT(" ",99)),199,99)),FIND(":",TRIM(MID(SUBSTITUTE(G71,";",REPT(" ",99)),199,99)))+1,99)),IF(TRIM(MID(SUBSTITUTE(G71,";",REPT(" ",99)),298,99))="","",IFERROR(VLOOKUP(--LEFT(TRIM(MID(SUBSTITUTE(G71,";",REPT(" ",99)),298,99)),FIND(":",TRIM(MID(SUBSTITUTE(G71,";",REPT(" ",99)),298,99)))-1),_Lookup!$A:$B,2,FALSE),"?")&amp;"×"&amp;MID(TRIM(MID(SUBSTITUTE(G71,";",REPT(" ",99)),298,99)),FIND(":",TRIM(MID(SUBSTITUTE(G71,";",REPT(" ",99)),298,99)))+1,99)),IF(TRIM(MID(SUBSTITUTE(G71,";",REPT(" ",99)),397,99))="","",IFERROR(VLOOKUP(--LEFT(TRIM(MID(SUBSTITUTE(G71,";",REPT(" ",99)),397,99)),FIND(":",TRIM(MID(SUBSTITUTE(G71,";",REPT(" ",99)),397,99)))-1),_Lookup!$A:$B,2,FALSE),"?")&amp;"×"&amp;MID(TRIM(MID(SUBSTITUTE(G71,";",REPT(" ",99)),397,99)),FIND(":",TRIM(MID(SUBSTITUTE(G71,";",REPT(" ",99)),397,99)))+1,99))))</f>
        <v/>
      </c>
    </row>
    <row r="72">
      <c r="C72" s="11">
        <f>IFERROR(VLOOKUP(B72,ItemData_Equipment!$A:$B,2,FALSE),"")</f>
        <v/>
      </c>
      <c r="H72" s="11">
        <f>IF(G72="","",TEXTJOIN("; ",TRUE,IF(TRIM(MID(SUBSTITUTE(G72,";",REPT(" ",99)),1,99))="","",IFERROR(VLOOKUP(--LEFT(TRIM(MID(SUBSTITUTE(G72,";",REPT(" ",99)),1,99)),FIND(":",TRIM(MID(SUBSTITUTE(G72,";",REPT(" ",99)),1,99)))-1),_Lookup!$A:$B,2,FALSE),"?")&amp;"×"&amp;MID(TRIM(MID(SUBSTITUTE(G72,";",REPT(" ",99)),1,99)),FIND(":",TRIM(MID(SUBSTITUTE(G72,";",REPT(" ",99)),1,99)))+1,99)),IF(TRIM(MID(SUBSTITUTE(G72,";",REPT(" ",99)),100,99))="","",IFERROR(VLOOKUP(--LEFT(TRIM(MID(SUBSTITUTE(G72,";",REPT(" ",99)),100,99)),FIND(":",TRIM(MID(SUBSTITUTE(G72,";",REPT(" ",99)),100,99)))-1),_Lookup!$A:$B,2,FALSE),"?")&amp;"×"&amp;MID(TRIM(MID(SUBSTITUTE(G72,";",REPT(" ",99)),100,99)),FIND(":",TRIM(MID(SUBSTITUTE(G72,";",REPT(" ",99)),100,99)))+1,99)),IF(TRIM(MID(SUBSTITUTE(G72,";",REPT(" ",99)),199,99))="","",IFERROR(VLOOKUP(--LEFT(TRIM(MID(SUBSTITUTE(G72,";",REPT(" ",99)),199,99)),FIND(":",TRIM(MID(SUBSTITUTE(G72,";",REPT(" ",99)),199,99)))-1),_Lookup!$A:$B,2,FALSE),"?")&amp;"×"&amp;MID(TRIM(MID(SUBSTITUTE(G72,";",REPT(" ",99)),199,99)),FIND(":",TRIM(MID(SUBSTITUTE(G72,";",REPT(" ",99)),199,99)))+1,99)),IF(TRIM(MID(SUBSTITUTE(G72,";",REPT(" ",99)),298,99))="","",IFERROR(VLOOKUP(--LEFT(TRIM(MID(SUBSTITUTE(G72,";",REPT(" ",99)),298,99)),FIND(":",TRIM(MID(SUBSTITUTE(G72,";",REPT(" ",99)),298,99)))-1),_Lookup!$A:$B,2,FALSE),"?")&amp;"×"&amp;MID(TRIM(MID(SUBSTITUTE(G72,";",REPT(" ",99)),298,99)),FIND(":",TRIM(MID(SUBSTITUTE(G72,";",REPT(" ",99)),298,99)))+1,99)),IF(TRIM(MID(SUBSTITUTE(G72,";",REPT(" ",99)),397,99))="","",IFERROR(VLOOKUP(--LEFT(TRIM(MID(SUBSTITUTE(G72,";",REPT(" ",99)),397,99)),FIND(":",TRIM(MID(SUBSTITUTE(G72,";",REPT(" ",99)),397,99)))-1),_Lookup!$A:$B,2,FALSE),"?")&amp;"×"&amp;MID(TRIM(MID(SUBSTITUTE(G72,";",REPT(" ",99)),397,99)),FIND(":",TRIM(MID(SUBSTITUTE(G72,";",REPT(" ",99)),397,99)))+1,99))))</f>
        <v/>
      </c>
    </row>
    <row r="73">
      <c r="C73" s="11">
        <f>IFERROR(VLOOKUP(B73,ItemData_Equipment!$A:$B,2,FALSE),"")</f>
        <v/>
      </c>
      <c r="H73" s="11">
        <f>IF(G73="","",TEXTJOIN("; ",TRUE,IF(TRIM(MID(SUBSTITUTE(G73,";",REPT(" ",99)),1,99))="","",IFERROR(VLOOKUP(--LEFT(TRIM(MID(SUBSTITUTE(G73,";",REPT(" ",99)),1,99)),FIND(":",TRIM(MID(SUBSTITUTE(G73,";",REPT(" ",99)),1,99)))-1),_Lookup!$A:$B,2,FALSE),"?")&amp;"×"&amp;MID(TRIM(MID(SUBSTITUTE(G73,";",REPT(" ",99)),1,99)),FIND(":",TRIM(MID(SUBSTITUTE(G73,";",REPT(" ",99)),1,99)))+1,99)),IF(TRIM(MID(SUBSTITUTE(G73,";",REPT(" ",99)),100,99))="","",IFERROR(VLOOKUP(--LEFT(TRIM(MID(SUBSTITUTE(G73,";",REPT(" ",99)),100,99)),FIND(":",TRIM(MID(SUBSTITUTE(G73,";",REPT(" ",99)),100,99)))-1),_Lookup!$A:$B,2,FALSE),"?")&amp;"×"&amp;MID(TRIM(MID(SUBSTITUTE(G73,";",REPT(" ",99)),100,99)),FIND(":",TRIM(MID(SUBSTITUTE(G73,";",REPT(" ",99)),100,99)))+1,99)),IF(TRIM(MID(SUBSTITUTE(G73,";",REPT(" ",99)),199,99))="","",IFERROR(VLOOKUP(--LEFT(TRIM(MID(SUBSTITUTE(G73,";",REPT(" ",99)),199,99)),FIND(":",TRIM(MID(SUBSTITUTE(G73,";",REPT(" ",99)),199,99)))-1),_Lookup!$A:$B,2,FALSE),"?")&amp;"×"&amp;MID(TRIM(MID(SUBSTITUTE(G73,";",REPT(" ",99)),199,99)),FIND(":",TRIM(MID(SUBSTITUTE(G73,";",REPT(" ",99)),199,99)))+1,99)),IF(TRIM(MID(SUBSTITUTE(G73,";",REPT(" ",99)),298,99))="","",IFERROR(VLOOKUP(--LEFT(TRIM(MID(SUBSTITUTE(G73,";",REPT(" ",99)),298,99)),FIND(":",TRIM(MID(SUBSTITUTE(G73,";",REPT(" ",99)),298,99)))-1),_Lookup!$A:$B,2,FALSE),"?")&amp;"×"&amp;MID(TRIM(MID(SUBSTITUTE(G73,";",REPT(" ",99)),298,99)),FIND(":",TRIM(MID(SUBSTITUTE(G73,";",REPT(" ",99)),298,99)))+1,99)),IF(TRIM(MID(SUBSTITUTE(G73,";",REPT(" ",99)),397,99))="","",IFERROR(VLOOKUP(--LEFT(TRIM(MID(SUBSTITUTE(G73,";",REPT(" ",99)),397,99)),FIND(":",TRIM(MID(SUBSTITUTE(G73,";",REPT(" ",99)),397,99)))-1),_Lookup!$A:$B,2,FALSE),"?")&amp;"×"&amp;MID(TRIM(MID(SUBSTITUTE(G73,";",REPT(" ",99)),397,99)),FIND(":",TRIM(MID(SUBSTITUTE(G73,";",REPT(" ",99)),397,99)))+1,99))))</f>
        <v/>
      </c>
    </row>
    <row r="74">
      <c r="C74" s="11">
        <f>IFERROR(VLOOKUP(B74,ItemData_Equipment!$A:$B,2,FALSE),"")</f>
        <v/>
      </c>
      <c r="H74" s="11">
        <f>IF(G74="","",TEXTJOIN("; ",TRUE,IF(TRIM(MID(SUBSTITUTE(G74,";",REPT(" ",99)),1,99))="","",IFERROR(VLOOKUP(--LEFT(TRIM(MID(SUBSTITUTE(G74,";",REPT(" ",99)),1,99)),FIND(":",TRIM(MID(SUBSTITUTE(G74,";",REPT(" ",99)),1,99)))-1),_Lookup!$A:$B,2,FALSE),"?")&amp;"×"&amp;MID(TRIM(MID(SUBSTITUTE(G74,";",REPT(" ",99)),1,99)),FIND(":",TRIM(MID(SUBSTITUTE(G74,";",REPT(" ",99)),1,99)))+1,99)),IF(TRIM(MID(SUBSTITUTE(G74,";",REPT(" ",99)),100,99))="","",IFERROR(VLOOKUP(--LEFT(TRIM(MID(SUBSTITUTE(G74,";",REPT(" ",99)),100,99)),FIND(":",TRIM(MID(SUBSTITUTE(G74,";",REPT(" ",99)),100,99)))-1),_Lookup!$A:$B,2,FALSE),"?")&amp;"×"&amp;MID(TRIM(MID(SUBSTITUTE(G74,";",REPT(" ",99)),100,99)),FIND(":",TRIM(MID(SUBSTITUTE(G74,";",REPT(" ",99)),100,99)))+1,99)),IF(TRIM(MID(SUBSTITUTE(G74,";",REPT(" ",99)),199,99))="","",IFERROR(VLOOKUP(--LEFT(TRIM(MID(SUBSTITUTE(G74,";",REPT(" ",99)),199,99)),FIND(":",TRIM(MID(SUBSTITUTE(G74,";",REPT(" ",99)),199,99)))-1),_Lookup!$A:$B,2,FALSE),"?")&amp;"×"&amp;MID(TRIM(MID(SUBSTITUTE(G74,";",REPT(" ",99)),199,99)),FIND(":",TRIM(MID(SUBSTITUTE(G74,";",REPT(" ",99)),199,99)))+1,99)),IF(TRIM(MID(SUBSTITUTE(G74,";",REPT(" ",99)),298,99))="","",IFERROR(VLOOKUP(--LEFT(TRIM(MID(SUBSTITUTE(G74,";",REPT(" ",99)),298,99)),FIND(":",TRIM(MID(SUBSTITUTE(G74,";",REPT(" ",99)),298,99)))-1),_Lookup!$A:$B,2,FALSE),"?")&amp;"×"&amp;MID(TRIM(MID(SUBSTITUTE(G74,";",REPT(" ",99)),298,99)),FIND(":",TRIM(MID(SUBSTITUTE(G74,";",REPT(" ",99)),298,99)))+1,99)),IF(TRIM(MID(SUBSTITUTE(G74,";",REPT(" ",99)),397,99))="","",IFERROR(VLOOKUP(--LEFT(TRIM(MID(SUBSTITUTE(G74,";",REPT(" ",99)),397,99)),FIND(":",TRIM(MID(SUBSTITUTE(G74,";",REPT(" ",99)),397,99)))-1),_Lookup!$A:$B,2,FALSE),"?")&amp;"×"&amp;MID(TRIM(MID(SUBSTITUTE(G74,";",REPT(" ",99)),397,99)),FIND(":",TRIM(MID(SUBSTITUTE(G74,";",REPT(" ",99)),397,99)))+1,99))))</f>
        <v/>
      </c>
    </row>
    <row r="75">
      <c r="C75" s="11">
        <f>IFERROR(VLOOKUP(B75,ItemData_Equipment!$A:$B,2,FALSE),"")</f>
        <v/>
      </c>
      <c r="H75" s="11">
        <f>IF(G75="","",TEXTJOIN("; ",TRUE,IF(TRIM(MID(SUBSTITUTE(G75,";",REPT(" ",99)),1,99))="","",IFERROR(VLOOKUP(--LEFT(TRIM(MID(SUBSTITUTE(G75,";",REPT(" ",99)),1,99)),FIND(":",TRIM(MID(SUBSTITUTE(G75,";",REPT(" ",99)),1,99)))-1),_Lookup!$A:$B,2,FALSE),"?")&amp;"×"&amp;MID(TRIM(MID(SUBSTITUTE(G75,";",REPT(" ",99)),1,99)),FIND(":",TRIM(MID(SUBSTITUTE(G75,";",REPT(" ",99)),1,99)))+1,99)),IF(TRIM(MID(SUBSTITUTE(G75,";",REPT(" ",99)),100,99))="","",IFERROR(VLOOKUP(--LEFT(TRIM(MID(SUBSTITUTE(G75,";",REPT(" ",99)),100,99)),FIND(":",TRIM(MID(SUBSTITUTE(G75,";",REPT(" ",99)),100,99)))-1),_Lookup!$A:$B,2,FALSE),"?")&amp;"×"&amp;MID(TRIM(MID(SUBSTITUTE(G75,";",REPT(" ",99)),100,99)),FIND(":",TRIM(MID(SUBSTITUTE(G75,";",REPT(" ",99)),100,99)))+1,99)),IF(TRIM(MID(SUBSTITUTE(G75,";",REPT(" ",99)),199,99))="","",IFERROR(VLOOKUP(--LEFT(TRIM(MID(SUBSTITUTE(G75,";",REPT(" ",99)),199,99)),FIND(":",TRIM(MID(SUBSTITUTE(G75,";",REPT(" ",99)),199,99)))-1),_Lookup!$A:$B,2,FALSE),"?")&amp;"×"&amp;MID(TRIM(MID(SUBSTITUTE(G75,";",REPT(" ",99)),199,99)),FIND(":",TRIM(MID(SUBSTITUTE(G75,";",REPT(" ",99)),199,99)))+1,99)),IF(TRIM(MID(SUBSTITUTE(G75,";",REPT(" ",99)),298,99))="","",IFERROR(VLOOKUP(--LEFT(TRIM(MID(SUBSTITUTE(G75,";",REPT(" ",99)),298,99)),FIND(":",TRIM(MID(SUBSTITUTE(G75,";",REPT(" ",99)),298,99)))-1),_Lookup!$A:$B,2,FALSE),"?")&amp;"×"&amp;MID(TRIM(MID(SUBSTITUTE(G75,";",REPT(" ",99)),298,99)),FIND(":",TRIM(MID(SUBSTITUTE(G75,";",REPT(" ",99)),298,99)))+1,99)),IF(TRIM(MID(SUBSTITUTE(G75,";",REPT(" ",99)),397,99))="","",IFERROR(VLOOKUP(--LEFT(TRIM(MID(SUBSTITUTE(G75,";",REPT(" ",99)),397,99)),FIND(":",TRIM(MID(SUBSTITUTE(G75,";",REPT(" ",99)),397,99)))-1),_Lookup!$A:$B,2,FALSE),"?")&amp;"×"&amp;MID(TRIM(MID(SUBSTITUTE(G75,";",REPT(" ",99)),397,99)),FIND(":",TRIM(MID(SUBSTITUTE(G75,";",REPT(" ",99)),397,99)))+1,99))))</f>
        <v/>
      </c>
    </row>
    <row r="76">
      <c r="C76" s="11">
        <f>IFERROR(VLOOKUP(B76,ItemData_Equipment!$A:$B,2,FALSE),"")</f>
        <v/>
      </c>
      <c r="H76" s="11">
        <f>IF(G76="","",TEXTJOIN("; ",TRUE,IF(TRIM(MID(SUBSTITUTE(G76,";",REPT(" ",99)),1,99))="","",IFERROR(VLOOKUP(--LEFT(TRIM(MID(SUBSTITUTE(G76,";",REPT(" ",99)),1,99)),FIND(":",TRIM(MID(SUBSTITUTE(G76,";",REPT(" ",99)),1,99)))-1),_Lookup!$A:$B,2,FALSE),"?")&amp;"×"&amp;MID(TRIM(MID(SUBSTITUTE(G76,";",REPT(" ",99)),1,99)),FIND(":",TRIM(MID(SUBSTITUTE(G76,";",REPT(" ",99)),1,99)))+1,99)),IF(TRIM(MID(SUBSTITUTE(G76,";",REPT(" ",99)),100,99))="","",IFERROR(VLOOKUP(--LEFT(TRIM(MID(SUBSTITUTE(G76,";",REPT(" ",99)),100,99)),FIND(":",TRIM(MID(SUBSTITUTE(G76,";",REPT(" ",99)),100,99)))-1),_Lookup!$A:$B,2,FALSE),"?")&amp;"×"&amp;MID(TRIM(MID(SUBSTITUTE(G76,";",REPT(" ",99)),100,99)),FIND(":",TRIM(MID(SUBSTITUTE(G76,";",REPT(" ",99)),100,99)))+1,99)),IF(TRIM(MID(SUBSTITUTE(G76,";",REPT(" ",99)),199,99))="","",IFERROR(VLOOKUP(--LEFT(TRIM(MID(SUBSTITUTE(G76,";",REPT(" ",99)),199,99)),FIND(":",TRIM(MID(SUBSTITUTE(G76,";",REPT(" ",99)),199,99)))-1),_Lookup!$A:$B,2,FALSE),"?")&amp;"×"&amp;MID(TRIM(MID(SUBSTITUTE(G76,";",REPT(" ",99)),199,99)),FIND(":",TRIM(MID(SUBSTITUTE(G76,";",REPT(" ",99)),199,99)))+1,99)),IF(TRIM(MID(SUBSTITUTE(G76,";",REPT(" ",99)),298,99))="","",IFERROR(VLOOKUP(--LEFT(TRIM(MID(SUBSTITUTE(G76,";",REPT(" ",99)),298,99)),FIND(":",TRIM(MID(SUBSTITUTE(G76,";",REPT(" ",99)),298,99)))-1),_Lookup!$A:$B,2,FALSE),"?")&amp;"×"&amp;MID(TRIM(MID(SUBSTITUTE(G76,";",REPT(" ",99)),298,99)),FIND(":",TRIM(MID(SUBSTITUTE(G76,";",REPT(" ",99)),298,99)))+1,99)),IF(TRIM(MID(SUBSTITUTE(G76,";",REPT(" ",99)),397,99))="","",IFERROR(VLOOKUP(--LEFT(TRIM(MID(SUBSTITUTE(G76,";",REPT(" ",99)),397,99)),FIND(":",TRIM(MID(SUBSTITUTE(G76,";",REPT(" ",99)),397,99)))-1),_Lookup!$A:$B,2,FALSE),"?")&amp;"×"&amp;MID(TRIM(MID(SUBSTITUTE(G76,";",REPT(" ",99)),397,99)),FIND(":",TRIM(MID(SUBSTITUTE(G76,";",REPT(" ",99)),397,99)))+1,99))))</f>
        <v/>
      </c>
    </row>
    <row r="77">
      <c r="C77" s="11">
        <f>IFERROR(VLOOKUP(B77,ItemData_Equipment!$A:$B,2,FALSE),"")</f>
        <v/>
      </c>
      <c r="H77" s="11">
        <f>IF(G77="","",TEXTJOIN("; ",TRUE,IF(TRIM(MID(SUBSTITUTE(G77,";",REPT(" ",99)),1,99))="","",IFERROR(VLOOKUP(--LEFT(TRIM(MID(SUBSTITUTE(G77,";",REPT(" ",99)),1,99)),FIND(":",TRIM(MID(SUBSTITUTE(G77,";",REPT(" ",99)),1,99)))-1),_Lookup!$A:$B,2,FALSE),"?")&amp;"×"&amp;MID(TRIM(MID(SUBSTITUTE(G77,";",REPT(" ",99)),1,99)),FIND(":",TRIM(MID(SUBSTITUTE(G77,";",REPT(" ",99)),1,99)))+1,99)),IF(TRIM(MID(SUBSTITUTE(G77,";",REPT(" ",99)),100,99))="","",IFERROR(VLOOKUP(--LEFT(TRIM(MID(SUBSTITUTE(G77,";",REPT(" ",99)),100,99)),FIND(":",TRIM(MID(SUBSTITUTE(G77,";",REPT(" ",99)),100,99)))-1),_Lookup!$A:$B,2,FALSE),"?")&amp;"×"&amp;MID(TRIM(MID(SUBSTITUTE(G77,";",REPT(" ",99)),100,99)),FIND(":",TRIM(MID(SUBSTITUTE(G77,";",REPT(" ",99)),100,99)))+1,99)),IF(TRIM(MID(SUBSTITUTE(G77,";",REPT(" ",99)),199,99))="","",IFERROR(VLOOKUP(--LEFT(TRIM(MID(SUBSTITUTE(G77,";",REPT(" ",99)),199,99)),FIND(":",TRIM(MID(SUBSTITUTE(G77,";",REPT(" ",99)),199,99)))-1),_Lookup!$A:$B,2,FALSE),"?")&amp;"×"&amp;MID(TRIM(MID(SUBSTITUTE(G77,";",REPT(" ",99)),199,99)),FIND(":",TRIM(MID(SUBSTITUTE(G77,";",REPT(" ",99)),199,99)))+1,99)),IF(TRIM(MID(SUBSTITUTE(G77,";",REPT(" ",99)),298,99))="","",IFERROR(VLOOKUP(--LEFT(TRIM(MID(SUBSTITUTE(G77,";",REPT(" ",99)),298,99)),FIND(":",TRIM(MID(SUBSTITUTE(G77,";",REPT(" ",99)),298,99)))-1),_Lookup!$A:$B,2,FALSE),"?")&amp;"×"&amp;MID(TRIM(MID(SUBSTITUTE(G77,";",REPT(" ",99)),298,99)),FIND(":",TRIM(MID(SUBSTITUTE(G77,";",REPT(" ",99)),298,99)))+1,99)),IF(TRIM(MID(SUBSTITUTE(G77,";",REPT(" ",99)),397,99))="","",IFERROR(VLOOKUP(--LEFT(TRIM(MID(SUBSTITUTE(G77,";",REPT(" ",99)),397,99)),FIND(":",TRIM(MID(SUBSTITUTE(G77,";",REPT(" ",99)),397,99)))-1),_Lookup!$A:$B,2,FALSE),"?")&amp;"×"&amp;MID(TRIM(MID(SUBSTITUTE(G77,";",REPT(" ",99)),397,99)),FIND(":",TRIM(MID(SUBSTITUTE(G77,";",REPT(" ",99)),397,99)))+1,99))))</f>
        <v/>
      </c>
    </row>
    <row r="78">
      <c r="C78" s="11">
        <f>IFERROR(VLOOKUP(B78,ItemData_Equipment!$A:$B,2,FALSE),"")</f>
        <v/>
      </c>
      <c r="H78" s="11">
        <f>IF(G78="","",TEXTJOIN("; ",TRUE,IF(TRIM(MID(SUBSTITUTE(G78,";",REPT(" ",99)),1,99))="","",IFERROR(VLOOKUP(--LEFT(TRIM(MID(SUBSTITUTE(G78,";",REPT(" ",99)),1,99)),FIND(":",TRIM(MID(SUBSTITUTE(G78,";",REPT(" ",99)),1,99)))-1),_Lookup!$A:$B,2,FALSE),"?")&amp;"×"&amp;MID(TRIM(MID(SUBSTITUTE(G78,";",REPT(" ",99)),1,99)),FIND(":",TRIM(MID(SUBSTITUTE(G78,";",REPT(" ",99)),1,99)))+1,99)),IF(TRIM(MID(SUBSTITUTE(G78,";",REPT(" ",99)),100,99))="","",IFERROR(VLOOKUP(--LEFT(TRIM(MID(SUBSTITUTE(G78,";",REPT(" ",99)),100,99)),FIND(":",TRIM(MID(SUBSTITUTE(G78,";",REPT(" ",99)),100,99)))-1),_Lookup!$A:$B,2,FALSE),"?")&amp;"×"&amp;MID(TRIM(MID(SUBSTITUTE(G78,";",REPT(" ",99)),100,99)),FIND(":",TRIM(MID(SUBSTITUTE(G78,";",REPT(" ",99)),100,99)))+1,99)),IF(TRIM(MID(SUBSTITUTE(G78,";",REPT(" ",99)),199,99))="","",IFERROR(VLOOKUP(--LEFT(TRIM(MID(SUBSTITUTE(G78,";",REPT(" ",99)),199,99)),FIND(":",TRIM(MID(SUBSTITUTE(G78,";",REPT(" ",99)),199,99)))-1),_Lookup!$A:$B,2,FALSE),"?")&amp;"×"&amp;MID(TRIM(MID(SUBSTITUTE(G78,";",REPT(" ",99)),199,99)),FIND(":",TRIM(MID(SUBSTITUTE(G78,";",REPT(" ",99)),199,99)))+1,99)),IF(TRIM(MID(SUBSTITUTE(G78,";",REPT(" ",99)),298,99))="","",IFERROR(VLOOKUP(--LEFT(TRIM(MID(SUBSTITUTE(G78,";",REPT(" ",99)),298,99)),FIND(":",TRIM(MID(SUBSTITUTE(G78,";",REPT(" ",99)),298,99)))-1),_Lookup!$A:$B,2,FALSE),"?")&amp;"×"&amp;MID(TRIM(MID(SUBSTITUTE(G78,";",REPT(" ",99)),298,99)),FIND(":",TRIM(MID(SUBSTITUTE(G78,";",REPT(" ",99)),298,99)))+1,99)),IF(TRIM(MID(SUBSTITUTE(G78,";",REPT(" ",99)),397,99))="","",IFERROR(VLOOKUP(--LEFT(TRIM(MID(SUBSTITUTE(G78,";",REPT(" ",99)),397,99)),FIND(":",TRIM(MID(SUBSTITUTE(G78,";",REPT(" ",99)),397,99)))-1),_Lookup!$A:$B,2,FALSE),"?")&amp;"×"&amp;MID(TRIM(MID(SUBSTITUTE(G78,";",REPT(" ",99)),397,99)),FIND(":",TRIM(MID(SUBSTITUTE(G78,";",REPT(" ",99)),397,99)))+1,99))))</f>
        <v/>
      </c>
    </row>
    <row r="79">
      <c r="C79" s="11">
        <f>IFERROR(VLOOKUP(B79,ItemData_Equipment!$A:$B,2,FALSE),"")</f>
        <v/>
      </c>
      <c r="H79" s="11">
        <f>IF(G79="","",TEXTJOIN("; ",TRUE,IF(TRIM(MID(SUBSTITUTE(G79,";",REPT(" ",99)),1,99))="","",IFERROR(VLOOKUP(--LEFT(TRIM(MID(SUBSTITUTE(G79,";",REPT(" ",99)),1,99)),FIND(":",TRIM(MID(SUBSTITUTE(G79,";",REPT(" ",99)),1,99)))-1),_Lookup!$A:$B,2,FALSE),"?")&amp;"×"&amp;MID(TRIM(MID(SUBSTITUTE(G79,";",REPT(" ",99)),1,99)),FIND(":",TRIM(MID(SUBSTITUTE(G79,";",REPT(" ",99)),1,99)))+1,99)),IF(TRIM(MID(SUBSTITUTE(G79,";",REPT(" ",99)),100,99))="","",IFERROR(VLOOKUP(--LEFT(TRIM(MID(SUBSTITUTE(G79,";",REPT(" ",99)),100,99)),FIND(":",TRIM(MID(SUBSTITUTE(G79,";",REPT(" ",99)),100,99)))-1),_Lookup!$A:$B,2,FALSE),"?")&amp;"×"&amp;MID(TRIM(MID(SUBSTITUTE(G79,";",REPT(" ",99)),100,99)),FIND(":",TRIM(MID(SUBSTITUTE(G79,";",REPT(" ",99)),100,99)))+1,99)),IF(TRIM(MID(SUBSTITUTE(G79,";",REPT(" ",99)),199,99))="","",IFERROR(VLOOKUP(--LEFT(TRIM(MID(SUBSTITUTE(G79,";",REPT(" ",99)),199,99)),FIND(":",TRIM(MID(SUBSTITUTE(G79,";",REPT(" ",99)),199,99)))-1),_Lookup!$A:$B,2,FALSE),"?")&amp;"×"&amp;MID(TRIM(MID(SUBSTITUTE(G79,";",REPT(" ",99)),199,99)),FIND(":",TRIM(MID(SUBSTITUTE(G79,";",REPT(" ",99)),199,99)))+1,99)),IF(TRIM(MID(SUBSTITUTE(G79,";",REPT(" ",99)),298,99))="","",IFERROR(VLOOKUP(--LEFT(TRIM(MID(SUBSTITUTE(G79,";",REPT(" ",99)),298,99)),FIND(":",TRIM(MID(SUBSTITUTE(G79,";",REPT(" ",99)),298,99)))-1),_Lookup!$A:$B,2,FALSE),"?")&amp;"×"&amp;MID(TRIM(MID(SUBSTITUTE(G79,";",REPT(" ",99)),298,99)),FIND(":",TRIM(MID(SUBSTITUTE(G79,";",REPT(" ",99)),298,99)))+1,99)),IF(TRIM(MID(SUBSTITUTE(G79,";",REPT(" ",99)),397,99))="","",IFERROR(VLOOKUP(--LEFT(TRIM(MID(SUBSTITUTE(G79,";",REPT(" ",99)),397,99)),FIND(":",TRIM(MID(SUBSTITUTE(G79,";",REPT(" ",99)),397,99)))-1),_Lookup!$A:$B,2,FALSE),"?")&amp;"×"&amp;MID(TRIM(MID(SUBSTITUTE(G79,";",REPT(" ",99)),397,99)),FIND(":",TRIM(MID(SUBSTITUTE(G79,";",REPT(" ",99)),397,99)))+1,99))))</f>
        <v/>
      </c>
    </row>
    <row r="80">
      <c r="C80" s="11">
        <f>IFERROR(VLOOKUP(B80,ItemData_Equipment!$A:$B,2,FALSE),"")</f>
        <v/>
      </c>
      <c r="H80" s="11">
        <f>IF(G80="","",TEXTJOIN("; ",TRUE,IF(TRIM(MID(SUBSTITUTE(G80,";",REPT(" ",99)),1,99))="","",IFERROR(VLOOKUP(--LEFT(TRIM(MID(SUBSTITUTE(G80,";",REPT(" ",99)),1,99)),FIND(":",TRIM(MID(SUBSTITUTE(G80,";",REPT(" ",99)),1,99)))-1),_Lookup!$A:$B,2,FALSE),"?")&amp;"×"&amp;MID(TRIM(MID(SUBSTITUTE(G80,";",REPT(" ",99)),1,99)),FIND(":",TRIM(MID(SUBSTITUTE(G80,";",REPT(" ",99)),1,99)))+1,99)),IF(TRIM(MID(SUBSTITUTE(G80,";",REPT(" ",99)),100,99))="","",IFERROR(VLOOKUP(--LEFT(TRIM(MID(SUBSTITUTE(G80,";",REPT(" ",99)),100,99)),FIND(":",TRIM(MID(SUBSTITUTE(G80,";",REPT(" ",99)),100,99)))-1),_Lookup!$A:$B,2,FALSE),"?")&amp;"×"&amp;MID(TRIM(MID(SUBSTITUTE(G80,";",REPT(" ",99)),100,99)),FIND(":",TRIM(MID(SUBSTITUTE(G80,";",REPT(" ",99)),100,99)))+1,99)),IF(TRIM(MID(SUBSTITUTE(G80,";",REPT(" ",99)),199,99))="","",IFERROR(VLOOKUP(--LEFT(TRIM(MID(SUBSTITUTE(G80,";",REPT(" ",99)),199,99)),FIND(":",TRIM(MID(SUBSTITUTE(G80,";",REPT(" ",99)),199,99)))-1),_Lookup!$A:$B,2,FALSE),"?")&amp;"×"&amp;MID(TRIM(MID(SUBSTITUTE(G80,";",REPT(" ",99)),199,99)),FIND(":",TRIM(MID(SUBSTITUTE(G80,";",REPT(" ",99)),199,99)))+1,99)),IF(TRIM(MID(SUBSTITUTE(G80,";",REPT(" ",99)),298,99))="","",IFERROR(VLOOKUP(--LEFT(TRIM(MID(SUBSTITUTE(G80,";",REPT(" ",99)),298,99)),FIND(":",TRIM(MID(SUBSTITUTE(G80,";",REPT(" ",99)),298,99)))-1),_Lookup!$A:$B,2,FALSE),"?")&amp;"×"&amp;MID(TRIM(MID(SUBSTITUTE(G80,";",REPT(" ",99)),298,99)),FIND(":",TRIM(MID(SUBSTITUTE(G80,";",REPT(" ",99)),298,99)))+1,99)),IF(TRIM(MID(SUBSTITUTE(G80,";",REPT(" ",99)),397,99))="","",IFERROR(VLOOKUP(--LEFT(TRIM(MID(SUBSTITUTE(G80,";",REPT(" ",99)),397,99)),FIND(":",TRIM(MID(SUBSTITUTE(G80,";",REPT(" ",99)),397,99)))-1),_Lookup!$A:$B,2,FALSE),"?")&amp;"×"&amp;MID(TRIM(MID(SUBSTITUTE(G80,";",REPT(" ",99)),397,99)),FIND(":",TRIM(MID(SUBSTITUTE(G80,";",REPT(" ",99)),397,99)))+1,99))))</f>
        <v/>
      </c>
    </row>
    <row r="81">
      <c r="C81" s="11">
        <f>IFERROR(VLOOKUP(B81,ItemData_Equipment!$A:$B,2,FALSE),"")</f>
        <v/>
      </c>
      <c r="H81" s="11">
        <f>IF(G81="","",TEXTJOIN("; ",TRUE,IF(TRIM(MID(SUBSTITUTE(G81,";",REPT(" ",99)),1,99))="","",IFERROR(VLOOKUP(--LEFT(TRIM(MID(SUBSTITUTE(G81,";",REPT(" ",99)),1,99)),FIND(":",TRIM(MID(SUBSTITUTE(G81,";",REPT(" ",99)),1,99)))-1),_Lookup!$A:$B,2,FALSE),"?")&amp;"×"&amp;MID(TRIM(MID(SUBSTITUTE(G81,";",REPT(" ",99)),1,99)),FIND(":",TRIM(MID(SUBSTITUTE(G81,";",REPT(" ",99)),1,99)))+1,99)),IF(TRIM(MID(SUBSTITUTE(G81,";",REPT(" ",99)),100,99))="","",IFERROR(VLOOKUP(--LEFT(TRIM(MID(SUBSTITUTE(G81,";",REPT(" ",99)),100,99)),FIND(":",TRIM(MID(SUBSTITUTE(G81,";",REPT(" ",99)),100,99)))-1),_Lookup!$A:$B,2,FALSE),"?")&amp;"×"&amp;MID(TRIM(MID(SUBSTITUTE(G81,";",REPT(" ",99)),100,99)),FIND(":",TRIM(MID(SUBSTITUTE(G81,";",REPT(" ",99)),100,99)))+1,99)),IF(TRIM(MID(SUBSTITUTE(G81,";",REPT(" ",99)),199,99))="","",IFERROR(VLOOKUP(--LEFT(TRIM(MID(SUBSTITUTE(G81,";",REPT(" ",99)),199,99)),FIND(":",TRIM(MID(SUBSTITUTE(G81,";",REPT(" ",99)),199,99)))-1),_Lookup!$A:$B,2,FALSE),"?")&amp;"×"&amp;MID(TRIM(MID(SUBSTITUTE(G81,";",REPT(" ",99)),199,99)),FIND(":",TRIM(MID(SUBSTITUTE(G81,";",REPT(" ",99)),199,99)))+1,99)),IF(TRIM(MID(SUBSTITUTE(G81,";",REPT(" ",99)),298,99))="","",IFERROR(VLOOKUP(--LEFT(TRIM(MID(SUBSTITUTE(G81,";",REPT(" ",99)),298,99)),FIND(":",TRIM(MID(SUBSTITUTE(G81,";",REPT(" ",99)),298,99)))-1),_Lookup!$A:$B,2,FALSE),"?")&amp;"×"&amp;MID(TRIM(MID(SUBSTITUTE(G81,";",REPT(" ",99)),298,99)),FIND(":",TRIM(MID(SUBSTITUTE(G81,";",REPT(" ",99)),298,99)))+1,99)),IF(TRIM(MID(SUBSTITUTE(G81,";",REPT(" ",99)),397,99))="","",IFERROR(VLOOKUP(--LEFT(TRIM(MID(SUBSTITUTE(G81,";",REPT(" ",99)),397,99)),FIND(":",TRIM(MID(SUBSTITUTE(G81,";",REPT(" ",99)),397,99)))-1),_Lookup!$A:$B,2,FALSE),"?")&amp;"×"&amp;MID(TRIM(MID(SUBSTITUTE(G81,";",REPT(" ",99)),397,99)),FIND(":",TRIM(MID(SUBSTITUTE(G81,";",REPT(" ",99)),397,99)))+1,99))))</f>
        <v/>
      </c>
    </row>
    <row r="82">
      <c r="C82" s="11">
        <f>IFERROR(VLOOKUP(B82,ItemData_Equipment!$A:$B,2,FALSE),"")</f>
        <v/>
      </c>
      <c r="H82" s="11">
        <f>IF(G82="","",TEXTJOIN("; ",TRUE,IF(TRIM(MID(SUBSTITUTE(G82,";",REPT(" ",99)),1,99))="","",IFERROR(VLOOKUP(--LEFT(TRIM(MID(SUBSTITUTE(G82,";",REPT(" ",99)),1,99)),FIND(":",TRIM(MID(SUBSTITUTE(G82,";",REPT(" ",99)),1,99)))-1),_Lookup!$A:$B,2,FALSE),"?")&amp;"×"&amp;MID(TRIM(MID(SUBSTITUTE(G82,";",REPT(" ",99)),1,99)),FIND(":",TRIM(MID(SUBSTITUTE(G82,";",REPT(" ",99)),1,99)))+1,99)),IF(TRIM(MID(SUBSTITUTE(G82,";",REPT(" ",99)),100,99))="","",IFERROR(VLOOKUP(--LEFT(TRIM(MID(SUBSTITUTE(G82,";",REPT(" ",99)),100,99)),FIND(":",TRIM(MID(SUBSTITUTE(G82,";",REPT(" ",99)),100,99)))-1),_Lookup!$A:$B,2,FALSE),"?")&amp;"×"&amp;MID(TRIM(MID(SUBSTITUTE(G82,";",REPT(" ",99)),100,99)),FIND(":",TRIM(MID(SUBSTITUTE(G82,";",REPT(" ",99)),100,99)))+1,99)),IF(TRIM(MID(SUBSTITUTE(G82,";",REPT(" ",99)),199,99))="","",IFERROR(VLOOKUP(--LEFT(TRIM(MID(SUBSTITUTE(G82,";",REPT(" ",99)),199,99)),FIND(":",TRIM(MID(SUBSTITUTE(G82,";",REPT(" ",99)),199,99)))-1),_Lookup!$A:$B,2,FALSE),"?")&amp;"×"&amp;MID(TRIM(MID(SUBSTITUTE(G82,";",REPT(" ",99)),199,99)),FIND(":",TRIM(MID(SUBSTITUTE(G82,";",REPT(" ",99)),199,99)))+1,99)),IF(TRIM(MID(SUBSTITUTE(G82,";",REPT(" ",99)),298,99))="","",IFERROR(VLOOKUP(--LEFT(TRIM(MID(SUBSTITUTE(G82,";",REPT(" ",99)),298,99)),FIND(":",TRIM(MID(SUBSTITUTE(G82,";",REPT(" ",99)),298,99)))-1),_Lookup!$A:$B,2,FALSE),"?")&amp;"×"&amp;MID(TRIM(MID(SUBSTITUTE(G82,";",REPT(" ",99)),298,99)),FIND(":",TRIM(MID(SUBSTITUTE(G82,";",REPT(" ",99)),298,99)))+1,99)),IF(TRIM(MID(SUBSTITUTE(G82,";",REPT(" ",99)),397,99))="","",IFERROR(VLOOKUP(--LEFT(TRIM(MID(SUBSTITUTE(G82,";",REPT(" ",99)),397,99)),FIND(":",TRIM(MID(SUBSTITUTE(G82,";",REPT(" ",99)),397,99)))-1),_Lookup!$A:$B,2,FALSE),"?")&amp;"×"&amp;MID(TRIM(MID(SUBSTITUTE(G82,";",REPT(" ",99)),397,99)),FIND(":",TRIM(MID(SUBSTITUTE(G82,";",REPT(" ",99)),397,99)))+1,99))))</f>
        <v/>
      </c>
    </row>
    <row r="83">
      <c r="C83" s="11">
        <f>IFERROR(VLOOKUP(B83,ItemData_Equipment!$A:$B,2,FALSE),"")</f>
        <v/>
      </c>
      <c r="H83" s="11">
        <f>IF(G83="","",TEXTJOIN("; ",TRUE,IF(TRIM(MID(SUBSTITUTE(G83,";",REPT(" ",99)),1,99))="","",IFERROR(VLOOKUP(--LEFT(TRIM(MID(SUBSTITUTE(G83,";",REPT(" ",99)),1,99)),FIND(":",TRIM(MID(SUBSTITUTE(G83,";",REPT(" ",99)),1,99)))-1),_Lookup!$A:$B,2,FALSE),"?")&amp;"×"&amp;MID(TRIM(MID(SUBSTITUTE(G83,";",REPT(" ",99)),1,99)),FIND(":",TRIM(MID(SUBSTITUTE(G83,";",REPT(" ",99)),1,99)))+1,99)),IF(TRIM(MID(SUBSTITUTE(G83,";",REPT(" ",99)),100,99))="","",IFERROR(VLOOKUP(--LEFT(TRIM(MID(SUBSTITUTE(G83,";",REPT(" ",99)),100,99)),FIND(":",TRIM(MID(SUBSTITUTE(G83,";",REPT(" ",99)),100,99)))-1),_Lookup!$A:$B,2,FALSE),"?")&amp;"×"&amp;MID(TRIM(MID(SUBSTITUTE(G83,";",REPT(" ",99)),100,99)),FIND(":",TRIM(MID(SUBSTITUTE(G83,";",REPT(" ",99)),100,99)))+1,99)),IF(TRIM(MID(SUBSTITUTE(G83,";",REPT(" ",99)),199,99))="","",IFERROR(VLOOKUP(--LEFT(TRIM(MID(SUBSTITUTE(G83,";",REPT(" ",99)),199,99)),FIND(":",TRIM(MID(SUBSTITUTE(G83,";",REPT(" ",99)),199,99)))-1),_Lookup!$A:$B,2,FALSE),"?")&amp;"×"&amp;MID(TRIM(MID(SUBSTITUTE(G83,";",REPT(" ",99)),199,99)),FIND(":",TRIM(MID(SUBSTITUTE(G83,";",REPT(" ",99)),199,99)))+1,99)),IF(TRIM(MID(SUBSTITUTE(G83,";",REPT(" ",99)),298,99))="","",IFERROR(VLOOKUP(--LEFT(TRIM(MID(SUBSTITUTE(G83,";",REPT(" ",99)),298,99)),FIND(":",TRIM(MID(SUBSTITUTE(G83,";",REPT(" ",99)),298,99)))-1),_Lookup!$A:$B,2,FALSE),"?")&amp;"×"&amp;MID(TRIM(MID(SUBSTITUTE(G83,";",REPT(" ",99)),298,99)),FIND(":",TRIM(MID(SUBSTITUTE(G83,";",REPT(" ",99)),298,99)))+1,99)),IF(TRIM(MID(SUBSTITUTE(G83,";",REPT(" ",99)),397,99))="","",IFERROR(VLOOKUP(--LEFT(TRIM(MID(SUBSTITUTE(G83,";",REPT(" ",99)),397,99)),FIND(":",TRIM(MID(SUBSTITUTE(G83,";",REPT(" ",99)),397,99)))-1),_Lookup!$A:$B,2,FALSE),"?")&amp;"×"&amp;MID(TRIM(MID(SUBSTITUTE(G83,";",REPT(" ",99)),397,99)),FIND(":",TRIM(MID(SUBSTITUTE(G83,";",REPT(" ",99)),397,99)))+1,99))))</f>
        <v/>
      </c>
    </row>
    <row r="84">
      <c r="C84" s="11">
        <f>IFERROR(VLOOKUP(B84,ItemData_Equipment!$A:$B,2,FALSE),"")</f>
        <v/>
      </c>
      <c r="H84" s="11">
        <f>IF(G84="","",TEXTJOIN("; ",TRUE,IF(TRIM(MID(SUBSTITUTE(G84,";",REPT(" ",99)),1,99))="","",IFERROR(VLOOKUP(--LEFT(TRIM(MID(SUBSTITUTE(G84,";",REPT(" ",99)),1,99)),FIND(":",TRIM(MID(SUBSTITUTE(G84,";",REPT(" ",99)),1,99)))-1),_Lookup!$A:$B,2,FALSE),"?")&amp;"×"&amp;MID(TRIM(MID(SUBSTITUTE(G84,";",REPT(" ",99)),1,99)),FIND(":",TRIM(MID(SUBSTITUTE(G84,";",REPT(" ",99)),1,99)))+1,99)),IF(TRIM(MID(SUBSTITUTE(G84,";",REPT(" ",99)),100,99))="","",IFERROR(VLOOKUP(--LEFT(TRIM(MID(SUBSTITUTE(G84,";",REPT(" ",99)),100,99)),FIND(":",TRIM(MID(SUBSTITUTE(G84,";",REPT(" ",99)),100,99)))-1),_Lookup!$A:$B,2,FALSE),"?")&amp;"×"&amp;MID(TRIM(MID(SUBSTITUTE(G84,";",REPT(" ",99)),100,99)),FIND(":",TRIM(MID(SUBSTITUTE(G84,";",REPT(" ",99)),100,99)))+1,99)),IF(TRIM(MID(SUBSTITUTE(G84,";",REPT(" ",99)),199,99))="","",IFERROR(VLOOKUP(--LEFT(TRIM(MID(SUBSTITUTE(G84,";",REPT(" ",99)),199,99)),FIND(":",TRIM(MID(SUBSTITUTE(G84,";",REPT(" ",99)),199,99)))-1),_Lookup!$A:$B,2,FALSE),"?")&amp;"×"&amp;MID(TRIM(MID(SUBSTITUTE(G84,";",REPT(" ",99)),199,99)),FIND(":",TRIM(MID(SUBSTITUTE(G84,";",REPT(" ",99)),199,99)))+1,99)),IF(TRIM(MID(SUBSTITUTE(G84,";",REPT(" ",99)),298,99))="","",IFERROR(VLOOKUP(--LEFT(TRIM(MID(SUBSTITUTE(G84,";",REPT(" ",99)),298,99)),FIND(":",TRIM(MID(SUBSTITUTE(G84,";",REPT(" ",99)),298,99)))-1),_Lookup!$A:$B,2,FALSE),"?")&amp;"×"&amp;MID(TRIM(MID(SUBSTITUTE(G84,";",REPT(" ",99)),298,99)),FIND(":",TRIM(MID(SUBSTITUTE(G84,";",REPT(" ",99)),298,99)))+1,99)),IF(TRIM(MID(SUBSTITUTE(G84,";",REPT(" ",99)),397,99))="","",IFERROR(VLOOKUP(--LEFT(TRIM(MID(SUBSTITUTE(G84,";",REPT(" ",99)),397,99)),FIND(":",TRIM(MID(SUBSTITUTE(G84,";",REPT(" ",99)),397,99)))-1),_Lookup!$A:$B,2,FALSE),"?")&amp;"×"&amp;MID(TRIM(MID(SUBSTITUTE(G84,";",REPT(" ",99)),397,99)),FIND(":",TRIM(MID(SUBSTITUTE(G84,";",REPT(" ",99)),397,99)))+1,99))))</f>
        <v/>
      </c>
    </row>
    <row r="85">
      <c r="C85" s="11">
        <f>IFERROR(VLOOKUP(B85,ItemData_Equipment!$A:$B,2,FALSE),"")</f>
        <v/>
      </c>
      <c r="H85" s="11">
        <f>IF(G85="","",TEXTJOIN("; ",TRUE,IF(TRIM(MID(SUBSTITUTE(G85,";",REPT(" ",99)),1,99))="","",IFERROR(VLOOKUP(--LEFT(TRIM(MID(SUBSTITUTE(G85,";",REPT(" ",99)),1,99)),FIND(":",TRIM(MID(SUBSTITUTE(G85,";",REPT(" ",99)),1,99)))-1),_Lookup!$A:$B,2,FALSE),"?")&amp;"×"&amp;MID(TRIM(MID(SUBSTITUTE(G85,";",REPT(" ",99)),1,99)),FIND(":",TRIM(MID(SUBSTITUTE(G85,";",REPT(" ",99)),1,99)))+1,99)),IF(TRIM(MID(SUBSTITUTE(G85,";",REPT(" ",99)),100,99))="","",IFERROR(VLOOKUP(--LEFT(TRIM(MID(SUBSTITUTE(G85,";",REPT(" ",99)),100,99)),FIND(":",TRIM(MID(SUBSTITUTE(G85,";",REPT(" ",99)),100,99)))-1),_Lookup!$A:$B,2,FALSE),"?")&amp;"×"&amp;MID(TRIM(MID(SUBSTITUTE(G85,";",REPT(" ",99)),100,99)),FIND(":",TRIM(MID(SUBSTITUTE(G85,";",REPT(" ",99)),100,99)))+1,99)),IF(TRIM(MID(SUBSTITUTE(G85,";",REPT(" ",99)),199,99))="","",IFERROR(VLOOKUP(--LEFT(TRIM(MID(SUBSTITUTE(G85,";",REPT(" ",99)),199,99)),FIND(":",TRIM(MID(SUBSTITUTE(G85,";",REPT(" ",99)),199,99)))-1),_Lookup!$A:$B,2,FALSE),"?")&amp;"×"&amp;MID(TRIM(MID(SUBSTITUTE(G85,";",REPT(" ",99)),199,99)),FIND(":",TRIM(MID(SUBSTITUTE(G85,";",REPT(" ",99)),199,99)))+1,99)),IF(TRIM(MID(SUBSTITUTE(G85,";",REPT(" ",99)),298,99))="","",IFERROR(VLOOKUP(--LEFT(TRIM(MID(SUBSTITUTE(G85,";",REPT(" ",99)),298,99)),FIND(":",TRIM(MID(SUBSTITUTE(G85,";",REPT(" ",99)),298,99)))-1),_Lookup!$A:$B,2,FALSE),"?")&amp;"×"&amp;MID(TRIM(MID(SUBSTITUTE(G85,";",REPT(" ",99)),298,99)),FIND(":",TRIM(MID(SUBSTITUTE(G85,";",REPT(" ",99)),298,99)))+1,99)),IF(TRIM(MID(SUBSTITUTE(G85,";",REPT(" ",99)),397,99))="","",IFERROR(VLOOKUP(--LEFT(TRIM(MID(SUBSTITUTE(G85,";",REPT(" ",99)),397,99)),FIND(":",TRIM(MID(SUBSTITUTE(G85,";",REPT(" ",99)),397,99)))-1),_Lookup!$A:$B,2,FALSE),"?")&amp;"×"&amp;MID(TRIM(MID(SUBSTITUTE(G85,";",REPT(" ",99)),397,99)),FIND(":",TRIM(MID(SUBSTITUTE(G85,";",REPT(" ",99)),397,99)))+1,99))))</f>
        <v/>
      </c>
    </row>
    <row r="86">
      <c r="C86" s="11">
        <f>IFERROR(VLOOKUP(B86,ItemData_Equipment!$A:$B,2,FALSE),"")</f>
        <v/>
      </c>
      <c r="H86" s="11">
        <f>IF(G86="","",TEXTJOIN("; ",TRUE,IF(TRIM(MID(SUBSTITUTE(G86,";",REPT(" ",99)),1,99))="","",IFERROR(VLOOKUP(--LEFT(TRIM(MID(SUBSTITUTE(G86,";",REPT(" ",99)),1,99)),FIND(":",TRIM(MID(SUBSTITUTE(G86,";",REPT(" ",99)),1,99)))-1),_Lookup!$A:$B,2,FALSE),"?")&amp;"×"&amp;MID(TRIM(MID(SUBSTITUTE(G86,";",REPT(" ",99)),1,99)),FIND(":",TRIM(MID(SUBSTITUTE(G86,";",REPT(" ",99)),1,99)))+1,99)),IF(TRIM(MID(SUBSTITUTE(G86,";",REPT(" ",99)),100,99))="","",IFERROR(VLOOKUP(--LEFT(TRIM(MID(SUBSTITUTE(G86,";",REPT(" ",99)),100,99)),FIND(":",TRIM(MID(SUBSTITUTE(G86,";",REPT(" ",99)),100,99)))-1),_Lookup!$A:$B,2,FALSE),"?")&amp;"×"&amp;MID(TRIM(MID(SUBSTITUTE(G86,";",REPT(" ",99)),100,99)),FIND(":",TRIM(MID(SUBSTITUTE(G86,";",REPT(" ",99)),100,99)))+1,99)),IF(TRIM(MID(SUBSTITUTE(G86,";",REPT(" ",99)),199,99))="","",IFERROR(VLOOKUP(--LEFT(TRIM(MID(SUBSTITUTE(G86,";",REPT(" ",99)),199,99)),FIND(":",TRIM(MID(SUBSTITUTE(G86,";",REPT(" ",99)),199,99)))-1),_Lookup!$A:$B,2,FALSE),"?")&amp;"×"&amp;MID(TRIM(MID(SUBSTITUTE(G86,";",REPT(" ",99)),199,99)),FIND(":",TRIM(MID(SUBSTITUTE(G86,";",REPT(" ",99)),199,99)))+1,99)),IF(TRIM(MID(SUBSTITUTE(G86,";",REPT(" ",99)),298,99))="","",IFERROR(VLOOKUP(--LEFT(TRIM(MID(SUBSTITUTE(G86,";",REPT(" ",99)),298,99)),FIND(":",TRIM(MID(SUBSTITUTE(G86,";",REPT(" ",99)),298,99)))-1),_Lookup!$A:$B,2,FALSE),"?")&amp;"×"&amp;MID(TRIM(MID(SUBSTITUTE(G86,";",REPT(" ",99)),298,99)),FIND(":",TRIM(MID(SUBSTITUTE(G86,";",REPT(" ",99)),298,99)))+1,99)),IF(TRIM(MID(SUBSTITUTE(G86,";",REPT(" ",99)),397,99))="","",IFERROR(VLOOKUP(--LEFT(TRIM(MID(SUBSTITUTE(G86,";",REPT(" ",99)),397,99)),FIND(":",TRIM(MID(SUBSTITUTE(G86,";",REPT(" ",99)),397,99)))-1),_Lookup!$A:$B,2,FALSE),"?")&amp;"×"&amp;MID(TRIM(MID(SUBSTITUTE(G86,";",REPT(" ",99)),397,99)),FIND(":",TRIM(MID(SUBSTITUTE(G86,";",REPT(" ",99)),397,99)))+1,99))))</f>
        <v/>
      </c>
    </row>
    <row r="87">
      <c r="C87" s="11">
        <f>IFERROR(VLOOKUP(B87,ItemData_Equipment!$A:$B,2,FALSE),"")</f>
        <v/>
      </c>
      <c r="H87" s="11">
        <f>IF(G87="","",TEXTJOIN("; ",TRUE,IF(TRIM(MID(SUBSTITUTE(G87,";",REPT(" ",99)),1,99))="","",IFERROR(VLOOKUP(--LEFT(TRIM(MID(SUBSTITUTE(G87,";",REPT(" ",99)),1,99)),FIND(":",TRIM(MID(SUBSTITUTE(G87,";",REPT(" ",99)),1,99)))-1),_Lookup!$A:$B,2,FALSE),"?")&amp;"×"&amp;MID(TRIM(MID(SUBSTITUTE(G87,";",REPT(" ",99)),1,99)),FIND(":",TRIM(MID(SUBSTITUTE(G87,";",REPT(" ",99)),1,99)))+1,99)),IF(TRIM(MID(SUBSTITUTE(G87,";",REPT(" ",99)),100,99))="","",IFERROR(VLOOKUP(--LEFT(TRIM(MID(SUBSTITUTE(G87,";",REPT(" ",99)),100,99)),FIND(":",TRIM(MID(SUBSTITUTE(G87,";",REPT(" ",99)),100,99)))-1),_Lookup!$A:$B,2,FALSE),"?")&amp;"×"&amp;MID(TRIM(MID(SUBSTITUTE(G87,";",REPT(" ",99)),100,99)),FIND(":",TRIM(MID(SUBSTITUTE(G87,";",REPT(" ",99)),100,99)))+1,99)),IF(TRIM(MID(SUBSTITUTE(G87,";",REPT(" ",99)),199,99))="","",IFERROR(VLOOKUP(--LEFT(TRIM(MID(SUBSTITUTE(G87,";",REPT(" ",99)),199,99)),FIND(":",TRIM(MID(SUBSTITUTE(G87,";",REPT(" ",99)),199,99)))-1),_Lookup!$A:$B,2,FALSE),"?")&amp;"×"&amp;MID(TRIM(MID(SUBSTITUTE(G87,";",REPT(" ",99)),199,99)),FIND(":",TRIM(MID(SUBSTITUTE(G87,";",REPT(" ",99)),199,99)))+1,99)),IF(TRIM(MID(SUBSTITUTE(G87,";",REPT(" ",99)),298,99))="","",IFERROR(VLOOKUP(--LEFT(TRIM(MID(SUBSTITUTE(G87,";",REPT(" ",99)),298,99)),FIND(":",TRIM(MID(SUBSTITUTE(G87,";",REPT(" ",99)),298,99)))-1),_Lookup!$A:$B,2,FALSE),"?")&amp;"×"&amp;MID(TRIM(MID(SUBSTITUTE(G87,";",REPT(" ",99)),298,99)),FIND(":",TRIM(MID(SUBSTITUTE(G87,";",REPT(" ",99)),298,99)))+1,99)),IF(TRIM(MID(SUBSTITUTE(G87,";",REPT(" ",99)),397,99))="","",IFERROR(VLOOKUP(--LEFT(TRIM(MID(SUBSTITUTE(G87,";",REPT(" ",99)),397,99)),FIND(":",TRIM(MID(SUBSTITUTE(G87,";",REPT(" ",99)),397,99)))-1),_Lookup!$A:$B,2,FALSE),"?")&amp;"×"&amp;MID(TRIM(MID(SUBSTITUTE(G87,";",REPT(" ",99)),397,99)),FIND(":",TRIM(MID(SUBSTITUTE(G87,";",REPT(" ",99)),397,99)))+1,99))))</f>
        <v/>
      </c>
    </row>
    <row r="88">
      <c r="C88" s="11">
        <f>IFERROR(VLOOKUP(B88,ItemData_Equipment!$A:$B,2,FALSE),"")</f>
        <v/>
      </c>
      <c r="H88" s="11">
        <f>IF(G88="","",TEXTJOIN("; ",TRUE,IF(TRIM(MID(SUBSTITUTE(G88,";",REPT(" ",99)),1,99))="","",IFERROR(VLOOKUP(--LEFT(TRIM(MID(SUBSTITUTE(G88,";",REPT(" ",99)),1,99)),FIND(":",TRIM(MID(SUBSTITUTE(G88,";",REPT(" ",99)),1,99)))-1),_Lookup!$A:$B,2,FALSE),"?")&amp;"×"&amp;MID(TRIM(MID(SUBSTITUTE(G88,";",REPT(" ",99)),1,99)),FIND(":",TRIM(MID(SUBSTITUTE(G88,";",REPT(" ",99)),1,99)))+1,99)),IF(TRIM(MID(SUBSTITUTE(G88,";",REPT(" ",99)),100,99))="","",IFERROR(VLOOKUP(--LEFT(TRIM(MID(SUBSTITUTE(G88,";",REPT(" ",99)),100,99)),FIND(":",TRIM(MID(SUBSTITUTE(G88,";",REPT(" ",99)),100,99)))-1),_Lookup!$A:$B,2,FALSE),"?")&amp;"×"&amp;MID(TRIM(MID(SUBSTITUTE(G88,";",REPT(" ",99)),100,99)),FIND(":",TRIM(MID(SUBSTITUTE(G88,";",REPT(" ",99)),100,99)))+1,99)),IF(TRIM(MID(SUBSTITUTE(G88,";",REPT(" ",99)),199,99))="","",IFERROR(VLOOKUP(--LEFT(TRIM(MID(SUBSTITUTE(G88,";",REPT(" ",99)),199,99)),FIND(":",TRIM(MID(SUBSTITUTE(G88,";",REPT(" ",99)),199,99)))-1),_Lookup!$A:$B,2,FALSE),"?")&amp;"×"&amp;MID(TRIM(MID(SUBSTITUTE(G88,";",REPT(" ",99)),199,99)),FIND(":",TRIM(MID(SUBSTITUTE(G88,";",REPT(" ",99)),199,99)))+1,99)),IF(TRIM(MID(SUBSTITUTE(G88,";",REPT(" ",99)),298,99))="","",IFERROR(VLOOKUP(--LEFT(TRIM(MID(SUBSTITUTE(G88,";",REPT(" ",99)),298,99)),FIND(":",TRIM(MID(SUBSTITUTE(G88,";",REPT(" ",99)),298,99)))-1),_Lookup!$A:$B,2,FALSE),"?")&amp;"×"&amp;MID(TRIM(MID(SUBSTITUTE(G88,";",REPT(" ",99)),298,99)),FIND(":",TRIM(MID(SUBSTITUTE(G88,";",REPT(" ",99)),298,99)))+1,99)),IF(TRIM(MID(SUBSTITUTE(G88,";",REPT(" ",99)),397,99))="","",IFERROR(VLOOKUP(--LEFT(TRIM(MID(SUBSTITUTE(G88,";",REPT(" ",99)),397,99)),FIND(":",TRIM(MID(SUBSTITUTE(G88,";",REPT(" ",99)),397,99)))-1),_Lookup!$A:$B,2,FALSE),"?")&amp;"×"&amp;MID(TRIM(MID(SUBSTITUTE(G88,";",REPT(" ",99)),397,99)),FIND(":",TRIM(MID(SUBSTITUTE(G88,";",REPT(" ",99)),397,99)))+1,99))))</f>
        <v/>
      </c>
    </row>
    <row r="89">
      <c r="C89" s="11">
        <f>IFERROR(VLOOKUP(B89,ItemData_Equipment!$A:$B,2,FALSE),"")</f>
        <v/>
      </c>
      <c r="H89" s="11">
        <f>IF(G89="","",TEXTJOIN("; ",TRUE,IF(TRIM(MID(SUBSTITUTE(G89,";",REPT(" ",99)),1,99))="","",IFERROR(VLOOKUP(--LEFT(TRIM(MID(SUBSTITUTE(G89,";",REPT(" ",99)),1,99)),FIND(":",TRIM(MID(SUBSTITUTE(G89,";",REPT(" ",99)),1,99)))-1),_Lookup!$A:$B,2,FALSE),"?")&amp;"×"&amp;MID(TRIM(MID(SUBSTITUTE(G89,";",REPT(" ",99)),1,99)),FIND(":",TRIM(MID(SUBSTITUTE(G89,";",REPT(" ",99)),1,99)))+1,99)),IF(TRIM(MID(SUBSTITUTE(G89,";",REPT(" ",99)),100,99))="","",IFERROR(VLOOKUP(--LEFT(TRIM(MID(SUBSTITUTE(G89,";",REPT(" ",99)),100,99)),FIND(":",TRIM(MID(SUBSTITUTE(G89,";",REPT(" ",99)),100,99)))-1),_Lookup!$A:$B,2,FALSE),"?")&amp;"×"&amp;MID(TRIM(MID(SUBSTITUTE(G89,";",REPT(" ",99)),100,99)),FIND(":",TRIM(MID(SUBSTITUTE(G89,";",REPT(" ",99)),100,99)))+1,99)),IF(TRIM(MID(SUBSTITUTE(G89,";",REPT(" ",99)),199,99))="","",IFERROR(VLOOKUP(--LEFT(TRIM(MID(SUBSTITUTE(G89,";",REPT(" ",99)),199,99)),FIND(":",TRIM(MID(SUBSTITUTE(G89,";",REPT(" ",99)),199,99)))-1),_Lookup!$A:$B,2,FALSE),"?")&amp;"×"&amp;MID(TRIM(MID(SUBSTITUTE(G89,";",REPT(" ",99)),199,99)),FIND(":",TRIM(MID(SUBSTITUTE(G89,";",REPT(" ",99)),199,99)))+1,99)),IF(TRIM(MID(SUBSTITUTE(G89,";",REPT(" ",99)),298,99))="","",IFERROR(VLOOKUP(--LEFT(TRIM(MID(SUBSTITUTE(G89,";",REPT(" ",99)),298,99)),FIND(":",TRIM(MID(SUBSTITUTE(G89,";",REPT(" ",99)),298,99)))-1),_Lookup!$A:$B,2,FALSE),"?")&amp;"×"&amp;MID(TRIM(MID(SUBSTITUTE(G89,";",REPT(" ",99)),298,99)),FIND(":",TRIM(MID(SUBSTITUTE(G89,";",REPT(" ",99)),298,99)))+1,99)),IF(TRIM(MID(SUBSTITUTE(G89,";",REPT(" ",99)),397,99))="","",IFERROR(VLOOKUP(--LEFT(TRIM(MID(SUBSTITUTE(G89,";",REPT(" ",99)),397,99)),FIND(":",TRIM(MID(SUBSTITUTE(G89,";",REPT(" ",99)),397,99)))-1),_Lookup!$A:$B,2,FALSE),"?")&amp;"×"&amp;MID(TRIM(MID(SUBSTITUTE(G89,";",REPT(" ",99)),397,99)),FIND(":",TRIM(MID(SUBSTITUTE(G89,";",REPT(" ",99)),397,99)))+1,99))))</f>
        <v/>
      </c>
    </row>
    <row r="90">
      <c r="C90" s="11">
        <f>IFERROR(VLOOKUP(B90,ItemData_Equipment!$A:$B,2,FALSE),"")</f>
        <v/>
      </c>
      <c r="H90" s="11">
        <f>IF(G90="","",TEXTJOIN("; ",TRUE,IF(TRIM(MID(SUBSTITUTE(G90,";",REPT(" ",99)),1,99))="","",IFERROR(VLOOKUP(--LEFT(TRIM(MID(SUBSTITUTE(G90,";",REPT(" ",99)),1,99)),FIND(":",TRIM(MID(SUBSTITUTE(G90,";",REPT(" ",99)),1,99)))-1),_Lookup!$A:$B,2,FALSE),"?")&amp;"×"&amp;MID(TRIM(MID(SUBSTITUTE(G90,";",REPT(" ",99)),1,99)),FIND(":",TRIM(MID(SUBSTITUTE(G90,";",REPT(" ",99)),1,99)))+1,99)),IF(TRIM(MID(SUBSTITUTE(G90,";",REPT(" ",99)),100,99))="","",IFERROR(VLOOKUP(--LEFT(TRIM(MID(SUBSTITUTE(G90,";",REPT(" ",99)),100,99)),FIND(":",TRIM(MID(SUBSTITUTE(G90,";",REPT(" ",99)),100,99)))-1),_Lookup!$A:$B,2,FALSE),"?")&amp;"×"&amp;MID(TRIM(MID(SUBSTITUTE(G90,";",REPT(" ",99)),100,99)),FIND(":",TRIM(MID(SUBSTITUTE(G90,";",REPT(" ",99)),100,99)))+1,99)),IF(TRIM(MID(SUBSTITUTE(G90,";",REPT(" ",99)),199,99))="","",IFERROR(VLOOKUP(--LEFT(TRIM(MID(SUBSTITUTE(G90,";",REPT(" ",99)),199,99)),FIND(":",TRIM(MID(SUBSTITUTE(G90,";",REPT(" ",99)),199,99)))-1),_Lookup!$A:$B,2,FALSE),"?")&amp;"×"&amp;MID(TRIM(MID(SUBSTITUTE(G90,";",REPT(" ",99)),199,99)),FIND(":",TRIM(MID(SUBSTITUTE(G90,";",REPT(" ",99)),199,99)))+1,99)),IF(TRIM(MID(SUBSTITUTE(G90,";",REPT(" ",99)),298,99))="","",IFERROR(VLOOKUP(--LEFT(TRIM(MID(SUBSTITUTE(G90,";",REPT(" ",99)),298,99)),FIND(":",TRIM(MID(SUBSTITUTE(G90,";",REPT(" ",99)),298,99)))-1),_Lookup!$A:$B,2,FALSE),"?")&amp;"×"&amp;MID(TRIM(MID(SUBSTITUTE(G90,";",REPT(" ",99)),298,99)),FIND(":",TRIM(MID(SUBSTITUTE(G90,";",REPT(" ",99)),298,99)))+1,99)),IF(TRIM(MID(SUBSTITUTE(G90,";",REPT(" ",99)),397,99))="","",IFERROR(VLOOKUP(--LEFT(TRIM(MID(SUBSTITUTE(G90,";",REPT(" ",99)),397,99)),FIND(":",TRIM(MID(SUBSTITUTE(G90,";",REPT(" ",99)),397,99)))-1),_Lookup!$A:$B,2,FALSE),"?")&amp;"×"&amp;MID(TRIM(MID(SUBSTITUTE(G90,";",REPT(" ",99)),397,99)),FIND(":",TRIM(MID(SUBSTITUTE(G90,";",REPT(" ",99)),397,99)))+1,99))))</f>
        <v/>
      </c>
    </row>
    <row r="91">
      <c r="C91" s="11">
        <f>IFERROR(VLOOKUP(B91,ItemData_Equipment!$A:$B,2,FALSE),"")</f>
        <v/>
      </c>
      <c r="H91" s="11">
        <f>IF(G91="","",TEXTJOIN("; ",TRUE,IF(TRIM(MID(SUBSTITUTE(G91,";",REPT(" ",99)),1,99))="","",IFERROR(VLOOKUP(--LEFT(TRIM(MID(SUBSTITUTE(G91,";",REPT(" ",99)),1,99)),FIND(":",TRIM(MID(SUBSTITUTE(G91,";",REPT(" ",99)),1,99)))-1),_Lookup!$A:$B,2,FALSE),"?")&amp;"×"&amp;MID(TRIM(MID(SUBSTITUTE(G91,";",REPT(" ",99)),1,99)),FIND(":",TRIM(MID(SUBSTITUTE(G91,";",REPT(" ",99)),1,99)))+1,99)),IF(TRIM(MID(SUBSTITUTE(G91,";",REPT(" ",99)),100,99))="","",IFERROR(VLOOKUP(--LEFT(TRIM(MID(SUBSTITUTE(G91,";",REPT(" ",99)),100,99)),FIND(":",TRIM(MID(SUBSTITUTE(G91,";",REPT(" ",99)),100,99)))-1),_Lookup!$A:$B,2,FALSE),"?")&amp;"×"&amp;MID(TRIM(MID(SUBSTITUTE(G91,";",REPT(" ",99)),100,99)),FIND(":",TRIM(MID(SUBSTITUTE(G91,";",REPT(" ",99)),100,99)))+1,99)),IF(TRIM(MID(SUBSTITUTE(G91,";",REPT(" ",99)),199,99))="","",IFERROR(VLOOKUP(--LEFT(TRIM(MID(SUBSTITUTE(G91,";",REPT(" ",99)),199,99)),FIND(":",TRIM(MID(SUBSTITUTE(G91,";",REPT(" ",99)),199,99)))-1),_Lookup!$A:$B,2,FALSE),"?")&amp;"×"&amp;MID(TRIM(MID(SUBSTITUTE(G91,";",REPT(" ",99)),199,99)),FIND(":",TRIM(MID(SUBSTITUTE(G91,";",REPT(" ",99)),199,99)))+1,99)),IF(TRIM(MID(SUBSTITUTE(G91,";",REPT(" ",99)),298,99))="","",IFERROR(VLOOKUP(--LEFT(TRIM(MID(SUBSTITUTE(G91,";",REPT(" ",99)),298,99)),FIND(":",TRIM(MID(SUBSTITUTE(G91,";",REPT(" ",99)),298,99)))-1),_Lookup!$A:$B,2,FALSE),"?")&amp;"×"&amp;MID(TRIM(MID(SUBSTITUTE(G91,";",REPT(" ",99)),298,99)),FIND(":",TRIM(MID(SUBSTITUTE(G91,";",REPT(" ",99)),298,99)))+1,99)),IF(TRIM(MID(SUBSTITUTE(G91,";",REPT(" ",99)),397,99))="","",IFERROR(VLOOKUP(--LEFT(TRIM(MID(SUBSTITUTE(G91,";",REPT(" ",99)),397,99)),FIND(":",TRIM(MID(SUBSTITUTE(G91,";",REPT(" ",99)),397,99)))-1),_Lookup!$A:$B,2,FALSE),"?")&amp;"×"&amp;MID(TRIM(MID(SUBSTITUTE(G91,";",REPT(" ",99)),397,99)),FIND(":",TRIM(MID(SUBSTITUTE(G91,";",REPT(" ",99)),397,99)))+1,99))))</f>
        <v/>
      </c>
    </row>
    <row r="92">
      <c r="C92" s="11">
        <f>IFERROR(VLOOKUP(B92,ItemData_Equipment!$A:$B,2,FALSE),"")</f>
        <v/>
      </c>
      <c r="H92" s="11">
        <f>IF(G92="","",TEXTJOIN("; ",TRUE,IF(TRIM(MID(SUBSTITUTE(G92,";",REPT(" ",99)),1,99))="","",IFERROR(VLOOKUP(--LEFT(TRIM(MID(SUBSTITUTE(G92,";",REPT(" ",99)),1,99)),FIND(":",TRIM(MID(SUBSTITUTE(G92,";",REPT(" ",99)),1,99)))-1),_Lookup!$A:$B,2,FALSE),"?")&amp;"×"&amp;MID(TRIM(MID(SUBSTITUTE(G92,";",REPT(" ",99)),1,99)),FIND(":",TRIM(MID(SUBSTITUTE(G92,";",REPT(" ",99)),1,99)))+1,99)),IF(TRIM(MID(SUBSTITUTE(G92,";",REPT(" ",99)),100,99))="","",IFERROR(VLOOKUP(--LEFT(TRIM(MID(SUBSTITUTE(G92,";",REPT(" ",99)),100,99)),FIND(":",TRIM(MID(SUBSTITUTE(G92,";",REPT(" ",99)),100,99)))-1),_Lookup!$A:$B,2,FALSE),"?")&amp;"×"&amp;MID(TRIM(MID(SUBSTITUTE(G92,";",REPT(" ",99)),100,99)),FIND(":",TRIM(MID(SUBSTITUTE(G92,";",REPT(" ",99)),100,99)))+1,99)),IF(TRIM(MID(SUBSTITUTE(G92,";",REPT(" ",99)),199,99))="","",IFERROR(VLOOKUP(--LEFT(TRIM(MID(SUBSTITUTE(G92,";",REPT(" ",99)),199,99)),FIND(":",TRIM(MID(SUBSTITUTE(G92,";",REPT(" ",99)),199,99)))-1),_Lookup!$A:$B,2,FALSE),"?")&amp;"×"&amp;MID(TRIM(MID(SUBSTITUTE(G92,";",REPT(" ",99)),199,99)),FIND(":",TRIM(MID(SUBSTITUTE(G92,";",REPT(" ",99)),199,99)))+1,99)),IF(TRIM(MID(SUBSTITUTE(G92,";",REPT(" ",99)),298,99))="","",IFERROR(VLOOKUP(--LEFT(TRIM(MID(SUBSTITUTE(G92,";",REPT(" ",99)),298,99)),FIND(":",TRIM(MID(SUBSTITUTE(G92,";",REPT(" ",99)),298,99)))-1),_Lookup!$A:$B,2,FALSE),"?")&amp;"×"&amp;MID(TRIM(MID(SUBSTITUTE(G92,";",REPT(" ",99)),298,99)),FIND(":",TRIM(MID(SUBSTITUTE(G92,";",REPT(" ",99)),298,99)))+1,99)),IF(TRIM(MID(SUBSTITUTE(G92,";",REPT(" ",99)),397,99))="","",IFERROR(VLOOKUP(--LEFT(TRIM(MID(SUBSTITUTE(G92,";",REPT(" ",99)),397,99)),FIND(":",TRIM(MID(SUBSTITUTE(G92,";",REPT(" ",99)),397,99)))-1),_Lookup!$A:$B,2,FALSE),"?")&amp;"×"&amp;MID(TRIM(MID(SUBSTITUTE(G92,";",REPT(" ",99)),397,99)),FIND(":",TRIM(MID(SUBSTITUTE(G92,";",REPT(" ",99)),397,99)))+1,99))))</f>
        <v/>
      </c>
    </row>
    <row r="93">
      <c r="C93" s="11">
        <f>IFERROR(VLOOKUP(B93,ItemData_Equipment!$A:$B,2,FALSE),"")</f>
        <v/>
      </c>
      <c r="H93" s="11">
        <f>IF(G93="","",TEXTJOIN("; ",TRUE,IF(TRIM(MID(SUBSTITUTE(G93,";",REPT(" ",99)),1,99))="","",IFERROR(VLOOKUP(--LEFT(TRIM(MID(SUBSTITUTE(G93,";",REPT(" ",99)),1,99)),FIND(":",TRIM(MID(SUBSTITUTE(G93,";",REPT(" ",99)),1,99)))-1),_Lookup!$A:$B,2,FALSE),"?")&amp;"×"&amp;MID(TRIM(MID(SUBSTITUTE(G93,";",REPT(" ",99)),1,99)),FIND(":",TRIM(MID(SUBSTITUTE(G93,";",REPT(" ",99)),1,99)))+1,99)),IF(TRIM(MID(SUBSTITUTE(G93,";",REPT(" ",99)),100,99))="","",IFERROR(VLOOKUP(--LEFT(TRIM(MID(SUBSTITUTE(G93,";",REPT(" ",99)),100,99)),FIND(":",TRIM(MID(SUBSTITUTE(G93,";",REPT(" ",99)),100,99)))-1),_Lookup!$A:$B,2,FALSE),"?")&amp;"×"&amp;MID(TRIM(MID(SUBSTITUTE(G93,";",REPT(" ",99)),100,99)),FIND(":",TRIM(MID(SUBSTITUTE(G93,";",REPT(" ",99)),100,99)))+1,99)),IF(TRIM(MID(SUBSTITUTE(G93,";",REPT(" ",99)),199,99))="","",IFERROR(VLOOKUP(--LEFT(TRIM(MID(SUBSTITUTE(G93,";",REPT(" ",99)),199,99)),FIND(":",TRIM(MID(SUBSTITUTE(G93,";",REPT(" ",99)),199,99)))-1),_Lookup!$A:$B,2,FALSE),"?")&amp;"×"&amp;MID(TRIM(MID(SUBSTITUTE(G93,";",REPT(" ",99)),199,99)),FIND(":",TRIM(MID(SUBSTITUTE(G93,";",REPT(" ",99)),199,99)))+1,99)),IF(TRIM(MID(SUBSTITUTE(G93,";",REPT(" ",99)),298,99))="","",IFERROR(VLOOKUP(--LEFT(TRIM(MID(SUBSTITUTE(G93,";",REPT(" ",99)),298,99)),FIND(":",TRIM(MID(SUBSTITUTE(G93,";",REPT(" ",99)),298,99)))-1),_Lookup!$A:$B,2,FALSE),"?")&amp;"×"&amp;MID(TRIM(MID(SUBSTITUTE(G93,";",REPT(" ",99)),298,99)),FIND(":",TRIM(MID(SUBSTITUTE(G93,";",REPT(" ",99)),298,99)))+1,99)),IF(TRIM(MID(SUBSTITUTE(G93,";",REPT(" ",99)),397,99))="","",IFERROR(VLOOKUP(--LEFT(TRIM(MID(SUBSTITUTE(G93,";",REPT(" ",99)),397,99)),FIND(":",TRIM(MID(SUBSTITUTE(G93,";",REPT(" ",99)),397,99)))-1),_Lookup!$A:$B,2,FALSE),"?")&amp;"×"&amp;MID(TRIM(MID(SUBSTITUTE(G93,";",REPT(" ",99)),397,99)),FIND(":",TRIM(MID(SUBSTITUTE(G93,";",REPT(" ",99)),397,99)))+1,99))))</f>
        <v/>
      </c>
    </row>
    <row r="94">
      <c r="C94" s="11">
        <f>IFERROR(VLOOKUP(B94,ItemData_Equipment!$A:$B,2,FALSE),"")</f>
        <v/>
      </c>
      <c r="H94" s="11">
        <f>IF(G94="","",TEXTJOIN("; ",TRUE,IF(TRIM(MID(SUBSTITUTE(G94,";",REPT(" ",99)),1,99))="","",IFERROR(VLOOKUP(--LEFT(TRIM(MID(SUBSTITUTE(G94,";",REPT(" ",99)),1,99)),FIND(":",TRIM(MID(SUBSTITUTE(G94,";",REPT(" ",99)),1,99)))-1),_Lookup!$A:$B,2,FALSE),"?")&amp;"×"&amp;MID(TRIM(MID(SUBSTITUTE(G94,";",REPT(" ",99)),1,99)),FIND(":",TRIM(MID(SUBSTITUTE(G94,";",REPT(" ",99)),1,99)))+1,99)),IF(TRIM(MID(SUBSTITUTE(G94,";",REPT(" ",99)),100,99))="","",IFERROR(VLOOKUP(--LEFT(TRIM(MID(SUBSTITUTE(G94,";",REPT(" ",99)),100,99)),FIND(":",TRIM(MID(SUBSTITUTE(G94,";",REPT(" ",99)),100,99)))-1),_Lookup!$A:$B,2,FALSE),"?")&amp;"×"&amp;MID(TRIM(MID(SUBSTITUTE(G94,";",REPT(" ",99)),100,99)),FIND(":",TRIM(MID(SUBSTITUTE(G94,";",REPT(" ",99)),100,99)))+1,99)),IF(TRIM(MID(SUBSTITUTE(G94,";",REPT(" ",99)),199,99))="","",IFERROR(VLOOKUP(--LEFT(TRIM(MID(SUBSTITUTE(G94,";",REPT(" ",99)),199,99)),FIND(":",TRIM(MID(SUBSTITUTE(G94,";",REPT(" ",99)),199,99)))-1),_Lookup!$A:$B,2,FALSE),"?")&amp;"×"&amp;MID(TRIM(MID(SUBSTITUTE(G94,";",REPT(" ",99)),199,99)),FIND(":",TRIM(MID(SUBSTITUTE(G94,";",REPT(" ",99)),199,99)))+1,99)),IF(TRIM(MID(SUBSTITUTE(G94,";",REPT(" ",99)),298,99))="","",IFERROR(VLOOKUP(--LEFT(TRIM(MID(SUBSTITUTE(G94,";",REPT(" ",99)),298,99)),FIND(":",TRIM(MID(SUBSTITUTE(G94,";",REPT(" ",99)),298,99)))-1),_Lookup!$A:$B,2,FALSE),"?")&amp;"×"&amp;MID(TRIM(MID(SUBSTITUTE(G94,";",REPT(" ",99)),298,99)),FIND(":",TRIM(MID(SUBSTITUTE(G94,";",REPT(" ",99)),298,99)))+1,99)),IF(TRIM(MID(SUBSTITUTE(G94,";",REPT(" ",99)),397,99))="","",IFERROR(VLOOKUP(--LEFT(TRIM(MID(SUBSTITUTE(G94,";",REPT(" ",99)),397,99)),FIND(":",TRIM(MID(SUBSTITUTE(G94,";",REPT(" ",99)),397,99)))-1),_Lookup!$A:$B,2,FALSE),"?")&amp;"×"&amp;MID(TRIM(MID(SUBSTITUTE(G94,";",REPT(" ",99)),397,99)),FIND(":",TRIM(MID(SUBSTITUTE(G94,";",REPT(" ",99)),397,99)))+1,99))))</f>
        <v/>
      </c>
    </row>
    <row r="95">
      <c r="C95" s="11">
        <f>IFERROR(VLOOKUP(B95,ItemData_Equipment!$A:$B,2,FALSE),"")</f>
        <v/>
      </c>
      <c r="H95" s="11">
        <f>IF(G95="","",TEXTJOIN("; ",TRUE,IF(TRIM(MID(SUBSTITUTE(G95,";",REPT(" ",99)),1,99))="","",IFERROR(VLOOKUP(--LEFT(TRIM(MID(SUBSTITUTE(G95,";",REPT(" ",99)),1,99)),FIND(":",TRIM(MID(SUBSTITUTE(G95,";",REPT(" ",99)),1,99)))-1),_Lookup!$A:$B,2,FALSE),"?")&amp;"×"&amp;MID(TRIM(MID(SUBSTITUTE(G95,";",REPT(" ",99)),1,99)),FIND(":",TRIM(MID(SUBSTITUTE(G95,";",REPT(" ",99)),1,99)))+1,99)),IF(TRIM(MID(SUBSTITUTE(G95,";",REPT(" ",99)),100,99))="","",IFERROR(VLOOKUP(--LEFT(TRIM(MID(SUBSTITUTE(G95,";",REPT(" ",99)),100,99)),FIND(":",TRIM(MID(SUBSTITUTE(G95,";",REPT(" ",99)),100,99)))-1),_Lookup!$A:$B,2,FALSE),"?")&amp;"×"&amp;MID(TRIM(MID(SUBSTITUTE(G95,";",REPT(" ",99)),100,99)),FIND(":",TRIM(MID(SUBSTITUTE(G95,";",REPT(" ",99)),100,99)))+1,99)),IF(TRIM(MID(SUBSTITUTE(G95,";",REPT(" ",99)),199,99))="","",IFERROR(VLOOKUP(--LEFT(TRIM(MID(SUBSTITUTE(G95,";",REPT(" ",99)),199,99)),FIND(":",TRIM(MID(SUBSTITUTE(G95,";",REPT(" ",99)),199,99)))-1),_Lookup!$A:$B,2,FALSE),"?")&amp;"×"&amp;MID(TRIM(MID(SUBSTITUTE(G95,";",REPT(" ",99)),199,99)),FIND(":",TRIM(MID(SUBSTITUTE(G95,";",REPT(" ",99)),199,99)))+1,99)),IF(TRIM(MID(SUBSTITUTE(G95,";",REPT(" ",99)),298,99))="","",IFERROR(VLOOKUP(--LEFT(TRIM(MID(SUBSTITUTE(G95,";",REPT(" ",99)),298,99)),FIND(":",TRIM(MID(SUBSTITUTE(G95,";",REPT(" ",99)),298,99)))-1),_Lookup!$A:$B,2,FALSE),"?")&amp;"×"&amp;MID(TRIM(MID(SUBSTITUTE(G95,";",REPT(" ",99)),298,99)),FIND(":",TRIM(MID(SUBSTITUTE(G95,";",REPT(" ",99)),298,99)))+1,99)),IF(TRIM(MID(SUBSTITUTE(G95,";",REPT(" ",99)),397,99))="","",IFERROR(VLOOKUP(--LEFT(TRIM(MID(SUBSTITUTE(G95,";",REPT(" ",99)),397,99)),FIND(":",TRIM(MID(SUBSTITUTE(G95,";",REPT(" ",99)),397,99)))-1),_Lookup!$A:$B,2,FALSE),"?")&amp;"×"&amp;MID(TRIM(MID(SUBSTITUTE(G95,";",REPT(" ",99)),397,99)),FIND(":",TRIM(MID(SUBSTITUTE(G95,";",REPT(" ",99)),397,99)))+1,99))))</f>
        <v/>
      </c>
    </row>
    <row r="96">
      <c r="C96" s="11">
        <f>IFERROR(VLOOKUP(B96,ItemData_Equipment!$A:$B,2,FALSE),"")</f>
        <v/>
      </c>
      <c r="H96" s="11">
        <f>IF(G96="","",TEXTJOIN("; ",TRUE,IF(TRIM(MID(SUBSTITUTE(G96,";",REPT(" ",99)),1,99))="","",IFERROR(VLOOKUP(--LEFT(TRIM(MID(SUBSTITUTE(G96,";",REPT(" ",99)),1,99)),FIND(":",TRIM(MID(SUBSTITUTE(G96,";",REPT(" ",99)),1,99)))-1),_Lookup!$A:$B,2,FALSE),"?")&amp;"×"&amp;MID(TRIM(MID(SUBSTITUTE(G96,";",REPT(" ",99)),1,99)),FIND(":",TRIM(MID(SUBSTITUTE(G96,";",REPT(" ",99)),1,99)))+1,99)),IF(TRIM(MID(SUBSTITUTE(G96,";",REPT(" ",99)),100,99))="","",IFERROR(VLOOKUP(--LEFT(TRIM(MID(SUBSTITUTE(G96,";",REPT(" ",99)),100,99)),FIND(":",TRIM(MID(SUBSTITUTE(G96,";",REPT(" ",99)),100,99)))-1),_Lookup!$A:$B,2,FALSE),"?")&amp;"×"&amp;MID(TRIM(MID(SUBSTITUTE(G96,";",REPT(" ",99)),100,99)),FIND(":",TRIM(MID(SUBSTITUTE(G96,";",REPT(" ",99)),100,99)))+1,99)),IF(TRIM(MID(SUBSTITUTE(G96,";",REPT(" ",99)),199,99))="","",IFERROR(VLOOKUP(--LEFT(TRIM(MID(SUBSTITUTE(G96,";",REPT(" ",99)),199,99)),FIND(":",TRIM(MID(SUBSTITUTE(G96,";",REPT(" ",99)),199,99)))-1),_Lookup!$A:$B,2,FALSE),"?")&amp;"×"&amp;MID(TRIM(MID(SUBSTITUTE(G96,";",REPT(" ",99)),199,99)),FIND(":",TRIM(MID(SUBSTITUTE(G96,";",REPT(" ",99)),199,99)))+1,99)),IF(TRIM(MID(SUBSTITUTE(G96,";",REPT(" ",99)),298,99))="","",IFERROR(VLOOKUP(--LEFT(TRIM(MID(SUBSTITUTE(G96,";",REPT(" ",99)),298,99)),FIND(":",TRIM(MID(SUBSTITUTE(G96,";",REPT(" ",99)),298,99)))-1),_Lookup!$A:$B,2,FALSE),"?")&amp;"×"&amp;MID(TRIM(MID(SUBSTITUTE(G96,";",REPT(" ",99)),298,99)),FIND(":",TRIM(MID(SUBSTITUTE(G96,";",REPT(" ",99)),298,99)))+1,99)),IF(TRIM(MID(SUBSTITUTE(G96,";",REPT(" ",99)),397,99))="","",IFERROR(VLOOKUP(--LEFT(TRIM(MID(SUBSTITUTE(G96,";",REPT(" ",99)),397,99)),FIND(":",TRIM(MID(SUBSTITUTE(G96,";",REPT(" ",99)),397,99)))-1),_Lookup!$A:$B,2,FALSE),"?")&amp;"×"&amp;MID(TRIM(MID(SUBSTITUTE(G96,";",REPT(" ",99)),397,99)),FIND(":",TRIM(MID(SUBSTITUTE(G96,";",REPT(" ",99)),397,99)))+1,99))))</f>
        <v/>
      </c>
    </row>
    <row r="97">
      <c r="C97" s="11">
        <f>IFERROR(VLOOKUP(B97,ItemData_Equipment!$A:$B,2,FALSE),"")</f>
        <v/>
      </c>
      <c r="H97" s="11">
        <f>IF(G97="","",TEXTJOIN("; ",TRUE,IF(TRIM(MID(SUBSTITUTE(G97,";",REPT(" ",99)),1,99))="","",IFERROR(VLOOKUP(--LEFT(TRIM(MID(SUBSTITUTE(G97,";",REPT(" ",99)),1,99)),FIND(":",TRIM(MID(SUBSTITUTE(G97,";",REPT(" ",99)),1,99)))-1),_Lookup!$A:$B,2,FALSE),"?")&amp;"×"&amp;MID(TRIM(MID(SUBSTITUTE(G97,";",REPT(" ",99)),1,99)),FIND(":",TRIM(MID(SUBSTITUTE(G97,";",REPT(" ",99)),1,99)))+1,99)),IF(TRIM(MID(SUBSTITUTE(G97,";",REPT(" ",99)),100,99))="","",IFERROR(VLOOKUP(--LEFT(TRIM(MID(SUBSTITUTE(G97,";",REPT(" ",99)),100,99)),FIND(":",TRIM(MID(SUBSTITUTE(G97,";",REPT(" ",99)),100,99)))-1),_Lookup!$A:$B,2,FALSE),"?")&amp;"×"&amp;MID(TRIM(MID(SUBSTITUTE(G97,";",REPT(" ",99)),100,99)),FIND(":",TRIM(MID(SUBSTITUTE(G97,";",REPT(" ",99)),100,99)))+1,99)),IF(TRIM(MID(SUBSTITUTE(G97,";",REPT(" ",99)),199,99))="","",IFERROR(VLOOKUP(--LEFT(TRIM(MID(SUBSTITUTE(G97,";",REPT(" ",99)),199,99)),FIND(":",TRIM(MID(SUBSTITUTE(G97,";",REPT(" ",99)),199,99)))-1),_Lookup!$A:$B,2,FALSE),"?")&amp;"×"&amp;MID(TRIM(MID(SUBSTITUTE(G97,";",REPT(" ",99)),199,99)),FIND(":",TRIM(MID(SUBSTITUTE(G97,";",REPT(" ",99)),199,99)))+1,99)),IF(TRIM(MID(SUBSTITUTE(G97,";",REPT(" ",99)),298,99))="","",IFERROR(VLOOKUP(--LEFT(TRIM(MID(SUBSTITUTE(G97,";",REPT(" ",99)),298,99)),FIND(":",TRIM(MID(SUBSTITUTE(G97,";",REPT(" ",99)),298,99)))-1),_Lookup!$A:$B,2,FALSE),"?")&amp;"×"&amp;MID(TRIM(MID(SUBSTITUTE(G97,";",REPT(" ",99)),298,99)),FIND(":",TRIM(MID(SUBSTITUTE(G97,";",REPT(" ",99)),298,99)))+1,99)),IF(TRIM(MID(SUBSTITUTE(G97,";",REPT(" ",99)),397,99))="","",IFERROR(VLOOKUP(--LEFT(TRIM(MID(SUBSTITUTE(G97,";",REPT(" ",99)),397,99)),FIND(":",TRIM(MID(SUBSTITUTE(G97,";",REPT(" ",99)),397,99)))-1),_Lookup!$A:$B,2,FALSE),"?")&amp;"×"&amp;MID(TRIM(MID(SUBSTITUTE(G97,";",REPT(" ",99)),397,99)),FIND(":",TRIM(MID(SUBSTITUTE(G97,";",REPT(" ",99)),397,99)))+1,99))))</f>
        <v/>
      </c>
    </row>
    <row r="98">
      <c r="C98" s="11">
        <f>IFERROR(VLOOKUP(B98,ItemData_Equipment!$A:$B,2,FALSE),"")</f>
        <v/>
      </c>
      <c r="H98" s="11">
        <f>IF(G98="","",TEXTJOIN("; ",TRUE,IF(TRIM(MID(SUBSTITUTE(G98,";",REPT(" ",99)),1,99))="","",IFERROR(VLOOKUP(--LEFT(TRIM(MID(SUBSTITUTE(G98,";",REPT(" ",99)),1,99)),FIND(":",TRIM(MID(SUBSTITUTE(G98,";",REPT(" ",99)),1,99)))-1),_Lookup!$A:$B,2,FALSE),"?")&amp;"×"&amp;MID(TRIM(MID(SUBSTITUTE(G98,";",REPT(" ",99)),1,99)),FIND(":",TRIM(MID(SUBSTITUTE(G98,";",REPT(" ",99)),1,99)))+1,99)),IF(TRIM(MID(SUBSTITUTE(G98,";",REPT(" ",99)),100,99))="","",IFERROR(VLOOKUP(--LEFT(TRIM(MID(SUBSTITUTE(G98,";",REPT(" ",99)),100,99)),FIND(":",TRIM(MID(SUBSTITUTE(G98,";",REPT(" ",99)),100,99)))-1),_Lookup!$A:$B,2,FALSE),"?")&amp;"×"&amp;MID(TRIM(MID(SUBSTITUTE(G98,";",REPT(" ",99)),100,99)),FIND(":",TRIM(MID(SUBSTITUTE(G98,";",REPT(" ",99)),100,99)))+1,99)),IF(TRIM(MID(SUBSTITUTE(G98,";",REPT(" ",99)),199,99))="","",IFERROR(VLOOKUP(--LEFT(TRIM(MID(SUBSTITUTE(G98,";",REPT(" ",99)),199,99)),FIND(":",TRIM(MID(SUBSTITUTE(G98,";",REPT(" ",99)),199,99)))-1),_Lookup!$A:$B,2,FALSE),"?")&amp;"×"&amp;MID(TRIM(MID(SUBSTITUTE(G98,";",REPT(" ",99)),199,99)),FIND(":",TRIM(MID(SUBSTITUTE(G98,";",REPT(" ",99)),199,99)))+1,99)),IF(TRIM(MID(SUBSTITUTE(G98,";",REPT(" ",99)),298,99))="","",IFERROR(VLOOKUP(--LEFT(TRIM(MID(SUBSTITUTE(G98,";",REPT(" ",99)),298,99)),FIND(":",TRIM(MID(SUBSTITUTE(G98,";",REPT(" ",99)),298,99)))-1),_Lookup!$A:$B,2,FALSE),"?")&amp;"×"&amp;MID(TRIM(MID(SUBSTITUTE(G98,";",REPT(" ",99)),298,99)),FIND(":",TRIM(MID(SUBSTITUTE(G98,";",REPT(" ",99)),298,99)))+1,99)),IF(TRIM(MID(SUBSTITUTE(G98,";",REPT(" ",99)),397,99))="","",IFERROR(VLOOKUP(--LEFT(TRIM(MID(SUBSTITUTE(G98,";",REPT(" ",99)),397,99)),FIND(":",TRIM(MID(SUBSTITUTE(G98,";",REPT(" ",99)),397,99)))-1),_Lookup!$A:$B,2,FALSE),"?")&amp;"×"&amp;MID(TRIM(MID(SUBSTITUTE(G98,";",REPT(" ",99)),397,99)),FIND(":",TRIM(MID(SUBSTITUTE(G98,";",REPT(" ",99)),397,99)))+1,99))))</f>
        <v/>
      </c>
    </row>
    <row r="99">
      <c r="C99" s="11">
        <f>IFERROR(VLOOKUP(B99,ItemData_Equipment!$A:$B,2,FALSE),"")</f>
        <v/>
      </c>
      <c r="H99" s="11">
        <f>IF(G99="","",TEXTJOIN("; ",TRUE,IF(TRIM(MID(SUBSTITUTE(G99,";",REPT(" ",99)),1,99))="","",IFERROR(VLOOKUP(--LEFT(TRIM(MID(SUBSTITUTE(G99,";",REPT(" ",99)),1,99)),FIND(":",TRIM(MID(SUBSTITUTE(G99,";",REPT(" ",99)),1,99)))-1),_Lookup!$A:$B,2,FALSE),"?")&amp;"×"&amp;MID(TRIM(MID(SUBSTITUTE(G99,";",REPT(" ",99)),1,99)),FIND(":",TRIM(MID(SUBSTITUTE(G99,";",REPT(" ",99)),1,99)))+1,99)),IF(TRIM(MID(SUBSTITUTE(G99,";",REPT(" ",99)),100,99))="","",IFERROR(VLOOKUP(--LEFT(TRIM(MID(SUBSTITUTE(G99,";",REPT(" ",99)),100,99)),FIND(":",TRIM(MID(SUBSTITUTE(G99,";",REPT(" ",99)),100,99)))-1),_Lookup!$A:$B,2,FALSE),"?")&amp;"×"&amp;MID(TRIM(MID(SUBSTITUTE(G99,";",REPT(" ",99)),100,99)),FIND(":",TRIM(MID(SUBSTITUTE(G99,";",REPT(" ",99)),100,99)))+1,99)),IF(TRIM(MID(SUBSTITUTE(G99,";",REPT(" ",99)),199,99))="","",IFERROR(VLOOKUP(--LEFT(TRIM(MID(SUBSTITUTE(G99,";",REPT(" ",99)),199,99)),FIND(":",TRIM(MID(SUBSTITUTE(G99,";",REPT(" ",99)),199,99)))-1),_Lookup!$A:$B,2,FALSE),"?")&amp;"×"&amp;MID(TRIM(MID(SUBSTITUTE(G99,";",REPT(" ",99)),199,99)),FIND(":",TRIM(MID(SUBSTITUTE(G99,";",REPT(" ",99)),199,99)))+1,99)),IF(TRIM(MID(SUBSTITUTE(G99,";",REPT(" ",99)),298,99))="","",IFERROR(VLOOKUP(--LEFT(TRIM(MID(SUBSTITUTE(G99,";",REPT(" ",99)),298,99)),FIND(":",TRIM(MID(SUBSTITUTE(G99,";",REPT(" ",99)),298,99)))-1),_Lookup!$A:$B,2,FALSE),"?")&amp;"×"&amp;MID(TRIM(MID(SUBSTITUTE(G99,";",REPT(" ",99)),298,99)),FIND(":",TRIM(MID(SUBSTITUTE(G99,";",REPT(" ",99)),298,99)))+1,99)),IF(TRIM(MID(SUBSTITUTE(G99,";",REPT(" ",99)),397,99))="","",IFERROR(VLOOKUP(--LEFT(TRIM(MID(SUBSTITUTE(G99,";",REPT(" ",99)),397,99)),FIND(":",TRIM(MID(SUBSTITUTE(G99,";",REPT(" ",99)),397,99)))-1),_Lookup!$A:$B,2,FALSE),"?")&amp;"×"&amp;MID(TRIM(MID(SUBSTITUTE(G99,";",REPT(" ",99)),397,99)),FIND(":",TRIM(MID(SUBSTITUTE(G99,";",REPT(" ",99)),397,99)))+1,99))))</f>
        <v/>
      </c>
    </row>
    <row r="100">
      <c r="C100" s="11">
        <f>IFERROR(VLOOKUP(B100,ItemData_Equipment!$A:$B,2,FALSE),"")</f>
        <v/>
      </c>
      <c r="H100" s="11">
        <f>IF(G100="","",TEXTJOIN("; ",TRUE,IF(TRIM(MID(SUBSTITUTE(G100,";",REPT(" ",99)),1,99))="","",IFERROR(VLOOKUP(--LEFT(TRIM(MID(SUBSTITUTE(G100,";",REPT(" ",99)),1,99)),FIND(":",TRIM(MID(SUBSTITUTE(G100,";",REPT(" ",99)),1,99)))-1),_Lookup!$A:$B,2,FALSE),"?")&amp;"×"&amp;MID(TRIM(MID(SUBSTITUTE(G100,";",REPT(" ",99)),1,99)),FIND(":",TRIM(MID(SUBSTITUTE(G100,";",REPT(" ",99)),1,99)))+1,99)),IF(TRIM(MID(SUBSTITUTE(G100,";",REPT(" ",99)),100,99))="","",IFERROR(VLOOKUP(--LEFT(TRIM(MID(SUBSTITUTE(G100,";",REPT(" ",99)),100,99)),FIND(":",TRIM(MID(SUBSTITUTE(G100,";",REPT(" ",99)),100,99)))-1),_Lookup!$A:$B,2,FALSE),"?")&amp;"×"&amp;MID(TRIM(MID(SUBSTITUTE(G100,";",REPT(" ",99)),100,99)),FIND(":",TRIM(MID(SUBSTITUTE(G100,";",REPT(" ",99)),100,99)))+1,99)),IF(TRIM(MID(SUBSTITUTE(G100,";",REPT(" ",99)),199,99))="","",IFERROR(VLOOKUP(--LEFT(TRIM(MID(SUBSTITUTE(G100,";",REPT(" ",99)),199,99)),FIND(":",TRIM(MID(SUBSTITUTE(G100,";",REPT(" ",99)),199,99)))-1),_Lookup!$A:$B,2,FALSE),"?")&amp;"×"&amp;MID(TRIM(MID(SUBSTITUTE(G100,";",REPT(" ",99)),199,99)),FIND(":",TRIM(MID(SUBSTITUTE(G100,";",REPT(" ",99)),199,99)))+1,99)),IF(TRIM(MID(SUBSTITUTE(G100,";",REPT(" ",99)),298,99))="","",IFERROR(VLOOKUP(--LEFT(TRIM(MID(SUBSTITUTE(G100,";",REPT(" ",99)),298,99)),FIND(":",TRIM(MID(SUBSTITUTE(G100,";",REPT(" ",99)),298,99)))-1),_Lookup!$A:$B,2,FALSE),"?")&amp;"×"&amp;MID(TRIM(MID(SUBSTITUTE(G100,";",REPT(" ",99)),298,99)),FIND(":",TRIM(MID(SUBSTITUTE(G100,";",REPT(" ",99)),298,99)))+1,99)),IF(TRIM(MID(SUBSTITUTE(G100,";",REPT(" ",99)),397,99))="","",IFERROR(VLOOKUP(--LEFT(TRIM(MID(SUBSTITUTE(G100,";",REPT(" ",99)),397,99)),FIND(":",TRIM(MID(SUBSTITUTE(G100,";",REPT(" ",99)),397,99)))-1),_Lookup!$A:$B,2,FALSE),"?")&amp;"×"&amp;MID(TRIM(MID(SUBSTITUTE(G100,";",REPT(" ",99)),397,99)),FIND(":",TRIM(MID(SUBSTITUTE(G100,";",REPT(" ",99)),397,99)))+1,99))))</f>
        <v/>
      </c>
    </row>
    <row r="101">
      <c r="C101" s="11">
        <f>IFERROR(VLOOKUP(B101,ItemData_Equipment!$A:$B,2,FALSE),"")</f>
        <v/>
      </c>
      <c r="H101" s="11">
        <f>IF(G101="","",TEXTJOIN("; ",TRUE,IF(TRIM(MID(SUBSTITUTE(G101,";",REPT(" ",99)),1,99))="","",IFERROR(VLOOKUP(--LEFT(TRIM(MID(SUBSTITUTE(G101,";",REPT(" ",99)),1,99)),FIND(":",TRIM(MID(SUBSTITUTE(G101,";",REPT(" ",99)),1,99)))-1),_Lookup!$A:$B,2,FALSE),"?")&amp;"×"&amp;MID(TRIM(MID(SUBSTITUTE(G101,";",REPT(" ",99)),1,99)),FIND(":",TRIM(MID(SUBSTITUTE(G101,";",REPT(" ",99)),1,99)))+1,99)),IF(TRIM(MID(SUBSTITUTE(G101,";",REPT(" ",99)),100,99))="","",IFERROR(VLOOKUP(--LEFT(TRIM(MID(SUBSTITUTE(G101,";",REPT(" ",99)),100,99)),FIND(":",TRIM(MID(SUBSTITUTE(G101,";",REPT(" ",99)),100,99)))-1),_Lookup!$A:$B,2,FALSE),"?")&amp;"×"&amp;MID(TRIM(MID(SUBSTITUTE(G101,";",REPT(" ",99)),100,99)),FIND(":",TRIM(MID(SUBSTITUTE(G101,";",REPT(" ",99)),100,99)))+1,99)),IF(TRIM(MID(SUBSTITUTE(G101,";",REPT(" ",99)),199,99))="","",IFERROR(VLOOKUP(--LEFT(TRIM(MID(SUBSTITUTE(G101,";",REPT(" ",99)),199,99)),FIND(":",TRIM(MID(SUBSTITUTE(G101,";",REPT(" ",99)),199,99)))-1),_Lookup!$A:$B,2,FALSE),"?")&amp;"×"&amp;MID(TRIM(MID(SUBSTITUTE(G101,";",REPT(" ",99)),199,99)),FIND(":",TRIM(MID(SUBSTITUTE(G101,";",REPT(" ",99)),199,99)))+1,99)),IF(TRIM(MID(SUBSTITUTE(G101,";",REPT(" ",99)),298,99))="","",IFERROR(VLOOKUP(--LEFT(TRIM(MID(SUBSTITUTE(G101,";",REPT(" ",99)),298,99)),FIND(":",TRIM(MID(SUBSTITUTE(G101,";",REPT(" ",99)),298,99)))-1),_Lookup!$A:$B,2,FALSE),"?")&amp;"×"&amp;MID(TRIM(MID(SUBSTITUTE(G101,";",REPT(" ",99)),298,99)),FIND(":",TRIM(MID(SUBSTITUTE(G101,";",REPT(" ",99)),298,99)))+1,99)),IF(TRIM(MID(SUBSTITUTE(G101,";",REPT(" ",99)),397,99))="","",IFERROR(VLOOKUP(--LEFT(TRIM(MID(SUBSTITUTE(G101,";",REPT(" ",99)),397,99)),FIND(":",TRIM(MID(SUBSTITUTE(G101,";",REPT(" ",99)),397,99)))-1),_Lookup!$A:$B,2,FALSE),"?")&amp;"×"&amp;MID(TRIM(MID(SUBSTITUTE(G101,";",REPT(" ",99)),397,99)),FIND(":",TRIM(MID(SUBSTITUTE(G101,";",REPT(" ",99)),397,99)))+1,99))))</f>
        <v/>
      </c>
    </row>
    <row r="102">
      <c r="C102" s="11">
        <f>IFERROR(VLOOKUP(B102,ItemData_Equipment!$A:$B,2,FALSE),"")</f>
        <v/>
      </c>
      <c r="H102" s="11">
        <f>IF(G102="","",TEXTJOIN("; ",TRUE,IF(TRIM(MID(SUBSTITUTE(G102,";",REPT(" ",99)),1,99))="","",IFERROR(VLOOKUP(--LEFT(TRIM(MID(SUBSTITUTE(G102,";",REPT(" ",99)),1,99)),FIND(":",TRIM(MID(SUBSTITUTE(G102,";",REPT(" ",99)),1,99)))-1),_Lookup!$A:$B,2,FALSE),"?")&amp;"×"&amp;MID(TRIM(MID(SUBSTITUTE(G102,";",REPT(" ",99)),1,99)),FIND(":",TRIM(MID(SUBSTITUTE(G102,";",REPT(" ",99)),1,99)))+1,99)),IF(TRIM(MID(SUBSTITUTE(G102,";",REPT(" ",99)),100,99))="","",IFERROR(VLOOKUP(--LEFT(TRIM(MID(SUBSTITUTE(G102,";",REPT(" ",99)),100,99)),FIND(":",TRIM(MID(SUBSTITUTE(G102,";",REPT(" ",99)),100,99)))-1),_Lookup!$A:$B,2,FALSE),"?")&amp;"×"&amp;MID(TRIM(MID(SUBSTITUTE(G102,";",REPT(" ",99)),100,99)),FIND(":",TRIM(MID(SUBSTITUTE(G102,";",REPT(" ",99)),100,99)))+1,99)),IF(TRIM(MID(SUBSTITUTE(G102,";",REPT(" ",99)),199,99))="","",IFERROR(VLOOKUP(--LEFT(TRIM(MID(SUBSTITUTE(G102,";",REPT(" ",99)),199,99)),FIND(":",TRIM(MID(SUBSTITUTE(G102,";",REPT(" ",99)),199,99)))-1),_Lookup!$A:$B,2,FALSE),"?")&amp;"×"&amp;MID(TRIM(MID(SUBSTITUTE(G102,";",REPT(" ",99)),199,99)),FIND(":",TRIM(MID(SUBSTITUTE(G102,";",REPT(" ",99)),199,99)))+1,99)),IF(TRIM(MID(SUBSTITUTE(G102,";",REPT(" ",99)),298,99))="","",IFERROR(VLOOKUP(--LEFT(TRIM(MID(SUBSTITUTE(G102,";",REPT(" ",99)),298,99)),FIND(":",TRIM(MID(SUBSTITUTE(G102,";",REPT(" ",99)),298,99)))-1),_Lookup!$A:$B,2,FALSE),"?")&amp;"×"&amp;MID(TRIM(MID(SUBSTITUTE(G102,";",REPT(" ",99)),298,99)),FIND(":",TRIM(MID(SUBSTITUTE(G102,";",REPT(" ",99)),298,99)))+1,99)),IF(TRIM(MID(SUBSTITUTE(G102,";",REPT(" ",99)),397,99))="","",IFERROR(VLOOKUP(--LEFT(TRIM(MID(SUBSTITUTE(G102,";",REPT(" ",99)),397,99)),FIND(":",TRIM(MID(SUBSTITUTE(G102,";",REPT(" ",99)),397,99)))-1),_Lookup!$A:$B,2,FALSE),"?")&amp;"×"&amp;MID(TRIM(MID(SUBSTITUTE(G102,";",REPT(" ",99)),397,99)),FIND(":",TRIM(MID(SUBSTITUTE(G102,";",REPT(" ",99)),397,99)))+1,99))))</f>
        <v/>
      </c>
    </row>
    <row r="103">
      <c r="C103" s="11">
        <f>IFERROR(VLOOKUP(B103,ItemData_Equipment!$A:$B,2,FALSE),"")</f>
        <v/>
      </c>
      <c r="H103" s="11">
        <f>IF(G103="","",TEXTJOIN("; ",TRUE,IF(TRIM(MID(SUBSTITUTE(G103,";",REPT(" ",99)),1,99))="","",IFERROR(VLOOKUP(--LEFT(TRIM(MID(SUBSTITUTE(G103,";",REPT(" ",99)),1,99)),FIND(":",TRIM(MID(SUBSTITUTE(G103,";",REPT(" ",99)),1,99)))-1),_Lookup!$A:$B,2,FALSE),"?")&amp;"×"&amp;MID(TRIM(MID(SUBSTITUTE(G103,";",REPT(" ",99)),1,99)),FIND(":",TRIM(MID(SUBSTITUTE(G103,";",REPT(" ",99)),1,99)))+1,99)),IF(TRIM(MID(SUBSTITUTE(G103,";",REPT(" ",99)),100,99))="","",IFERROR(VLOOKUP(--LEFT(TRIM(MID(SUBSTITUTE(G103,";",REPT(" ",99)),100,99)),FIND(":",TRIM(MID(SUBSTITUTE(G103,";",REPT(" ",99)),100,99)))-1),_Lookup!$A:$B,2,FALSE),"?")&amp;"×"&amp;MID(TRIM(MID(SUBSTITUTE(G103,";",REPT(" ",99)),100,99)),FIND(":",TRIM(MID(SUBSTITUTE(G103,";",REPT(" ",99)),100,99)))+1,99)),IF(TRIM(MID(SUBSTITUTE(G103,";",REPT(" ",99)),199,99))="","",IFERROR(VLOOKUP(--LEFT(TRIM(MID(SUBSTITUTE(G103,";",REPT(" ",99)),199,99)),FIND(":",TRIM(MID(SUBSTITUTE(G103,";",REPT(" ",99)),199,99)))-1),_Lookup!$A:$B,2,FALSE),"?")&amp;"×"&amp;MID(TRIM(MID(SUBSTITUTE(G103,";",REPT(" ",99)),199,99)),FIND(":",TRIM(MID(SUBSTITUTE(G103,";",REPT(" ",99)),199,99)))+1,99)),IF(TRIM(MID(SUBSTITUTE(G103,";",REPT(" ",99)),298,99))="","",IFERROR(VLOOKUP(--LEFT(TRIM(MID(SUBSTITUTE(G103,";",REPT(" ",99)),298,99)),FIND(":",TRIM(MID(SUBSTITUTE(G103,";",REPT(" ",99)),298,99)))-1),_Lookup!$A:$B,2,FALSE),"?")&amp;"×"&amp;MID(TRIM(MID(SUBSTITUTE(G103,";",REPT(" ",99)),298,99)),FIND(":",TRIM(MID(SUBSTITUTE(G103,";",REPT(" ",99)),298,99)))+1,99)),IF(TRIM(MID(SUBSTITUTE(G103,";",REPT(" ",99)),397,99))="","",IFERROR(VLOOKUP(--LEFT(TRIM(MID(SUBSTITUTE(G103,";",REPT(" ",99)),397,99)),FIND(":",TRIM(MID(SUBSTITUTE(G103,";",REPT(" ",99)),397,99)))-1),_Lookup!$A:$B,2,FALSE),"?")&amp;"×"&amp;MID(TRIM(MID(SUBSTITUTE(G103,";",REPT(" ",99)),397,99)),FIND(":",TRIM(MID(SUBSTITUTE(G103,";",REPT(" ",99)),397,99)))+1,99))))</f>
        <v/>
      </c>
    </row>
    <row r="104">
      <c r="C104" s="11">
        <f>IFERROR(VLOOKUP(B104,ItemData_Equipment!$A:$B,2,FALSE),"")</f>
        <v/>
      </c>
      <c r="H104" s="11">
        <f>IF(G104="","",TEXTJOIN("; ",TRUE,IF(TRIM(MID(SUBSTITUTE(G104,";",REPT(" ",99)),1,99))="","",IFERROR(VLOOKUP(--LEFT(TRIM(MID(SUBSTITUTE(G104,";",REPT(" ",99)),1,99)),FIND(":",TRIM(MID(SUBSTITUTE(G104,";",REPT(" ",99)),1,99)))-1),_Lookup!$A:$B,2,FALSE),"?")&amp;"×"&amp;MID(TRIM(MID(SUBSTITUTE(G104,";",REPT(" ",99)),1,99)),FIND(":",TRIM(MID(SUBSTITUTE(G104,";",REPT(" ",99)),1,99)))+1,99)),IF(TRIM(MID(SUBSTITUTE(G104,";",REPT(" ",99)),100,99))="","",IFERROR(VLOOKUP(--LEFT(TRIM(MID(SUBSTITUTE(G104,";",REPT(" ",99)),100,99)),FIND(":",TRIM(MID(SUBSTITUTE(G104,";",REPT(" ",99)),100,99)))-1),_Lookup!$A:$B,2,FALSE),"?")&amp;"×"&amp;MID(TRIM(MID(SUBSTITUTE(G104,";",REPT(" ",99)),100,99)),FIND(":",TRIM(MID(SUBSTITUTE(G104,";",REPT(" ",99)),100,99)))+1,99)),IF(TRIM(MID(SUBSTITUTE(G104,";",REPT(" ",99)),199,99))="","",IFERROR(VLOOKUP(--LEFT(TRIM(MID(SUBSTITUTE(G104,";",REPT(" ",99)),199,99)),FIND(":",TRIM(MID(SUBSTITUTE(G104,";",REPT(" ",99)),199,99)))-1),_Lookup!$A:$B,2,FALSE),"?")&amp;"×"&amp;MID(TRIM(MID(SUBSTITUTE(G104,";",REPT(" ",99)),199,99)),FIND(":",TRIM(MID(SUBSTITUTE(G104,";",REPT(" ",99)),199,99)))+1,99)),IF(TRIM(MID(SUBSTITUTE(G104,";",REPT(" ",99)),298,99))="","",IFERROR(VLOOKUP(--LEFT(TRIM(MID(SUBSTITUTE(G104,";",REPT(" ",99)),298,99)),FIND(":",TRIM(MID(SUBSTITUTE(G104,";",REPT(" ",99)),298,99)))-1),_Lookup!$A:$B,2,FALSE),"?")&amp;"×"&amp;MID(TRIM(MID(SUBSTITUTE(G104,";",REPT(" ",99)),298,99)),FIND(":",TRIM(MID(SUBSTITUTE(G104,";",REPT(" ",99)),298,99)))+1,99)),IF(TRIM(MID(SUBSTITUTE(G104,";",REPT(" ",99)),397,99))="","",IFERROR(VLOOKUP(--LEFT(TRIM(MID(SUBSTITUTE(G104,";",REPT(" ",99)),397,99)),FIND(":",TRIM(MID(SUBSTITUTE(G104,";",REPT(" ",99)),397,99)))-1),_Lookup!$A:$B,2,FALSE),"?")&amp;"×"&amp;MID(TRIM(MID(SUBSTITUTE(G104,";",REPT(" ",99)),397,99)),FIND(":",TRIM(MID(SUBSTITUTE(G104,";",REPT(" ",99)),397,99)))+1,99))))</f>
        <v/>
      </c>
    </row>
    <row r="105">
      <c r="C105" s="11">
        <f>IFERROR(VLOOKUP(B105,ItemData_Equipment!$A:$B,2,FALSE),"")</f>
        <v/>
      </c>
      <c r="H105" s="11">
        <f>IF(G105="","",TEXTJOIN("; ",TRUE,IF(TRIM(MID(SUBSTITUTE(G105,";",REPT(" ",99)),1,99))="","",IFERROR(VLOOKUP(--LEFT(TRIM(MID(SUBSTITUTE(G105,";",REPT(" ",99)),1,99)),FIND(":",TRIM(MID(SUBSTITUTE(G105,";",REPT(" ",99)),1,99)))-1),_Lookup!$A:$B,2,FALSE),"?")&amp;"×"&amp;MID(TRIM(MID(SUBSTITUTE(G105,";",REPT(" ",99)),1,99)),FIND(":",TRIM(MID(SUBSTITUTE(G105,";",REPT(" ",99)),1,99)))+1,99)),IF(TRIM(MID(SUBSTITUTE(G105,";",REPT(" ",99)),100,99))="","",IFERROR(VLOOKUP(--LEFT(TRIM(MID(SUBSTITUTE(G105,";",REPT(" ",99)),100,99)),FIND(":",TRIM(MID(SUBSTITUTE(G105,";",REPT(" ",99)),100,99)))-1),_Lookup!$A:$B,2,FALSE),"?")&amp;"×"&amp;MID(TRIM(MID(SUBSTITUTE(G105,";",REPT(" ",99)),100,99)),FIND(":",TRIM(MID(SUBSTITUTE(G105,";",REPT(" ",99)),100,99)))+1,99)),IF(TRIM(MID(SUBSTITUTE(G105,";",REPT(" ",99)),199,99))="","",IFERROR(VLOOKUP(--LEFT(TRIM(MID(SUBSTITUTE(G105,";",REPT(" ",99)),199,99)),FIND(":",TRIM(MID(SUBSTITUTE(G105,";",REPT(" ",99)),199,99)))-1),_Lookup!$A:$B,2,FALSE),"?")&amp;"×"&amp;MID(TRIM(MID(SUBSTITUTE(G105,";",REPT(" ",99)),199,99)),FIND(":",TRIM(MID(SUBSTITUTE(G105,";",REPT(" ",99)),199,99)))+1,99)),IF(TRIM(MID(SUBSTITUTE(G105,";",REPT(" ",99)),298,99))="","",IFERROR(VLOOKUP(--LEFT(TRIM(MID(SUBSTITUTE(G105,";",REPT(" ",99)),298,99)),FIND(":",TRIM(MID(SUBSTITUTE(G105,";",REPT(" ",99)),298,99)))-1),_Lookup!$A:$B,2,FALSE),"?")&amp;"×"&amp;MID(TRIM(MID(SUBSTITUTE(G105,";",REPT(" ",99)),298,99)),FIND(":",TRIM(MID(SUBSTITUTE(G105,";",REPT(" ",99)),298,99)))+1,99)),IF(TRIM(MID(SUBSTITUTE(G105,";",REPT(" ",99)),397,99))="","",IFERROR(VLOOKUP(--LEFT(TRIM(MID(SUBSTITUTE(G105,";",REPT(" ",99)),397,99)),FIND(":",TRIM(MID(SUBSTITUTE(G105,";",REPT(" ",99)),397,99)))-1),_Lookup!$A:$B,2,FALSE),"?")&amp;"×"&amp;MID(TRIM(MID(SUBSTITUTE(G105,";",REPT(" ",99)),397,99)),FIND(":",TRIM(MID(SUBSTITUTE(G105,";",REPT(" ",99)),397,99)))+1,99))))</f>
        <v/>
      </c>
    </row>
    <row r="106">
      <c r="C106" s="11">
        <f>IFERROR(VLOOKUP(B106,ItemData_Equipment!$A:$B,2,FALSE),"")</f>
        <v/>
      </c>
      <c r="H106" s="11">
        <f>IF(G106="","",TEXTJOIN("; ",TRUE,IF(TRIM(MID(SUBSTITUTE(G106,";",REPT(" ",99)),1,99))="","",IFERROR(VLOOKUP(--LEFT(TRIM(MID(SUBSTITUTE(G106,";",REPT(" ",99)),1,99)),FIND(":",TRIM(MID(SUBSTITUTE(G106,";",REPT(" ",99)),1,99)))-1),_Lookup!$A:$B,2,FALSE),"?")&amp;"×"&amp;MID(TRIM(MID(SUBSTITUTE(G106,";",REPT(" ",99)),1,99)),FIND(":",TRIM(MID(SUBSTITUTE(G106,";",REPT(" ",99)),1,99)))+1,99)),IF(TRIM(MID(SUBSTITUTE(G106,";",REPT(" ",99)),100,99))="","",IFERROR(VLOOKUP(--LEFT(TRIM(MID(SUBSTITUTE(G106,";",REPT(" ",99)),100,99)),FIND(":",TRIM(MID(SUBSTITUTE(G106,";",REPT(" ",99)),100,99)))-1),_Lookup!$A:$B,2,FALSE),"?")&amp;"×"&amp;MID(TRIM(MID(SUBSTITUTE(G106,";",REPT(" ",99)),100,99)),FIND(":",TRIM(MID(SUBSTITUTE(G106,";",REPT(" ",99)),100,99)))+1,99)),IF(TRIM(MID(SUBSTITUTE(G106,";",REPT(" ",99)),199,99))="","",IFERROR(VLOOKUP(--LEFT(TRIM(MID(SUBSTITUTE(G106,";",REPT(" ",99)),199,99)),FIND(":",TRIM(MID(SUBSTITUTE(G106,";",REPT(" ",99)),199,99)))-1),_Lookup!$A:$B,2,FALSE),"?")&amp;"×"&amp;MID(TRIM(MID(SUBSTITUTE(G106,";",REPT(" ",99)),199,99)),FIND(":",TRIM(MID(SUBSTITUTE(G106,";",REPT(" ",99)),199,99)))+1,99)),IF(TRIM(MID(SUBSTITUTE(G106,";",REPT(" ",99)),298,99))="","",IFERROR(VLOOKUP(--LEFT(TRIM(MID(SUBSTITUTE(G106,";",REPT(" ",99)),298,99)),FIND(":",TRIM(MID(SUBSTITUTE(G106,";",REPT(" ",99)),298,99)))-1),_Lookup!$A:$B,2,FALSE),"?")&amp;"×"&amp;MID(TRIM(MID(SUBSTITUTE(G106,";",REPT(" ",99)),298,99)),FIND(":",TRIM(MID(SUBSTITUTE(G106,";",REPT(" ",99)),298,99)))+1,99)),IF(TRIM(MID(SUBSTITUTE(G106,";",REPT(" ",99)),397,99))="","",IFERROR(VLOOKUP(--LEFT(TRIM(MID(SUBSTITUTE(G106,";",REPT(" ",99)),397,99)),FIND(":",TRIM(MID(SUBSTITUTE(G106,";",REPT(" ",99)),397,99)))-1),_Lookup!$A:$B,2,FALSE),"?")&amp;"×"&amp;MID(TRIM(MID(SUBSTITUTE(G106,";",REPT(" ",99)),397,99)),FIND(":",TRIM(MID(SUBSTITUTE(G106,";",REPT(" ",99)),397,99)))+1,99))))</f>
        <v/>
      </c>
    </row>
    <row r="107">
      <c r="C107" s="11">
        <f>IFERROR(VLOOKUP(B107,ItemData_Equipment!$A:$B,2,FALSE),"")</f>
        <v/>
      </c>
      <c r="H107" s="11">
        <f>IF(G107="","",TEXTJOIN("; ",TRUE,IF(TRIM(MID(SUBSTITUTE(G107,";",REPT(" ",99)),1,99))="","",IFERROR(VLOOKUP(--LEFT(TRIM(MID(SUBSTITUTE(G107,";",REPT(" ",99)),1,99)),FIND(":",TRIM(MID(SUBSTITUTE(G107,";",REPT(" ",99)),1,99)))-1),_Lookup!$A:$B,2,FALSE),"?")&amp;"×"&amp;MID(TRIM(MID(SUBSTITUTE(G107,";",REPT(" ",99)),1,99)),FIND(":",TRIM(MID(SUBSTITUTE(G107,";",REPT(" ",99)),1,99)))+1,99)),IF(TRIM(MID(SUBSTITUTE(G107,";",REPT(" ",99)),100,99))="","",IFERROR(VLOOKUP(--LEFT(TRIM(MID(SUBSTITUTE(G107,";",REPT(" ",99)),100,99)),FIND(":",TRIM(MID(SUBSTITUTE(G107,";",REPT(" ",99)),100,99)))-1),_Lookup!$A:$B,2,FALSE),"?")&amp;"×"&amp;MID(TRIM(MID(SUBSTITUTE(G107,";",REPT(" ",99)),100,99)),FIND(":",TRIM(MID(SUBSTITUTE(G107,";",REPT(" ",99)),100,99)))+1,99)),IF(TRIM(MID(SUBSTITUTE(G107,";",REPT(" ",99)),199,99))="","",IFERROR(VLOOKUP(--LEFT(TRIM(MID(SUBSTITUTE(G107,";",REPT(" ",99)),199,99)),FIND(":",TRIM(MID(SUBSTITUTE(G107,";",REPT(" ",99)),199,99)))-1),_Lookup!$A:$B,2,FALSE),"?")&amp;"×"&amp;MID(TRIM(MID(SUBSTITUTE(G107,";",REPT(" ",99)),199,99)),FIND(":",TRIM(MID(SUBSTITUTE(G107,";",REPT(" ",99)),199,99)))+1,99)),IF(TRIM(MID(SUBSTITUTE(G107,";",REPT(" ",99)),298,99))="","",IFERROR(VLOOKUP(--LEFT(TRIM(MID(SUBSTITUTE(G107,";",REPT(" ",99)),298,99)),FIND(":",TRIM(MID(SUBSTITUTE(G107,";",REPT(" ",99)),298,99)))-1),_Lookup!$A:$B,2,FALSE),"?")&amp;"×"&amp;MID(TRIM(MID(SUBSTITUTE(G107,";",REPT(" ",99)),298,99)),FIND(":",TRIM(MID(SUBSTITUTE(G107,";",REPT(" ",99)),298,99)))+1,99)),IF(TRIM(MID(SUBSTITUTE(G107,";",REPT(" ",99)),397,99))="","",IFERROR(VLOOKUP(--LEFT(TRIM(MID(SUBSTITUTE(G107,";",REPT(" ",99)),397,99)),FIND(":",TRIM(MID(SUBSTITUTE(G107,";",REPT(" ",99)),397,99)))-1),_Lookup!$A:$B,2,FALSE),"?")&amp;"×"&amp;MID(TRIM(MID(SUBSTITUTE(G107,";",REPT(" ",99)),397,99)),FIND(":",TRIM(MID(SUBSTITUTE(G107,";",REPT(" ",99)),397,99)))+1,99))))</f>
        <v/>
      </c>
    </row>
    <row r="108">
      <c r="C108" s="11">
        <f>IFERROR(VLOOKUP(B108,ItemData_Equipment!$A:$B,2,FALSE),"")</f>
        <v/>
      </c>
      <c r="H108" s="11">
        <f>IF(G108="","",TEXTJOIN("; ",TRUE,IF(TRIM(MID(SUBSTITUTE(G108,";",REPT(" ",99)),1,99))="","",IFERROR(VLOOKUP(--LEFT(TRIM(MID(SUBSTITUTE(G108,";",REPT(" ",99)),1,99)),FIND(":",TRIM(MID(SUBSTITUTE(G108,";",REPT(" ",99)),1,99)))-1),_Lookup!$A:$B,2,FALSE),"?")&amp;"×"&amp;MID(TRIM(MID(SUBSTITUTE(G108,";",REPT(" ",99)),1,99)),FIND(":",TRIM(MID(SUBSTITUTE(G108,";",REPT(" ",99)),1,99)))+1,99)),IF(TRIM(MID(SUBSTITUTE(G108,";",REPT(" ",99)),100,99))="","",IFERROR(VLOOKUP(--LEFT(TRIM(MID(SUBSTITUTE(G108,";",REPT(" ",99)),100,99)),FIND(":",TRIM(MID(SUBSTITUTE(G108,";",REPT(" ",99)),100,99)))-1),_Lookup!$A:$B,2,FALSE),"?")&amp;"×"&amp;MID(TRIM(MID(SUBSTITUTE(G108,";",REPT(" ",99)),100,99)),FIND(":",TRIM(MID(SUBSTITUTE(G108,";",REPT(" ",99)),100,99)))+1,99)),IF(TRIM(MID(SUBSTITUTE(G108,";",REPT(" ",99)),199,99))="","",IFERROR(VLOOKUP(--LEFT(TRIM(MID(SUBSTITUTE(G108,";",REPT(" ",99)),199,99)),FIND(":",TRIM(MID(SUBSTITUTE(G108,";",REPT(" ",99)),199,99)))-1),_Lookup!$A:$B,2,FALSE),"?")&amp;"×"&amp;MID(TRIM(MID(SUBSTITUTE(G108,";",REPT(" ",99)),199,99)),FIND(":",TRIM(MID(SUBSTITUTE(G108,";",REPT(" ",99)),199,99)))+1,99)),IF(TRIM(MID(SUBSTITUTE(G108,";",REPT(" ",99)),298,99))="","",IFERROR(VLOOKUP(--LEFT(TRIM(MID(SUBSTITUTE(G108,";",REPT(" ",99)),298,99)),FIND(":",TRIM(MID(SUBSTITUTE(G108,";",REPT(" ",99)),298,99)))-1),_Lookup!$A:$B,2,FALSE),"?")&amp;"×"&amp;MID(TRIM(MID(SUBSTITUTE(G108,";",REPT(" ",99)),298,99)),FIND(":",TRIM(MID(SUBSTITUTE(G108,";",REPT(" ",99)),298,99)))+1,99)),IF(TRIM(MID(SUBSTITUTE(G108,";",REPT(" ",99)),397,99))="","",IFERROR(VLOOKUP(--LEFT(TRIM(MID(SUBSTITUTE(G108,";",REPT(" ",99)),397,99)),FIND(":",TRIM(MID(SUBSTITUTE(G108,";",REPT(" ",99)),397,99)))-1),_Lookup!$A:$B,2,FALSE),"?")&amp;"×"&amp;MID(TRIM(MID(SUBSTITUTE(G108,";",REPT(" ",99)),397,99)),FIND(":",TRIM(MID(SUBSTITUTE(G108,";",REPT(" ",99)),397,99)))+1,99))))</f>
        <v/>
      </c>
    </row>
    <row r="109">
      <c r="C109" s="11">
        <f>IFERROR(VLOOKUP(B109,ItemData_Equipment!$A:$B,2,FALSE),"")</f>
        <v/>
      </c>
      <c r="H109" s="11">
        <f>IF(G109="","",TEXTJOIN("; ",TRUE,IF(TRIM(MID(SUBSTITUTE(G109,";",REPT(" ",99)),1,99))="","",IFERROR(VLOOKUP(--LEFT(TRIM(MID(SUBSTITUTE(G109,";",REPT(" ",99)),1,99)),FIND(":",TRIM(MID(SUBSTITUTE(G109,";",REPT(" ",99)),1,99)))-1),_Lookup!$A:$B,2,FALSE),"?")&amp;"×"&amp;MID(TRIM(MID(SUBSTITUTE(G109,";",REPT(" ",99)),1,99)),FIND(":",TRIM(MID(SUBSTITUTE(G109,";",REPT(" ",99)),1,99)))+1,99)),IF(TRIM(MID(SUBSTITUTE(G109,";",REPT(" ",99)),100,99))="","",IFERROR(VLOOKUP(--LEFT(TRIM(MID(SUBSTITUTE(G109,";",REPT(" ",99)),100,99)),FIND(":",TRIM(MID(SUBSTITUTE(G109,";",REPT(" ",99)),100,99)))-1),_Lookup!$A:$B,2,FALSE),"?")&amp;"×"&amp;MID(TRIM(MID(SUBSTITUTE(G109,";",REPT(" ",99)),100,99)),FIND(":",TRIM(MID(SUBSTITUTE(G109,";",REPT(" ",99)),100,99)))+1,99)),IF(TRIM(MID(SUBSTITUTE(G109,";",REPT(" ",99)),199,99))="","",IFERROR(VLOOKUP(--LEFT(TRIM(MID(SUBSTITUTE(G109,";",REPT(" ",99)),199,99)),FIND(":",TRIM(MID(SUBSTITUTE(G109,";",REPT(" ",99)),199,99)))-1),_Lookup!$A:$B,2,FALSE),"?")&amp;"×"&amp;MID(TRIM(MID(SUBSTITUTE(G109,";",REPT(" ",99)),199,99)),FIND(":",TRIM(MID(SUBSTITUTE(G109,";",REPT(" ",99)),199,99)))+1,99)),IF(TRIM(MID(SUBSTITUTE(G109,";",REPT(" ",99)),298,99))="","",IFERROR(VLOOKUP(--LEFT(TRIM(MID(SUBSTITUTE(G109,";",REPT(" ",99)),298,99)),FIND(":",TRIM(MID(SUBSTITUTE(G109,";",REPT(" ",99)),298,99)))-1),_Lookup!$A:$B,2,FALSE),"?")&amp;"×"&amp;MID(TRIM(MID(SUBSTITUTE(G109,";",REPT(" ",99)),298,99)),FIND(":",TRIM(MID(SUBSTITUTE(G109,";",REPT(" ",99)),298,99)))+1,99)),IF(TRIM(MID(SUBSTITUTE(G109,";",REPT(" ",99)),397,99))="","",IFERROR(VLOOKUP(--LEFT(TRIM(MID(SUBSTITUTE(G109,";",REPT(" ",99)),397,99)),FIND(":",TRIM(MID(SUBSTITUTE(G109,";",REPT(" ",99)),397,99)))-1),_Lookup!$A:$B,2,FALSE),"?")&amp;"×"&amp;MID(TRIM(MID(SUBSTITUTE(G109,";",REPT(" ",99)),397,99)),FIND(":",TRIM(MID(SUBSTITUTE(G109,";",REPT(" ",99)),397,99)))+1,99))))</f>
        <v/>
      </c>
    </row>
    <row r="110">
      <c r="C110" s="11">
        <f>IFERROR(VLOOKUP(B110,ItemData_Equipment!$A:$B,2,FALSE),"")</f>
        <v/>
      </c>
      <c r="H110" s="11">
        <f>IF(G110="","",TEXTJOIN("; ",TRUE,IF(TRIM(MID(SUBSTITUTE(G110,";",REPT(" ",99)),1,99))="","",IFERROR(VLOOKUP(--LEFT(TRIM(MID(SUBSTITUTE(G110,";",REPT(" ",99)),1,99)),FIND(":",TRIM(MID(SUBSTITUTE(G110,";",REPT(" ",99)),1,99)))-1),_Lookup!$A:$B,2,FALSE),"?")&amp;"×"&amp;MID(TRIM(MID(SUBSTITUTE(G110,";",REPT(" ",99)),1,99)),FIND(":",TRIM(MID(SUBSTITUTE(G110,";",REPT(" ",99)),1,99)))+1,99)),IF(TRIM(MID(SUBSTITUTE(G110,";",REPT(" ",99)),100,99))="","",IFERROR(VLOOKUP(--LEFT(TRIM(MID(SUBSTITUTE(G110,";",REPT(" ",99)),100,99)),FIND(":",TRIM(MID(SUBSTITUTE(G110,";",REPT(" ",99)),100,99)))-1),_Lookup!$A:$B,2,FALSE),"?")&amp;"×"&amp;MID(TRIM(MID(SUBSTITUTE(G110,";",REPT(" ",99)),100,99)),FIND(":",TRIM(MID(SUBSTITUTE(G110,";",REPT(" ",99)),100,99)))+1,99)),IF(TRIM(MID(SUBSTITUTE(G110,";",REPT(" ",99)),199,99))="","",IFERROR(VLOOKUP(--LEFT(TRIM(MID(SUBSTITUTE(G110,";",REPT(" ",99)),199,99)),FIND(":",TRIM(MID(SUBSTITUTE(G110,";",REPT(" ",99)),199,99)))-1),_Lookup!$A:$B,2,FALSE),"?")&amp;"×"&amp;MID(TRIM(MID(SUBSTITUTE(G110,";",REPT(" ",99)),199,99)),FIND(":",TRIM(MID(SUBSTITUTE(G110,";",REPT(" ",99)),199,99)))+1,99)),IF(TRIM(MID(SUBSTITUTE(G110,";",REPT(" ",99)),298,99))="","",IFERROR(VLOOKUP(--LEFT(TRIM(MID(SUBSTITUTE(G110,";",REPT(" ",99)),298,99)),FIND(":",TRIM(MID(SUBSTITUTE(G110,";",REPT(" ",99)),298,99)))-1),_Lookup!$A:$B,2,FALSE),"?")&amp;"×"&amp;MID(TRIM(MID(SUBSTITUTE(G110,";",REPT(" ",99)),298,99)),FIND(":",TRIM(MID(SUBSTITUTE(G110,";",REPT(" ",99)),298,99)))+1,99)),IF(TRIM(MID(SUBSTITUTE(G110,";",REPT(" ",99)),397,99))="","",IFERROR(VLOOKUP(--LEFT(TRIM(MID(SUBSTITUTE(G110,";",REPT(" ",99)),397,99)),FIND(":",TRIM(MID(SUBSTITUTE(G110,";",REPT(" ",99)),397,99)))-1),_Lookup!$A:$B,2,FALSE),"?")&amp;"×"&amp;MID(TRIM(MID(SUBSTITUTE(G110,";",REPT(" ",99)),397,99)),FIND(":",TRIM(MID(SUBSTITUTE(G110,";",REPT(" ",99)),397,99)))+1,99))))</f>
        <v/>
      </c>
    </row>
    <row r="111">
      <c r="C111" s="11">
        <f>IFERROR(VLOOKUP(B111,ItemData_Equipment!$A:$B,2,FALSE),"")</f>
        <v/>
      </c>
      <c r="H111" s="11">
        <f>IF(G111="","",TEXTJOIN("; ",TRUE,IF(TRIM(MID(SUBSTITUTE(G111,";",REPT(" ",99)),1,99))="","",IFERROR(VLOOKUP(--LEFT(TRIM(MID(SUBSTITUTE(G111,";",REPT(" ",99)),1,99)),FIND(":",TRIM(MID(SUBSTITUTE(G111,";",REPT(" ",99)),1,99)))-1),_Lookup!$A:$B,2,FALSE),"?")&amp;"×"&amp;MID(TRIM(MID(SUBSTITUTE(G111,";",REPT(" ",99)),1,99)),FIND(":",TRIM(MID(SUBSTITUTE(G111,";",REPT(" ",99)),1,99)))+1,99)),IF(TRIM(MID(SUBSTITUTE(G111,";",REPT(" ",99)),100,99))="","",IFERROR(VLOOKUP(--LEFT(TRIM(MID(SUBSTITUTE(G111,";",REPT(" ",99)),100,99)),FIND(":",TRIM(MID(SUBSTITUTE(G111,";",REPT(" ",99)),100,99)))-1),_Lookup!$A:$B,2,FALSE),"?")&amp;"×"&amp;MID(TRIM(MID(SUBSTITUTE(G111,";",REPT(" ",99)),100,99)),FIND(":",TRIM(MID(SUBSTITUTE(G111,";",REPT(" ",99)),100,99)))+1,99)),IF(TRIM(MID(SUBSTITUTE(G111,";",REPT(" ",99)),199,99))="","",IFERROR(VLOOKUP(--LEFT(TRIM(MID(SUBSTITUTE(G111,";",REPT(" ",99)),199,99)),FIND(":",TRIM(MID(SUBSTITUTE(G111,";",REPT(" ",99)),199,99)))-1),_Lookup!$A:$B,2,FALSE),"?")&amp;"×"&amp;MID(TRIM(MID(SUBSTITUTE(G111,";",REPT(" ",99)),199,99)),FIND(":",TRIM(MID(SUBSTITUTE(G111,";",REPT(" ",99)),199,99)))+1,99)),IF(TRIM(MID(SUBSTITUTE(G111,";",REPT(" ",99)),298,99))="","",IFERROR(VLOOKUP(--LEFT(TRIM(MID(SUBSTITUTE(G111,";",REPT(" ",99)),298,99)),FIND(":",TRIM(MID(SUBSTITUTE(G111,";",REPT(" ",99)),298,99)))-1),_Lookup!$A:$B,2,FALSE),"?")&amp;"×"&amp;MID(TRIM(MID(SUBSTITUTE(G111,";",REPT(" ",99)),298,99)),FIND(":",TRIM(MID(SUBSTITUTE(G111,";",REPT(" ",99)),298,99)))+1,99)),IF(TRIM(MID(SUBSTITUTE(G111,";",REPT(" ",99)),397,99))="","",IFERROR(VLOOKUP(--LEFT(TRIM(MID(SUBSTITUTE(G111,";",REPT(" ",99)),397,99)),FIND(":",TRIM(MID(SUBSTITUTE(G111,";",REPT(" ",99)),397,99)))-1),_Lookup!$A:$B,2,FALSE),"?")&amp;"×"&amp;MID(TRIM(MID(SUBSTITUTE(G111,";",REPT(" ",99)),397,99)),FIND(":",TRIM(MID(SUBSTITUTE(G111,";",REPT(" ",99)),397,99)))+1,99))))</f>
        <v/>
      </c>
    </row>
    <row r="112">
      <c r="C112" s="11">
        <f>IFERROR(VLOOKUP(B112,ItemData_Equipment!$A:$B,2,FALSE),"")</f>
        <v/>
      </c>
      <c r="H112" s="11">
        <f>IF(G112="","",TEXTJOIN("; ",TRUE,IF(TRIM(MID(SUBSTITUTE(G112,";",REPT(" ",99)),1,99))="","",IFERROR(VLOOKUP(--LEFT(TRIM(MID(SUBSTITUTE(G112,";",REPT(" ",99)),1,99)),FIND(":",TRIM(MID(SUBSTITUTE(G112,";",REPT(" ",99)),1,99)))-1),_Lookup!$A:$B,2,FALSE),"?")&amp;"×"&amp;MID(TRIM(MID(SUBSTITUTE(G112,";",REPT(" ",99)),1,99)),FIND(":",TRIM(MID(SUBSTITUTE(G112,";",REPT(" ",99)),1,99)))+1,99)),IF(TRIM(MID(SUBSTITUTE(G112,";",REPT(" ",99)),100,99))="","",IFERROR(VLOOKUP(--LEFT(TRIM(MID(SUBSTITUTE(G112,";",REPT(" ",99)),100,99)),FIND(":",TRIM(MID(SUBSTITUTE(G112,";",REPT(" ",99)),100,99)))-1),_Lookup!$A:$B,2,FALSE),"?")&amp;"×"&amp;MID(TRIM(MID(SUBSTITUTE(G112,";",REPT(" ",99)),100,99)),FIND(":",TRIM(MID(SUBSTITUTE(G112,";",REPT(" ",99)),100,99)))+1,99)),IF(TRIM(MID(SUBSTITUTE(G112,";",REPT(" ",99)),199,99))="","",IFERROR(VLOOKUP(--LEFT(TRIM(MID(SUBSTITUTE(G112,";",REPT(" ",99)),199,99)),FIND(":",TRIM(MID(SUBSTITUTE(G112,";",REPT(" ",99)),199,99)))-1),_Lookup!$A:$B,2,FALSE),"?")&amp;"×"&amp;MID(TRIM(MID(SUBSTITUTE(G112,";",REPT(" ",99)),199,99)),FIND(":",TRIM(MID(SUBSTITUTE(G112,";",REPT(" ",99)),199,99)))+1,99)),IF(TRIM(MID(SUBSTITUTE(G112,";",REPT(" ",99)),298,99))="","",IFERROR(VLOOKUP(--LEFT(TRIM(MID(SUBSTITUTE(G112,";",REPT(" ",99)),298,99)),FIND(":",TRIM(MID(SUBSTITUTE(G112,";",REPT(" ",99)),298,99)))-1),_Lookup!$A:$B,2,FALSE),"?")&amp;"×"&amp;MID(TRIM(MID(SUBSTITUTE(G112,";",REPT(" ",99)),298,99)),FIND(":",TRIM(MID(SUBSTITUTE(G112,";",REPT(" ",99)),298,99)))+1,99)),IF(TRIM(MID(SUBSTITUTE(G112,";",REPT(" ",99)),397,99))="","",IFERROR(VLOOKUP(--LEFT(TRIM(MID(SUBSTITUTE(G112,";",REPT(" ",99)),397,99)),FIND(":",TRIM(MID(SUBSTITUTE(G112,";",REPT(" ",99)),397,99)))-1),_Lookup!$A:$B,2,FALSE),"?")&amp;"×"&amp;MID(TRIM(MID(SUBSTITUTE(G112,";",REPT(" ",99)),397,99)),FIND(":",TRIM(MID(SUBSTITUTE(G112,";",REPT(" ",99)),397,99)))+1,99))))</f>
        <v/>
      </c>
    </row>
    <row r="113">
      <c r="C113" s="11">
        <f>IFERROR(VLOOKUP(B113,ItemData_Equipment!$A:$B,2,FALSE),"")</f>
        <v/>
      </c>
      <c r="H113" s="11">
        <f>IF(G113="","",TEXTJOIN("; ",TRUE,IF(TRIM(MID(SUBSTITUTE(G113,";",REPT(" ",99)),1,99))="","",IFERROR(VLOOKUP(--LEFT(TRIM(MID(SUBSTITUTE(G113,";",REPT(" ",99)),1,99)),FIND(":",TRIM(MID(SUBSTITUTE(G113,";",REPT(" ",99)),1,99)))-1),_Lookup!$A:$B,2,FALSE),"?")&amp;"×"&amp;MID(TRIM(MID(SUBSTITUTE(G113,";",REPT(" ",99)),1,99)),FIND(":",TRIM(MID(SUBSTITUTE(G113,";",REPT(" ",99)),1,99)))+1,99)),IF(TRIM(MID(SUBSTITUTE(G113,";",REPT(" ",99)),100,99))="","",IFERROR(VLOOKUP(--LEFT(TRIM(MID(SUBSTITUTE(G113,";",REPT(" ",99)),100,99)),FIND(":",TRIM(MID(SUBSTITUTE(G113,";",REPT(" ",99)),100,99)))-1),_Lookup!$A:$B,2,FALSE),"?")&amp;"×"&amp;MID(TRIM(MID(SUBSTITUTE(G113,";",REPT(" ",99)),100,99)),FIND(":",TRIM(MID(SUBSTITUTE(G113,";",REPT(" ",99)),100,99)))+1,99)),IF(TRIM(MID(SUBSTITUTE(G113,";",REPT(" ",99)),199,99))="","",IFERROR(VLOOKUP(--LEFT(TRIM(MID(SUBSTITUTE(G113,";",REPT(" ",99)),199,99)),FIND(":",TRIM(MID(SUBSTITUTE(G113,";",REPT(" ",99)),199,99)))-1),_Lookup!$A:$B,2,FALSE),"?")&amp;"×"&amp;MID(TRIM(MID(SUBSTITUTE(G113,";",REPT(" ",99)),199,99)),FIND(":",TRIM(MID(SUBSTITUTE(G113,";",REPT(" ",99)),199,99)))+1,99)),IF(TRIM(MID(SUBSTITUTE(G113,";",REPT(" ",99)),298,99))="","",IFERROR(VLOOKUP(--LEFT(TRIM(MID(SUBSTITUTE(G113,";",REPT(" ",99)),298,99)),FIND(":",TRIM(MID(SUBSTITUTE(G113,";",REPT(" ",99)),298,99)))-1),_Lookup!$A:$B,2,FALSE),"?")&amp;"×"&amp;MID(TRIM(MID(SUBSTITUTE(G113,";",REPT(" ",99)),298,99)),FIND(":",TRIM(MID(SUBSTITUTE(G113,";",REPT(" ",99)),298,99)))+1,99)),IF(TRIM(MID(SUBSTITUTE(G113,";",REPT(" ",99)),397,99))="","",IFERROR(VLOOKUP(--LEFT(TRIM(MID(SUBSTITUTE(G113,";",REPT(" ",99)),397,99)),FIND(":",TRIM(MID(SUBSTITUTE(G113,";",REPT(" ",99)),397,99)))-1),_Lookup!$A:$B,2,FALSE),"?")&amp;"×"&amp;MID(TRIM(MID(SUBSTITUTE(G113,";",REPT(" ",99)),397,99)),FIND(":",TRIM(MID(SUBSTITUTE(G113,";",REPT(" ",99)),397,99)))+1,99))))</f>
        <v/>
      </c>
    </row>
    <row r="114">
      <c r="C114" s="11">
        <f>IFERROR(VLOOKUP(B114,ItemData_Equipment!$A:$B,2,FALSE),"")</f>
        <v/>
      </c>
      <c r="H114" s="11">
        <f>IF(G114="","",TEXTJOIN("; ",TRUE,IF(TRIM(MID(SUBSTITUTE(G114,";",REPT(" ",99)),1,99))="","",IFERROR(VLOOKUP(--LEFT(TRIM(MID(SUBSTITUTE(G114,";",REPT(" ",99)),1,99)),FIND(":",TRIM(MID(SUBSTITUTE(G114,";",REPT(" ",99)),1,99)))-1),_Lookup!$A:$B,2,FALSE),"?")&amp;"×"&amp;MID(TRIM(MID(SUBSTITUTE(G114,";",REPT(" ",99)),1,99)),FIND(":",TRIM(MID(SUBSTITUTE(G114,";",REPT(" ",99)),1,99)))+1,99)),IF(TRIM(MID(SUBSTITUTE(G114,";",REPT(" ",99)),100,99))="","",IFERROR(VLOOKUP(--LEFT(TRIM(MID(SUBSTITUTE(G114,";",REPT(" ",99)),100,99)),FIND(":",TRIM(MID(SUBSTITUTE(G114,";",REPT(" ",99)),100,99)))-1),_Lookup!$A:$B,2,FALSE),"?")&amp;"×"&amp;MID(TRIM(MID(SUBSTITUTE(G114,";",REPT(" ",99)),100,99)),FIND(":",TRIM(MID(SUBSTITUTE(G114,";",REPT(" ",99)),100,99)))+1,99)),IF(TRIM(MID(SUBSTITUTE(G114,";",REPT(" ",99)),199,99))="","",IFERROR(VLOOKUP(--LEFT(TRIM(MID(SUBSTITUTE(G114,";",REPT(" ",99)),199,99)),FIND(":",TRIM(MID(SUBSTITUTE(G114,";",REPT(" ",99)),199,99)))-1),_Lookup!$A:$B,2,FALSE),"?")&amp;"×"&amp;MID(TRIM(MID(SUBSTITUTE(G114,";",REPT(" ",99)),199,99)),FIND(":",TRIM(MID(SUBSTITUTE(G114,";",REPT(" ",99)),199,99)))+1,99)),IF(TRIM(MID(SUBSTITUTE(G114,";",REPT(" ",99)),298,99))="","",IFERROR(VLOOKUP(--LEFT(TRIM(MID(SUBSTITUTE(G114,";",REPT(" ",99)),298,99)),FIND(":",TRIM(MID(SUBSTITUTE(G114,";",REPT(" ",99)),298,99)))-1),_Lookup!$A:$B,2,FALSE),"?")&amp;"×"&amp;MID(TRIM(MID(SUBSTITUTE(G114,";",REPT(" ",99)),298,99)),FIND(":",TRIM(MID(SUBSTITUTE(G114,";",REPT(" ",99)),298,99)))+1,99)),IF(TRIM(MID(SUBSTITUTE(G114,";",REPT(" ",99)),397,99))="","",IFERROR(VLOOKUP(--LEFT(TRIM(MID(SUBSTITUTE(G114,";",REPT(" ",99)),397,99)),FIND(":",TRIM(MID(SUBSTITUTE(G114,";",REPT(" ",99)),397,99)))-1),_Lookup!$A:$B,2,FALSE),"?")&amp;"×"&amp;MID(TRIM(MID(SUBSTITUTE(G114,";",REPT(" ",99)),397,99)),FIND(":",TRIM(MID(SUBSTITUTE(G114,";",REPT(" ",99)),397,99)))+1,99))))</f>
        <v/>
      </c>
    </row>
    <row r="115">
      <c r="C115" s="11">
        <f>IFERROR(VLOOKUP(B115,ItemData_Equipment!$A:$B,2,FALSE),"")</f>
        <v/>
      </c>
      <c r="H115" s="11">
        <f>IF(G115="","",TEXTJOIN("; ",TRUE,IF(TRIM(MID(SUBSTITUTE(G115,";",REPT(" ",99)),1,99))="","",IFERROR(VLOOKUP(--LEFT(TRIM(MID(SUBSTITUTE(G115,";",REPT(" ",99)),1,99)),FIND(":",TRIM(MID(SUBSTITUTE(G115,";",REPT(" ",99)),1,99)))-1),_Lookup!$A:$B,2,FALSE),"?")&amp;"×"&amp;MID(TRIM(MID(SUBSTITUTE(G115,";",REPT(" ",99)),1,99)),FIND(":",TRIM(MID(SUBSTITUTE(G115,";",REPT(" ",99)),1,99)))+1,99)),IF(TRIM(MID(SUBSTITUTE(G115,";",REPT(" ",99)),100,99))="","",IFERROR(VLOOKUP(--LEFT(TRIM(MID(SUBSTITUTE(G115,";",REPT(" ",99)),100,99)),FIND(":",TRIM(MID(SUBSTITUTE(G115,";",REPT(" ",99)),100,99)))-1),_Lookup!$A:$B,2,FALSE),"?")&amp;"×"&amp;MID(TRIM(MID(SUBSTITUTE(G115,";",REPT(" ",99)),100,99)),FIND(":",TRIM(MID(SUBSTITUTE(G115,";",REPT(" ",99)),100,99)))+1,99)),IF(TRIM(MID(SUBSTITUTE(G115,";",REPT(" ",99)),199,99))="","",IFERROR(VLOOKUP(--LEFT(TRIM(MID(SUBSTITUTE(G115,";",REPT(" ",99)),199,99)),FIND(":",TRIM(MID(SUBSTITUTE(G115,";",REPT(" ",99)),199,99)))-1),_Lookup!$A:$B,2,FALSE),"?")&amp;"×"&amp;MID(TRIM(MID(SUBSTITUTE(G115,";",REPT(" ",99)),199,99)),FIND(":",TRIM(MID(SUBSTITUTE(G115,";",REPT(" ",99)),199,99)))+1,99)),IF(TRIM(MID(SUBSTITUTE(G115,";",REPT(" ",99)),298,99))="","",IFERROR(VLOOKUP(--LEFT(TRIM(MID(SUBSTITUTE(G115,";",REPT(" ",99)),298,99)),FIND(":",TRIM(MID(SUBSTITUTE(G115,";",REPT(" ",99)),298,99)))-1),_Lookup!$A:$B,2,FALSE),"?")&amp;"×"&amp;MID(TRIM(MID(SUBSTITUTE(G115,";",REPT(" ",99)),298,99)),FIND(":",TRIM(MID(SUBSTITUTE(G115,";",REPT(" ",99)),298,99)))+1,99)),IF(TRIM(MID(SUBSTITUTE(G115,";",REPT(" ",99)),397,99))="","",IFERROR(VLOOKUP(--LEFT(TRIM(MID(SUBSTITUTE(G115,";",REPT(" ",99)),397,99)),FIND(":",TRIM(MID(SUBSTITUTE(G115,";",REPT(" ",99)),397,99)))-1),_Lookup!$A:$B,2,FALSE),"?")&amp;"×"&amp;MID(TRIM(MID(SUBSTITUTE(G115,";",REPT(" ",99)),397,99)),FIND(":",TRIM(MID(SUBSTITUTE(G115,";",REPT(" ",99)),397,99)))+1,99))))</f>
        <v/>
      </c>
    </row>
    <row r="116">
      <c r="C116" s="11">
        <f>IFERROR(VLOOKUP(B116,ItemData_Equipment!$A:$B,2,FALSE),"")</f>
        <v/>
      </c>
      <c r="H116" s="11">
        <f>IF(G116="","",TEXTJOIN("; ",TRUE,IF(TRIM(MID(SUBSTITUTE(G116,";",REPT(" ",99)),1,99))="","",IFERROR(VLOOKUP(--LEFT(TRIM(MID(SUBSTITUTE(G116,";",REPT(" ",99)),1,99)),FIND(":",TRIM(MID(SUBSTITUTE(G116,";",REPT(" ",99)),1,99)))-1),_Lookup!$A:$B,2,FALSE),"?")&amp;"×"&amp;MID(TRIM(MID(SUBSTITUTE(G116,";",REPT(" ",99)),1,99)),FIND(":",TRIM(MID(SUBSTITUTE(G116,";",REPT(" ",99)),1,99)))+1,99)),IF(TRIM(MID(SUBSTITUTE(G116,";",REPT(" ",99)),100,99))="","",IFERROR(VLOOKUP(--LEFT(TRIM(MID(SUBSTITUTE(G116,";",REPT(" ",99)),100,99)),FIND(":",TRIM(MID(SUBSTITUTE(G116,";",REPT(" ",99)),100,99)))-1),_Lookup!$A:$B,2,FALSE),"?")&amp;"×"&amp;MID(TRIM(MID(SUBSTITUTE(G116,";",REPT(" ",99)),100,99)),FIND(":",TRIM(MID(SUBSTITUTE(G116,";",REPT(" ",99)),100,99)))+1,99)),IF(TRIM(MID(SUBSTITUTE(G116,";",REPT(" ",99)),199,99))="","",IFERROR(VLOOKUP(--LEFT(TRIM(MID(SUBSTITUTE(G116,";",REPT(" ",99)),199,99)),FIND(":",TRIM(MID(SUBSTITUTE(G116,";",REPT(" ",99)),199,99)))-1),_Lookup!$A:$B,2,FALSE),"?")&amp;"×"&amp;MID(TRIM(MID(SUBSTITUTE(G116,";",REPT(" ",99)),199,99)),FIND(":",TRIM(MID(SUBSTITUTE(G116,";",REPT(" ",99)),199,99)))+1,99)),IF(TRIM(MID(SUBSTITUTE(G116,";",REPT(" ",99)),298,99))="","",IFERROR(VLOOKUP(--LEFT(TRIM(MID(SUBSTITUTE(G116,";",REPT(" ",99)),298,99)),FIND(":",TRIM(MID(SUBSTITUTE(G116,";",REPT(" ",99)),298,99)))-1),_Lookup!$A:$B,2,FALSE),"?")&amp;"×"&amp;MID(TRIM(MID(SUBSTITUTE(G116,";",REPT(" ",99)),298,99)),FIND(":",TRIM(MID(SUBSTITUTE(G116,";",REPT(" ",99)),298,99)))+1,99)),IF(TRIM(MID(SUBSTITUTE(G116,";",REPT(" ",99)),397,99))="","",IFERROR(VLOOKUP(--LEFT(TRIM(MID(SUBSTITUTE(G116,";",REPT(" ",99)),397,99)),FIND(":",TRIM(MID(SUBSTITUTE(G116,";",REPT(" ",99)),397,99)))-1),_Lookup!$A:$B,2,FALSE),"?")&amp;"×"&amp;MID(TRIM(MID(SUBSTITUTE(G116,";",REPT(" ",99)),397,99)),FIND(":",TRIM(MID(SUBSTITUTE(G116,";",REPT(" ",99)),397,99)))+1,99))))</f>
        <v/>
      </c>
    </row>
    <row r="117">
      <c r="C117" s="11">
        <f>IFERROR(VLOOKUP(B117,ItemData_Equipment!$A:$B,2,FALSE),"")</f>
        <v/>
      </c>
      <c r="H117" s="11">
        <f>IF(G117="","",TEXTJOIN("; ",TRUE,IF(TRIM(MID(SUBSTITUTE(G117,";",REPT(" ",99)),1,99))="","",IFERROR(VLOOKUP(--LEFT(TRIM(MID(SUBSTITUTE(G117,";",REPT(" ",99)),1,99)),FIND(":",TRIM(MID(SUBSTITUTE(G117,";",REPT(" ",99)),1,99)))-1),_Lookup!$A:$B,2,FALSE),"?")&amp;"×"&amp;MID(TRIM(MID(SUBSTITUTE(G117,";",REPT(" ",99)),1,99)),FIND(":",TRIM(MID(SUBSTITUTE(G117,";",REPT(" ",99)),1,99)))+1,99)),IF(TRIM(MID(SUBSTITUTE(G117,";",REPT(" ",99)),100,99))="","",IFERROR(VLOOKUP(--LEFT(TRIM(MID(SUBSTITUTE(G117,";",REPT(" ",99)),100,99)),FIND(":",TRIM(MID(SUBSTITUTE(G117,";",REPT(" ",99)),100,99)))-1),_Lookup!$A:$B,2,FALSE),"?")&amp;"×"&amp;MID(TRIM(MID(SUBSTITUTE(G117,";",REPT(" ",99)),100,99)),FIND(":",TRIM(MID(SUBSTITUTE(G117,";",REPT(" ",99)),100,99)))+1,99)),IF(TRIM(MID(SUBSTITUTE(G117,";",REPT(" ",99)),199,99))="","",IFERROR(VLOOKUP(--LEFT(TRIM(MID(SUBSTITUTE(G117,";",REPT(" ",99)),199,99)),FIND(":",TRIM(MID(SUBSTITUTE(G117,";",REPT(" ",99)),199,99)))-1),_Lookup!$A:$B,2,FALSE),"?")&amp;"×"&amp;MID(TRIM(MID(SUBSTITUTE(G117,";",REPT(" ",99)),199,99)),FIND(":",TRIM(MID(SUBSTITUTE(G117,";",REPT(" ",99)),199,99)))+1,99)),IF(TRIM(MID(SUBSTITUTE(G117,";",REPT(" ",99)),298,99))="","",IFERROR(VLOOKUP(--LEFT(TRIM(MID(SUBSTITUTE(G117,";",REPT(" ",99)),298,99)),FIND(":",TRIM(MID(SUBSTITUTE(G117,";",REPT(" ",99)),298,99)))-1),_Lookup!$A:$B,2,FALSE),"?")&amp;"×"&amp;MID(TRIM(MID(SUBSTITUTE(G117,";",REPT(" ",99)),298,99)),FIND(":",TRIM(MID(SUBSTITUTE(G117,";",REPT(" ",99)),298,99)))+1,99)),IF(TRIM(MID(SUBSTITUTE(G117,";",REPT(" ",99)),397,99))="","",IFERROR(VLOOKUP(--LEFT(TRIM(MID(SUBSTITUTE(G117,";",REPT(" ",99)),397,99)),FIND(":",TRIM(MID(SUBSTITUTE(G117,";",REPT(" ",99)),397,99)))-1),_Lookup!$A:$B,2,FALSE),"?")&amp;"×"&amp;MID(TRIM(MID(SUBSTITUTE(G117,";",REPT(" ",99)),397,99)),FIND(":",TRIM(MID(SUBSTITUTE(G117,";",REPT(" ",99)),397,99)))+1,99))))</f>
        <v/>
      </c>
    </row>
    <row r="118">
      <c r="C118" s="11">
        <f>IFERROR(VLOOKUP(B118,ItemData_Equipment!$A:$B,2,FALSE),"")</f>
        <v/>
      </c>
      <c r="H118" s="11">
        <f>IF(G118="","",TEXTJOIN("; ",TRUE,IF(TRIM(MID(SUBSTITUTE(G118,";",REPT(" ",99)),1,99))="","",IFERROR(VLOOKUP(--LEFT(TRIM(MID(SUBSTITUTE(G118,";",REPT(" ",99)),1,99)),FIND(":",TRIM(MID(SUBSTITUTE(G118,";",REPT(" ",99)),1,99)))-1),_Lookup!$A:$B,2,FALSE),"?")&amp;"×"&amp;MID(TRIM(MID(SUBSTITUTE(G118,";",REPT(" ",99)),1,99)),FIND(":",TRIM(MID(SUBSTITUTE(G118,";",REPT(" ",99)),1,99)))+1,99)),IF(TRIM(MID(SUBSTITUTE(G118,";",REPT(" ",99)),100,99))="","",IFERROR(VLOOKUP(--LEFT(TRIM(MID(SUBSTITUTE(G118,";",REPT(" ",99)),100,99)),FIND(":",TRIM(MID(SUBSTITUTE(G118,";",REPT(" ",99)),100,99)))-1),_Lookup!$A:$B,2,FALSE),"?")&amp;"×"&amp;MID(TRIM(MID(SUBSTITUTE(G118,";",REPT(" ",99)),100,99)),FIND(":",TRIM(MID(SUBSTITUTE(G118,";",REPT(" ",99)),100,99)))+1,99)),IF(TRIM(MID(SUBSTITUTE(G118,";",REPT(" ",99)),199,99))="","",IFERROR(VLOOKUP(--LEFT(TRIM(MID(SUBSTITUTE(G118,";",REPT(" ",99)),199,99)),FIND(":",TRIM(MID(SUBSTITUTE(G118,";",REPT(" ",99)),199,99)))-1),_Lookup!$A:$B,2,FALSE),"?")&amp;"×"&amp;MID(TRIM(MID(SUBSTITUTE(G118,";",REPT(" ",99)),199,99)),FIND(":",TRIM(MID(SUBSTITUTE(G118,";",REPT(" ",99)),199,99)))+1,99)),IF(TRIM(MID(SUBSTITUTE(G118,";",REPT(" ",99)),298,99))="","",IFERROR(VLOOKUP(--LEFT(TRIM(MID(SUBSTITUTE(G118,";",REPT(" ",99)),298,99)),FIND(":",TRIM(MID(SUBSTITUTE(G118,";",REPT(" ",99)),298,99)))-1),_Lookup!$A:$B,2,FALSE),"?")&amp;"×"&amp;MID(TRIM(MID(SUBSTITUTE(G118,";",REPT(" ",99)),298,99)),FIND(":",TRIM(MID(SUBSTITUTE(G118,";",REPT(" ",99)),298,99)))+1,99)),IF(TRIM(MID(SUBSTITUTE(G118,";",REPT(" ",99)),397,99))="","",IFERROR(VLOOKUP(--LEFT(TRIM(MID(SUBSTITUTE(G118,";",REPT(" ",99)),397,99)),FIND(":",TRIM(MID(SUBSTITUTE(G118,";",REPT(" ",99)),397,99)))-1),_Lookup!$A:$B,2,FALSE),"?")&amp;"×"&amp;MID(TRIM(MID(SUBSTITUTE(G118,";",REPT(" ",99)),397,99)),FIND(":",TRIM(MID(SUBSTITUTE(G118,";",REPT(" ",99)),397,99)))+1,99))))</f>
        <v/>
      </c>
    </row>
    <row r="119">
      <c r="C119" s="11">
        <f>IFERROR(VLOOKUP(B119,ItemData_Equipment!$A:$B,2,FALSE),"")</f>
        <v/>
      </c>
      <c r="H119" s="11">
        <f>IF(G119="","",TEXTJOIN("; ",TRUE,IF(TRIM(MID(SUBSTITUTE(G119,";",REPT(" ",99)),1,99))="","",IFERROR(VLOOKUP(--LEFT(TRIM(MID(SUBSTITUTE(G119,";",REPT(" ",99)),1,99)),FIND(":",TRIM(MID(SUBSTITUTE(G119,";",REPT(" ",99)),1,99)))-1),_Lookup!$A:$B,2,FALSE),"?")&amp;"×"&amp;MID(TRIM(MID(SUBSTITUTE(G119,";",REPT(" ",99)),1,99)),FIND(":",TRIM(MID(SUBSTITUTE(G119,";",REPT(" ",99)),1,99)))+1,99)),IF(TRIM(MID(SUBSTITUTE(G119,";",REPT(" ",99)),100,99))="","",IFERROR(VLOOKUP(--LEFT(TRIM(MID(SUBSTITUTE(G119,";",REPT(" ",99)),100,99)),FIND(":",TRIM(MID(SUBSTITUTE(G119,";",REPT(" ",99)),100,99)))-1),_Lookup!$A:$B,2,FALSE),"?")&amp;"×"&amp;MID(TRIM(MID(SUBSTITUTE(G119,";",REPT(" ",99)),100,99)),FIND(":",TRIM(MID(SUBSTITUTE(G119,";",REPT(" ",99)),100,99)))+1,99)),IF(TRIM(MID(SUBSTITUTE(G119,";",REPT(" ",99)),199,99))="","",IFERROR(VLOOKUP(--LEFT(TRIM(MID(SUBSTITUTE(G119,";",REPT(" ",99)),199,99)),FIND(":",TRIM(MID(SUBSTITUTE(G119,";",REPT(" ",99)),199,99)))-1),_Lookup!$A:$B,2,FALSE),"?")&amp;"×"&amp;MID(TRIM(MID(SUBSTITUTE(G119,";",REPT(" ",99)),199,99)),FIND(":",TRIM(MID(SUBSTITUTE(G119,";",REPT(" ",99)),199,99)))+1,99)),IF(TRIM(MID(SUBSTITUTE(G119,";",REPT(" ",99)),298,99))="","",IFERROR(VLOOKUP(--LEFT(TRIM(MID(SUBSTITUTE(G119,";",REPT(" ",99)),298,99)),FIND(":",TRIM(MID(SUBSTITUTE(G119,";",REPT(" ",99)),298,99)))-1),_Lookup!$A:$B,2,FALSE),"?")&amp;"×"&amp;MID(TRIM(MID(SUBSTITUTE(G119,";",REPT(" ",99)),298,99)),FIND(":",TRIM(MID(SUBSTITUTE(G119,";",REPT(" ",99)),298,99)))+1,99)),IF(TRIM(MID(SUBSTITUTE(G119,";",REPT(" ",99)),397,99))="","",IFERROR(VLOOKUP(--LEFT(TRIM(MID(SUBSTITUTE(G119,";",REPT(" ",99)),397,99)),FIND(":",TRIM(MID(SUBSTITUTE(G119,";",REPT(" ",99)),397,99)))-1),_Lookup!$A:$B,2,FALSE),"?")&amp;"×"&amp;MID(TRIM(MID(SUBSTITUTE(G119,";",REPT(" ",99)),397,99)),FIND(":",TRIM(MID(SUBSTITUTE(G119,";",REPT(" ",99)),397,99)))+1,99))))</f>
        <v/>
      </c>
    </row>
    <row r="120">
      <c r="C120" s="11">
        <f>IFERROR(VLOOKUP(B120,ItemData_Equipment!$A:$B,2,FALSE),"")</f>
        <v/>
      </c>
      <c r="H120" s="11">
        <f>IF(G120="","",TEXTJOIN("; ",TRUE,IF(TRIM(MID(SUBSTITUTE(G120,";",REPT(" ",99)),1,99))="","",IFERROR(VLOOKUP(--LEFT(TRIM(MID(SUBSTITUTE(G120,";",REPT(" ",99)),1,99)),FIND(":",TRIM(MID(SUBSTITUTE(G120,";",REPT(" ",99)),1,99)))-1),_Lookup!$A:$B,2,FALSE),"?")&amp;"×"&amp;MID(TRIM(MID(SUBSTITUTE(G120,";",REPT(" ",99)),1,99)),FIND(":",TRIM(MID(SUBSTITUTE(G120,";",REPT(" ",99)),1,99)))+1,99)),IF(TRIM(MID(SUBSTITUTE(G120,";",REPT(" ",99)),100,99))="","",IFERROR(VLOOKUP(--LEFT(TRIM(MID(SUBSTITUTE(G120,";",REPT(" ",99)),100,99)),FIND(":",TRIM(MID(SUBSTITUTE(G120,";",REPT(" ",99)),100,99)))-1),_Lookup!$A:$B,2,FALSE),"?")&amp;"×"&amp;MID(TRIM(MID(SUBSTITUTE(G120,";",REPT(" ",99)),100,99)),FIND(":",TRIM(MID(SUBSTITUTE(G120,";",REPT(" ",99)),100,99)))+1,99)),IF(TRIM(MID(SUBSTITUTE(G120,";",REPT(" ",99)),199,99))="","",IFERROR(VLOOKUP(--LEFT(TRIM(MID(SUBSTITUTE(G120,";",REPT(" ",99)),199,99)),FIND(":",TRIM(MID(SUBSTITUTE(G120,";",REPT(" ",99)),199,99)))-1),_Lookup!$A:$B,2,FALSE),"?")&amp;"×"&amp;MID(TRIM(MID(SUBSTITUTE(G120,";",REPT(" ",99)),199,99)),FIND(":",TRIM(MID(SUBSTITUTE(G120,";",REPT(" ",99)),199,99)))+1,99)),IF(TRIM(MID(SUBSTITUTE(G120,";",REPT(" ",99)),298,99))="","",IFERROR(VLOOKUP(--LEFT(TRIM(MID(SUBSTITUTE(G120,";",REPT(" ",99)),298,99)),FIND(":",TRIM(MID(SUBSTITUTE(G120,";",REPT(" ",99)),298,99)))-1),_Lookup!$A:$B,2,FALSE),"?")&amp;"×"&amp;MID(TRIM(MID(SUBSTITUTE(G120,";",REPT(" ",99)),298,99)),FIND(":",TRIM(MID(SUBSTITUTE(G120,";",REPT(" ",99)),298,99)))+1,99)),IF(TRIM(MID(SUBSTITUTE(G120,";",REPT(" ",99)),397,99))="","",IFERROR(VLOOKUP(--LEFT(TRIM(MID(SUBSTITUTE(G120,";",REPT(" ",99)),397,99)),FIND(":",TRIM(MID(SUBSTITUTE(G120,";",REPT(" ",99)),397,99)))-1),_Lookup!$A:$B,2,FALSE),"?")&amp;"×"&amp;MID(TRIM(MID(SUBSTITUTE(G120,";",REPT(" ",99)),397,99)),FIND(":",TRIM(MID(SUBSTITUTE(G120,";",REPT(" ",99)),397,99)))+1,99))))</f>
        <v/>
      </c>
    </row>
    <row r="121">
      <c r="C121" s="11">
        <f>IFERROR(VLOOKUP(B121,ItemData_Equipment!$A:$B,2,FALSE),"")</f>
        <v/>
      </c>
      <c r="H121" s="11">
        <f>IF(G121="","",TEXTJOIN("; ",TRUE,IF(TRIM(MID(SUBSTITUTE(G121,";",REPT(" ",99)),1,99))="","",IFERROR(VLOOKUP(--LEFT(TRIM(MID(SUBSTITUTE(G121,";",REPT(" ",99)),1,99)),FIND(":",TRIM(MID(SUBSTITUTE(G121,";",REPT(" ",99)),1,99)))-1),_Lookup!$A:$B,2,FALSE),"?")&amp;"×"&amp;MID(TRIM(MID(SUBSTITUTE(G121,";",REPT(" ",99)),1,99)),FIND(":",TRIM(MID(SUBSTITUTE(G121,";",REPT(" ",99)),1,99)))+1,99)),IF(TRIM(MID(SUBSTITUTE(G121,";",REPT(" ",99)),100,99))="","",IFERROR(VLOOKUP(--LEFT(TRIM(MID(SUBSTITUTE(G121,";",REPT(" ",99)),100,99)),FIND(":",TRIM(MID(SUBSTITUTE(G121,";",REPT(" ",99)),100,99)))-1),_Lookup!$A:$B,2,FALSE),"?")&amp;"×"&amp;MID(TRIM(MID(SUBSTITUTE(G121,";",REPT(" ",99)),100,99)),FIND(":",TRIM(MID(SUBSTITUTE(G121,";",REPT(" ",99)),100,99)))+1,99)),IF(TRIM(MID(SUBSTITUTE(G121,";",REPT(" ",99)),199,99))="","",IFERROR(VLOOKUP(--LEFT(TRIM(MID(SUBSTITUTE(G121,";",REPT(" ",99)),199,99)),FIND(":",TRIM(MID(SUBSTITUTE(G121,";",REPT(" ",99)),199,99)))-1),_Lookup!$A:$B,2,FALSE),"?")&amp;"×"&amp;MID(TRIM(MID(SUBSTITUTE(G121,";",REPT(" ",99)),199,99)),FIND(":",TRIM(MID(SUBSTITUTE(G121,";",REPT(" ",99)),199,99)))+1,99)),IF(TRIM(MID(SUBSTITUTE(G121,";",REPT(" ",99)),298,99))="","",IFERROR(VLOOKUP(--LEFT(TRIM(MID(SUBSTITUTE(G121,";",REPT(" ",99)),298,99)),FIND(":",TRIM(MID(SUBSTITUTE(G121,";",REPT(" ",99)),298,99)))-1),_Lookup!$A:$B,2,FALSE),"?")&amp;"×"&amp;MID(TRIM(MID(SUBSTITUTE(G121,";",REPT(" ",99)),298,99)),FIND(":",TRIM(MID(SUBSTITUTE(G121,";",REPT(" ",99)),298,99)))+1,99)),IF(TRIM(MID(SUBSTITUTE(G121,";",REPT(" ",99)),397,99))="","",IFERROR(VLOOKUP(--LEFT(TRIM(MID(SUBSTITUTE(G121,";",REPT(" ",99)),397,99)),FIND(":",TRIM(MID(SUBSTITUTE(G121,";",REPT(" ",99)),397,99)))-1),_Lookup!$A:$B,2,FALSE),"?")&amp;"×"&amp;MID(TRIM(MID(SUBSTITUTE(G121,";",REPT(" ",99)),397,99)),FIND(":",TRIM(MID(SUBSTITUTE(G121,";",REPT(" ",99)),397,99)))+1,99))))</f>
        <v/>
      </c>
    </row>
    <row r="122">
      <c r="C122" s="11">
        <f>IFERROR(VLOOKUP(B122,ItemData_Equipment!$A:$B,2,FALSE),"")</f>
        <v/>
      </c>
      <c r="H122" s="11">
        <f>IF(G122="","",TEXTJOIN("; ",TRUE,IF(TRIM(MID(SUBSTITUTE(G122,";",REPT(" ",99)),1,99))="","",IFERROR(VLOOKUP(--LEFT(TRIM(MID(SUBSTITUTE(G122,";",REPT(" ",99)),1,99)),FIND(":",TRIM(MID(SUBSTITUTE(G122,";",REPT(" ",99)),1,99)))-1),_Lookup!$A:$B,2,FALSE),"?")&amp;"×"&amp;MID(TRIM(MID(SUBSTITUTE(G122,";",REPT(" ",99)),1,99)),FIND(":",TRIM(MID(SUBSTITUTE(G122,";",REPT(" ",99)),1,99)))+1,99)),IF(TRIM(MID(SUBSTITUTE(G122,";",REPT(" ",99)),100,99))="","",IFERROR(VLOOKUP(--LEFT(TRIM(MID(SUBSTITUTE(G122,";",REPT(" ",99)),100,99)),FIND(":",TRIM(MID(SUBSTITUTE(G122,";",REPT(" ",99)),100,99)))-1),_Lookup!$A:$B,2,FALSE),"?")&amp;"×"&amp;MID(TRIM(MID(SUBSTITUTE(G122,";",REPT(" ",99)),100,99)),FIND(":",TRIM(MID(SUBSTITUTE(G122,";",REPT(" ",99)),100,99)))+1,99)),IF(TRIM(MID(SUBSTITUTE(G122,";",REPT(" ",99)),199,99))="","",IFERROR(VLOOKUP(--LEFT(TRIM(MID(SUBSTITUTE(G122,";",REPT(" ",99)),199,99)),FIND(":",TRIM(MID(SUBSTITUTE(G122,";",REPT(" ",99)),199,99)))-1),_Lookup!$A:$B,2,FALSE),"?")&amp;"×"&amp;MID(TRIM(MID(SUBSTITUTE(G122,";",REPT(" ",99)),199,99)),FIND(":",TRIM(MID(SUBSTITUTE(G122,";",REPT(" ",99)),199,99)))+1,99)),IF(TRIM(MID(SUBSTITUTE(G122,";",REPT(" ",99)),298,99))="","",IFERROR(VLOOKUP(--LEFT(TRIM(MID(SUBSTITUTE(G122,";",REPT(" ",99)),298,99)),FIND(":",TRIM(MID(SUBSTITUTE(G122,";",REPT(" ",99)),298,99)))-1),_Lookup!$A:$B,2,FALSE),"?")&amp;"×"&amp;MID(TRIM(MID(SUBSTITUTE(G122,";",REPT(" ",99)),298,99)),FIND(":",TRIM(MID(SUBSTITUTE(G122,";",REPT(" ",99)),298,99)))+1,99)),IF(TRIM(MID(SUBSTITUTE(G122,";",REPT(" ",99)),397,99))="","",IFERROR(VLOOKUP(--LEFT(TRIM(MID(SUBSTITUTE(G122,";",REPT(" ",99)),397,99)),FIND(":",TRIM(MID(SUBSTITUTE(G122,";",REPT(" ",99)),397,99)))-1),_Lookup!$A:$B,2,FALSE),"?")&amp;"×"&amp;MID(TRIM(MID(SUBSTITUTE(G122,";",REPT(" ",99)),397,99)),FIND(":",TRIM(MID(SUBSTITUTE(G122,";",REPT(" ",99)),397,99)))+1,99))))</f>
        <v/>
      </c>
    </row>
    <row r="123">
      <c r="C123" s="11">
        <f>IFERROR(VLOOKUP(B123,ItemData_Equipment!$A:$B,2,FALSE),"")</f>
        <v/>
      </c>
      <c r="H123" s="11">
        <f>IF(G123="","",TEXTJOIN("; ",TRUE,IF(TRIM(MID(SUBSTITUTE(G123,";",REPT(" ",99)),1,99))="","",IFERROR(VLOOKUP(--LEFT(TRIM(MID(SUBSTITUTE(G123,";",REPT(" ",99)),1,99)),FIND(":",TRIM(MID(SUBSTITUTE(G123,";",REPT(" ",99)),1,99)))-1),_Lookup!$A:$B,2,FALSE),"?")&amp;"×"&amp;MID(TRIM(MID(SUBSTITUTE(G123,";",REPT(" ",99)),1,99)),FIND(":",TRIM(MID(SUBSTITUTE(G123,";",REPT(" ",99)),1,99)))+1,99)),IF(TRIM(MID(SUBSTITUTE(G123,";",REPT(" ",99)),100,99))="","",IFERROR(VLOOKUP(--LEFT(TRIM(MID(SUBSTITUTE(G123,";",REPT(" ",99)),100,99)),FIND(":",TRIM(MID(SUBSTITUTE(G123,";",REPT(" ",99)),100,99)))-1),_Lookup!$A:$B,2,FALSE),"?")&amp;"×"&amp;MID(TRIM(MID(SUBSTITUTE(G123,";",REPT(" ",99)),100,99)),FIND(":",TRIM(MID(SUBSTITUTE(G123,";",REPT(" ",99)),100,99)))+1,99)),IF(TRIM(MID(SUBSTITUTE(G123,";",REPT(" ",99)),199,99))="","",IFERROR(VLOOKUP(--LEFT(TRIM(MID(SUBSTITUTE(G123,";",REPT(" ",99)),199,99)),FIND(":",TRIM(MID(SUBSTITUTE(G123,";",REPT(" ",99)),199,99)))-1),_Lookup!$A:$B,2,FALSE),"?")&amp;"×"&amp;MID(TRIM(MID(SUBSTITUTE(G123,";",REPT(" ",99)),199,99)),FIND(":",TRIM(MID(SUBSTITUTE(G123,";",REPT(" ",99)),199,99)))+1,99)),IF(TRIM(MID(SUBSTITUTE(G123,";",REPT(" ",99)),298,99))="","",IFERROR(VLOOKUP(--LEFT(TRIM(MID(SUBSTITUTE(G123,";",REPT(" ",99)),298,99)),FIND(":",TRIM(MID(SUBSTITUTE(G123,";",REPT(" ",99)),298,99)))-1),_Lookup!$A:$B,2,FALSE),"?")&amp;"×"&amp;MID(TRIM(MID(SUBSTITUTE(G123,";",REPT(" ",99)),298,99)),FIND(":",TRIM(MID(SUBSTITUTE(G123,";",REPT(" ",99)),298,99)))+1,99)),IF(TRIM(MID(SUBSTITUTE(G123,";",REPT(" ",99)),397,99))="","",IFERROR(VLOOKUP(--LEFT(TRIM(MID(SUBSTITUTE(G123,";",REPT(" ",99)),397,99)),FIND(":",TRIM(MID(SUBSTITUTE(G123,";",REPT(" ",99)),397,99)))-1),_Lookup!$A:$B,2,FALSE),"?")&amp;"×"&amp;MID(TRIM(MID(SUBSTITUTE(G123,";",REPT(" ",99)),397,99)),FIND(":",TRIM(MID(SUBSTITUTE(G123,";",REPT(" ",99)),397,99)))+1,99))))</f>
        <v/>
      </c>
    </row>
    <row r="124">
      <c r="C124" s="11">
        <f>IFERROR(VLOOKUP(B124,ItemData_Equipment!$A:$B,2,FALSE),"")</f>
        <v/>
      </c>
      <c r="H124" s="11">
        <f>IF(G124="","",TEXTJOIN("; ",TRUE,IF(TRIM(MID(SUBSTITUTE(G124,";",REPT(" ",99)),1,99))="","",IFERROR(VLOOKUP(--LEFT(TRIM(MID(SUBSTITUTE(G124,";",REPT(" ",99)),1,99)),FIND(":",TRIM(MID(SUBSTITUTE(G124,";",REPT(" ",99)),1,99)))-1),_Lookup!$A:$B,2,FALSE),"?")&amp;"×"&amp;MID(TRIM(MID(SUBSTITUTE(G124,";",REPT(" ",99)),1,99)),FIND(":",TRIM(MID(SUBSTITUTE(G124,";",REPT(" ",99)),1,99)))+1,99)),IF(TRIM(MID(SUBSTITUTE(G124,";",REPT(" ",99)),100,99))="","",IFERROR(VLOOKUP(--LEFT(TRIM(MID(SUBSTITUTE(G124,";",REPT(" ",99)),100,99)),FIND(":",TRIM(MID(SUBSTITUTE(G124,";",REPT(" ",99)),100,99)))-1),_Lookup!$A:$B,2,FALSE),"?")&amp;"×"&amp;MID(TRIM(MID(SUBSTITUTE(G124,";",REPT(" ",99)),100,99)),FIND(":",TRIM(MID(SUBSTITUTE(G124,";",REPT(" ",99)),100,99)))+1,99)),IF(TRIM(MID(SUBSTITUTE(G124,";",REPT(" ",99)),199,99))="","",IFERROR(VLOOKUP(--LEFT(TRIM(MID(SUBSTITUTE(G124,";",REPT(" ",99)),199,99)),FIND(":",TRIM(MID(SUBSTITUTE(G124,";",REPT(" ",99)),199,99)))-1),_Lookup!$A:$B,2,FALSE),"?")&amp;"×"&amp;MID(TRIM(MID(SUBSTITUTE(G124,";",REPT(" ",99)),199,99)),FIND(":",TRIM(MID(SUBSTITUTE(G124,";",REPT(" ",99)),199,99)))+1,99)),IF(TRIM(MID(SUBSTITUTE(G124,";",REPT(" ",99)),298,99))="","",IFERROR(VLOOKUP(--LEFT(TRIM(MID(SUBSTITUTE(G124,";",REPT(" ",99)),298,99)),FIND(":",TRIM(MID(SUBSTITUTE(G124,";",REPT(" ",99)),298,99)))-1),_Lookup!$A:$B,2,FALSE),"?")&amp;"×"&amp;MID(TRIM(MID(SUBSTITUTE(G124,";",REPT(" ",99)),298,99)),FIND(":",TRIM(MID(SUBSTITUTE(G124,";",REPT(" ",99)),298,99)))+1,99)),IF(TRIM(MID(SUBSTITUTE(G124,";",REPT(" ",99)),397,99))="","",IFERROR(VLOOKUP(--LEFT(TRIM(MID(SUBSTITUTE(G124,";",REPT(" ",99)),397,99)),FIND(":",TRIM(MID(SUBSTITUTE(G124,";",REPT(" ",99)),397,99)))-1),_Lookup!$A:$B,2,FALSE),"?")&amp;"×"&amp;MID(TRIM(MID(SUBSTITUTE(G124,";",REPT(" ",99)),397,99)),FIND(":",TRIM(MID(SUBSTITUTE(G124,";",REPT(" ",99)),397,99)))+1,99))))</f>
        <v/>
      </c>
    </row>
    <row r="125">
      <c r="C125" s="11">
        <f>IFERROR(VLOOKUP(B125,ItemData_Equipment!$A:$B,2,FALSE),"")</f>
        <v/>
      </c>
      <c r="H125" s="11">
        <f>IF(G125="","",TEXTJOIN("; ",TRUE,IF(TRIM(MID(SUBSTITUTE(G125,";",REPT(" ",99)),1,99))="","",IFERROR(VLOOKUP(--LEFT(TRIM(MID(SUBSTITUTE(G125,";",REPT(" ",99)),1,99)),FIND(":",TRIM(MID(SUBSTITUTE(G125,";",REPT(" ",99)),1,99)))-1),_Lookup!$A:$B,2,FALSE),"?")&amp;"×"&amp;MID(TRIM(MID(SUBSTITUTE(G125,";",REPT(" ",99)),1,99)),FIND(":",TRIM(MID(SUBSTITUTE(G125,";",REPT(" ",99)),1,99)))+1,99)),IF(TRIM(MID(SUBSTITUTE(G125,";",REPT(" ",99)),100,99))="","",IFERROR(VLOOKUP(--LEFT(TRIM(MID(SUBSTITUTE(G125,";",REPT(" ",99)),100,99)),FIND(":",TRIM(MID(SUBSTITUTE(G125,";",REPT(" ",99)),100,99)))-1),_Lookup!$A:$B,2,FALSE),"?")&amp;"×"&amp;MID(TRIM(MID(SUBSTITUTE(G125,";",REPT(" ",99)),100,99)),FIND(":",TRIM(MID(SUBSTITUTE(G125,";",REPT(" ",99)),100,99)))+1,99)),IF(TRIM(MID(SUBSTITUTE(G125,";",REPT(" ",99)),199,99))="","",IFERROR(VLOOKUP(--LEFT(TRIM(MID(SUBSTITUTE(G125,";",REPT(" ",99)),199,99)),FIND(":",TRIM(MID(SUBSTITUTE(G125,";",REPT(" ",99)),199,99)))-1),_Lookup!$A:$B,2,FALSE),"?")&amp;"×"&amp;MID(TRIM(MID(SUBSTITUTE(G125,";",REPT(" ",99)),199,99)),FIND(":",TRIM(MID(SUBSTITUTE(G125,";",REPT(" ",99)),199,99)))+1,99)),IF(TRIM(MID(SUBSTITUTE(G125,";",REPT(" ",99)),298,99))="","",IFERROR(VLOOKUP(--LEFT(TRIM(MID(SUBSTITUTE(G125,";",REPT(" ",99)),298,99)),FIND(":",TRIM(MID(SUBSTITUTE(G125,";",REPT(" ",99)),298,99)))-1),_Lookup!$A:$B,2,FALSE),"?")&amp;"×"&amp;MID(TRIM(MID(SUBSTITUTE(G125,";",REPT(" ",99)),298,99)),FIND(":",TRIM(MID(SUBSTITUTE(G125,";",REPT(" ",99)),298,99)))+1,99)),IF(TRIM(MID(SUBSTITUTE(G125,";",REPT(" ",99)),397,99))="","",IFERROR(VLOOKUP(--LEFT(TRIM(MID(SUBSTITUTE(G125,";",REPT(" ",99)),397,99)),FIND(":",TRIM(MID(SUBSTITUTE(G125,";",REPT(" ",99)),397,99)))-1),_Lookup!$A:$B,2,FALSE),"?")&amp;"×"&amp;MID(TRIM(MID(SUBSTITUTE(G125,";",REPT(" ",99)),397,99)),FIND(":",TRIM(MID(SUBSTITUTE(G125,";",REPT(" ",99)),397,99)))+1,99))))</f>
        <v/>
      </c>
    </row>
    <row r="126">
      <c r="C126" s="11">
        <f>IFERROR(VLOOKUP(B126,ItemData_Equipment!$A:$B,2,FALSE),"")</f>
        <v/>
      </c>
      <c r="H126" s="11">
        <f>IF(G126="","",TEXTJOIN("; ",TRUE,IF(TRIM(MID(SUBSTITUTE(G126,";",REPT(" ",99)),1,99))="","",IFERROR(VLOOKUP(--LEFT(TRIM(MID(SUBSTITUTE(G126,";",REPT(" ",99)),1,99)),FIND(":",TRIM(MID(SUBSTITUTE(G126,";",REPT(" ",99)),1,99)))-1),_Lookup!$A:$B,2,FALSE),"?")&amp;"×"&amp;MID(TRIM(MID(SUBSTITUTE(G126,";",REPT(" ",99)),1,99)),FIND(":",TRIM(MID(SUBSTITUTE(G126,";",REPT(" ",99)),1,99)))+1,99)),IF(TRIM(MID(SUBSTITUTE(G126,";",REPT(" ",99)),100,99))="","",IFERROR(VLOOKUP(--LEFT(TRIM(MID(SUBSTITUTE(G126,";",REPT(" ",99)),100,99)),FIND(":",TRIM(MID(SUBSTITUTE(G126,";",REPT(" ",99)),100,99)))-1),_Lookup!$A:$B,2,FALSE),"?")&amp;"×"&amp;MID(TRIM(MID(SUBSTITUTE(G126,";",REPT(" ",99)),100,99)),FIND(":",TRIM(MID(SUBSTITUTE(G126,";",REPT(" ",99)),100,99)))+1,99)),IF(TRIM(MID(SUBSTITUTE(G126,";",REPT(" ",99)),199,99))="","",IFERROR(VLOOKUP(--LEFT(TRIM(MID(SUBSTITUTE(G126,";",REPT(" ",99)),199,99)),FIND(":",TRIM(MID(SUBSTITUTE(G126,";",REPT(" ",99)),199,99)))-1),_Lookup!$A:$B,2,FALSE),"?")&amp;"×"&amp;MID(TRIM(MID(SUBSTITUTE(G126,";",REPT(" ",99)),199,99)),FIND(":",TRIM(MID(SUBSTITUTE(G126,";",REPT(" ",99)),199,99)))+1,99)),IF(TRIM(MID(SUBSTITUTE(G126,";",REPT(" ",99)),298,99))="","",IFERROR(VLOOKUP(--LEFT(TRIM(MID(SUBSTITUTE(G126,";",REPT(" ",99)),298,99)),FIND(":",TRIM(MID(SUBSTITUTE(G126,";",REPT(" ",99)),298,99)))-1),_Lookup!$A:$B,2,FALSE),"?")&amp;"×"&amp;MID(TRIM(MID(SUBSTITUTE(G126,";",REPT(" ",99)),298,99)),FIND(":",TRIM(MID(SUBSTITUTE(G126,";",REPT(" ",99)),298,99)))+1,99)),IF(TRIM(MID(SUBSTITUTE(G126,";",REPT(" ",99)),397,99))="","",IFERROR(VLOOKUP(--LEFT(TRIM(MID(SUBSTITUTE(G126,";",REPT(" ",99)),397,99)),FIND(":",TRIM(MID(SUBSTITUTE(G126,";",REPT(" ",99)),397,99)))-1),_Lookup!$A:$B,2,FALSE),"?")&amp;"×"&amp;MID(TRIM(MID(SUBSTITUTE(G126,";",REPT(" ",99)),397,99)),FIND(":",TRIM(MID(SUBSTITUTE(G126,";",REPT(" ",99)),397,99)))+1,99))))</f>
        <v/>
      </c>
    </row>
    <row r="127">
      <c r="C127" s="11">
        <f>IFERROR(VLOOKUP(B127,ItemData_Equipment!$A:$B,2,FALSE),"")</f>
        <v/>
      </c>
      <c r="H127" s="11">
        <f>IF(G127="","",TEXTJOIN("; ",TRUE,IF(TRIM(MID(SUBSTITUTE(G127,";",REPT(" ",99)),1,99))="","",IFERROR(VLOOKUP(--LEFT(TRIM(MID(SUBSTITUTE(G127,";",REPT(" ",99)),1,99)),FIND(":",TRIM(MID(SUBSTITUTE(G127,";",REPT(" ",99)),1,99)))-1),_Lookup!$A:$B,2,FALSE),"?")&amp;"×"&amp;MID(TRIM(MID(SUBSTITUTE(G127,";",REPT(" ",99)),1,99)),FIND(":",TRIM(MID(SUBSTITUTE(G127,";",REPT(" ",99)),1,99)))+1,99)),IF(TRIM(MID(SUBSTITUTE(G127,";",REPT(" ",99)),100,99))="","",IFERROR(VLOOKUP(--LEFT(TRIM(MID(SUBSTITUTE(G127,";",REPT(" ",99)),100,99)),FIND(":",TRIM(MID(SUBSTITUTE(G127,";",REPT(" ",99)),100,99)))-1),_Lookup!$A:$B,2,FALSE),"?")&amp;"×"&amp;MID(TRIM(MID(SUBSTITUTE(G127,";",REPT(" ",99)),100,99)),FIND(":",TRIM(MID(SUBSTITUTE(G127,";",REPT(" ",99)),100,99)))+1,99)),IF(TRIM(MID(SUBSTITUTE(G127,";",REPT(" ",99)),199,99))="","",IFERROR(VLOOKUP(--LEFT(TRIM(MID(SUBSTITUTE(G127,";",REPT(" ",99)),199,99)),FIND(":",TRIM(MID(SUBSTITUTE(G127,";",REPT(" ",99)),199,99)))-1),_Lookup!$A:$B,2,FALSE),"?")&amp;"×"&amp;MID(TRIM(MID(SUBSTITUTE(G127,";",REPT(" ",99)),199,99)),FIND(":",TRIM(MID(SUBSTITUTE(G127,";",REPT(" ",99)),199,99)))+1,99)),IF(TRIM(MID(SUBSTITUTE(G127,";",REPT(" ",99)),298,99))="","",IFERROR(VLOOKUP(--LEFT(TRIM(MID(SUBSTITUTE(G127,";",REPT(" ",99)),298,99)),FIND(":",TRIM(MID(SUBSTITUTE(G127,";",REPT(" ",99)),298,99)))-1),_Lookup!$A:$B,2,FALSE),"?")&amp;"×"&amp;MID(TRIM(MID(SUBSTITUTE(G127,";",REPT(" ",99)),298,99)),FIND(":",TRIM(MID(SUBSTITUTE(G127,";",REPT(" ",99)),298,99)))+1,99)),IF(TRIM(MID(SUBSTITUTE(G127,";",REPT(" ",99)),397,99))="","",IFERROR(VLOOKUP(--LEFT(TRIM(MID(SUBSTITUTE(G127,";",REPT(" ",99)),397,99)),FIND(":",TRIM(MID(SUBSTITUTE(G127,";",REPT(" ",99)),397,99)))-1),_Lookup!$A:$B,2,FALSE),"?")&amp;"×"&amp;MID(TRIM(MID(SUBSTITUTE(G127,";",REPT(" ",99)),397,99)),FIND(":",TRIM(MID(SUBSTITUTE(G127,";",REPT(" ",99)),397,99)))+1,99))))</f>
        <v/>
      </c>
    </row>
    <row r="128">
      <c r="C128" s="11">
        <f>IFERROR(VLOOKUP(B128,ItemData_Equipment!$A:$B,2,FALSE),"")</f>
        <v/>
      </c>
      <c r="H128" s="11">
        <f>IF(G128="","",TEXTJOIN("; ",TRUE,IF(TRIM(MID(SUBSTITUTE(G128,";",REPT(" ",99)),1,99))="","",IFERROR(VLOOKUP(--LEFT(TRIM(MID(SUBSTITUTE(G128,";",REPT(" ",99)),1,99)),FIND(":",TRIM(MID(SUBSTITUTE(G128,";",REPT(" ",99)),1,99)))-1),_Lookup!$A:$B,2,FALSE),"?")&amp;"×"&amp;MID(TRIM(MID(SUBSTITUTE(G128,";",REPT(" ",99)),1,99)),FIND(":",TRIM(MID(SUBSTITUTE(G128,";",REPT(" ",99)),1,99)))+1,99)),IF(TRIM(MID(SUBSTITUTE(G128,";",REPT(" ",99)),100,99))="","",IFERROR(VLOOKUP(--LEFT(TRIM(MID(SUBSTITUTE(G128,";",REPT(" ",99)),100,99)),FIND(":",TRIM(MID(SUBSTITUTE(G128,";",REPT(" ",99)),100,99)))-1),_Lookup!$A:$B,2,FALSE),"?")&amp;"×"&amp;MID(TRIM(MID(SUBSTITUTE(G128,";",REPT(" ",99)),100,99)),FIND(":",TRIM(MID(SUBSTITUTE(G128,";",REPT(" ",99)),100,99)))+1,99)),IF(TRIM(MID(SUBSTITUTE(G128,";",REPT(" ",99)),199,99))="","",IFERROR(VLOOKUP(--LEFT(TRIM(MID(SUBSTITUTE(G128,";",REPT(" ",99)),199,99)),FIND(":",TRIM(MID(SUBSTITUTE(G128,";",REPT(" ",99)),199,99)))-1),_Lookup!$A:$B,2,FALSE),"?")&amp;"×"&amp;MID(TRIM(MID(SUBSTITUTE(G128,";",REPT(" ",99)),199,99)),FIND(":",TRIM(MID(SUBSTITUTE(G128,";",REPT(" ",99)),199,99)))+1,99)),IF(TRIM(MID(SUBSTITUTE(G128,";",REPT(" ",99)),298,99))="","",IFERROR(VLOOKUP(--LEFT(TRIM(MID(SUBSTITUTE(G128,";",REPT(" ",99)),298,99)),FIND(":",TRIM(MID(SUBSTITUTE(G128,";",REPT(" ",99)),298,99)))-1),_Lookup!$A:$B,2,FALSE),"?")&amp;"×"&amp;MID(TRIM(MID(SUBSTITUTE(G128,";",REPT(" ",99)),298,99)),FIND(":",TRIM(MID(SUBSTITUTE(G128,";",REPT(" ",99)),298,99)))+1,99)),IF(TRIM(MID(SUBSTITUTE(G128,";",REPT(" ",99)),397,99))="","",IFERROR(VLOOKUP(--LEFT(TRIM(MID(SUBSTITUTE(G128,";",REPT(" ",99)),397,99)),FIND(":",TRIM(MID(SUBSTITUTE(G128,";",REPT(" ",99)),397,99)))-1),_Lookup!$A:$B,2,FALSE),"?")&amp;"×"&amp;MID(TRIM(MID(SUBSTITUTE(G128,";",REPT(" ",99)),397,99)),FIND(":",TRIM(MID(SUBSTITUTE(G128,";",REPT(" ",99)),397,99)))+1,99))))</f>
        <v/>
      </c>
    </row>
    <row r="129">
      <c r="C129" s="11">
        <f>IFERROR(VLOOKUP(B129,ItemData_Equipment!$A:$B,2,FALSE),"")</f>
        <v/>
      </c>
      <c r="H129" s="11">
        <f>IF(G129="","",TEXTJOIN("; ",TRUE,IF(TRIM(MID(SUBSTITUTE(G129,";",REPT(" ",99)),1,99))="","",IFERROR(VLOOKUP(--LEFT(TRIM(MID(SUBSTITUTE(G129,";",REPT(" ",99)),1,99)),FIND(":",TRIM(MID(SUBSTITUTE(G129,";",REPT(" ",99)),1,99)))-1),_Lookup!$A:$B,2,FALSE),"?")&amp;"×"&amp;MID(TRIM(MID(SUBSTITUTE(G129,";",REPT(" ",99)),1,99)),FIND(":",TRIM(MID(SUBSTITUTE(G129,";",REPT(" ",99)),1,99)))+1,99)),IF(TRIM(MID(SUBSTITUTE(G129,";",REPT(" ",99)),100,99))="","",IFERROR(VLOOKUP(--LEFT(TRIM(MID(SUBSTITUTE(G129,";",REPT(" ",99)),100,99)),FIND(":",TRIM(MID(SUBSTITUTE(G129,";",REPT(" ",99)),100,99)))-1),_Lookup!$A:$B,2,FALSE),"?")&amp;"×"&amp;MID(TRIM(MID(SUBSTITUTE(G129,";",REPT(" ",99)),100,99)),FIND(":",TRIM(MID(SUBSTITUTE(G129,";",REPT(" ",99)),100,99)))+1,99)),IF(TRIM(MID(SUBSTITUTE(G129,";",REPT(" ",99)),199,99))="","",IFERROR(VLOOKUP(--LEFT(TRIM(MID(SUBSTITUTE(G129,";",REPT(" ",99)),199,99)),FIND(":",TRIM(MID(SUBSTITUTE(G129,";",REPT(" ",99)),199,99)))-1),_Lookup!$A:$B,2,FALSE),"?")&amp;"×"&amp;MID(TRIM(MID(SUBSTITUTE(G129,";",REPT(" ",99)),199,99)),FIND(":",TRIM(MID(SUBSTITUTE(G129,";",REPT(" ",99)),199,99)))+1,99)),IF(TRIM(MID(SUBSTITUTE(G129,";",REPT(" ",99)),298,99))="","",IFERROR(VLOOKUP(--LEFT(TRIM(MID(SUBSTITUTE(G129,";",REPT(" ",99)),298,99)),FIND(":",TRIM(MID(SUBSTITUTE(G129,";",REPT(" ",99)),298,99)))-1),_Lookup!$A:$B,2,FALSE),"?")&amp;"×"&amp;MID(TRIM(MID(SUBSTITUTE(G129,";",REPT(" ",99)),298,99)),FIND(":",TRIM(MID(SUBSTITUTE(G129,";",REPT(" ",99)),298,99)))+1,99)),IF(TRIM(MID(SUBSTITUTE(G129,";",REPT(" ",99)),397,99))="","",IFERROR(VLOOKUP(--LEFT(TRIM(MID(SUBSTITUTE(G129,";",REPT(" ",99)),397,99)),FIND(":",TRIM(MID(SUBSTITUTE(G129,";",REPT(" ",99)),397,99)))-1),_Lookup!$A:$B,2,FALSE),"?")&amp;"×"&amp;MID(TRIM(MID(SUBSTITUTE(G129,";",REPT(" ",99)),397,99)),FIND(":",TRIM(MID(SUBSTITUTE(G129,";",REPT(" ",99)),397,99)))+1,99))))</f>
        <v/>
      </c>
    </row>
    <row r="130">
      <c r="C130" s="11">
        <f>IFERROR(VLOOKUP(B130,ItemData_Equipment!$A:$B,2,FALSE),"")</f>
        <v/>
      </c>
      <c r="H130" s="11">
        <f>IF(G130="","",TEXTJOIN("; ",TRUE,IF(TRIM(MID(SUBSTITUTE(G130,";",REPT(" ",99)),1,99))="","",IFERROR(VLOOKUP(--LEFT(TRIM(MID(SUBSTITUTE(G130,";",REPT(" ",99)),1,99)),FIND(":",TRIM(MID(SUBSTITUTE(G130,";",REPT(" ",99)),1,99)))-1),_Lookup!$A:$B,2,FALSE),"?")&amp;"×"&amp;MID(TRIM(MID(SUBSTITUTE(G130,";",REPT(" ",99)),1,99)),FIND(":",TRIM(MID(SUBSTITUTE(G130,";",REPT(" ",99)),1,99)))+1,99)),IF(TRIM(MID(SUBSTITUTE(G130,";",REPT(" ",99)),100,99))="","",IFERROR(VLOOKUP(--LEFT(TRIM(MID(SUBSTITUTE(G130,";",REPT(" ",99)),100,99)),FIND(":",TRIM(MID(SUBSTITUTE(G130,";",REPT(" ",99)),100,99)))-1),_Lookup!$A:$B,2,FALSE),"?")&amp;"×"&amp;MID(TRIM(MID(SUBSTITUTE(G130,";",REPT(" ",99)),100,99)),FIND(":",TRIM(MID(SUBSTITUTE(G130,";",REPT(" ",99)),100,99)))+1,99)),IF(TRIM(MID(SUBSTITUTE(G130,";",REPT(" ",99)),199,99))="","",IFERROR(VLOOKUP(--LEFT(TRIM(MID(SUBSTITUTE(G130,";",REPT(" ",99)),199,99)),FIND(":",TRIM(MID(SUBSTITUTE(G130,";",REPT(" ",99)),199,99)))-1),_Lookup!$A:$B,2,FALSE),"?")&amp;"×"&amp;MID(TRIM(MID(SUBSTITUTE(G130,";",REPT(" ",99)),199,99)),FIND(":",TRIM(MID(SUBSTITUTE(G130,";",REPT(" ",99)),199,99)))+1,99)),IF(TRIM(MID(SUBSTITUTE(G130,";",REPT(" ",99)),298,99))="","",IFERROR(VLOOKUP(--LEFT(TRIM(MID(SUBSTITUTE(G130,";",REPT(" ",99)),298,99)),FIND(":",TRIM(MID(SUBSTITUTE(G130,";",REPT(" ",99)),298,99)))-1),_Lookup!$A:$B,2,FALSE),"?")&amp;"×"&amp;MID(TRIM(MID(SUBSTITUTE(G130,";",REPT(" ",99)),298,99)),FIND(":",TRIM(MID(SUBSTITUTE(G130,";",REPT(" ",99)),298,99)))+1,99)),IF(TRIM(MID(SUBSTITUTE(G130,";",REPT(" ",99)),397,99))="","",IFERROR(VLOOKUP(--LEFT(TRIM(MID(SUBSTITUTE(G130,";",REPT(" ",99)),397,99)),FIND(":",TRIM(MID(SUBSTITUTE(G130,";",REPT(" ",99)),397,99)))-1),_Lookup!$A:$B,2,FALSE),"?")&amp;"×"&amp;MID(TRIM(MID(SUBSTITUTE(G130,";",REPT(" ",99)),397,99)),FIND(":",TRIM(MID(SUBSTITUTE(G130,";",REPT(" ",99)),397,99)))+1,99))))</f>
        <v/>
      </c>
    </row>
    <row r="131">
      <c r="C131" s="11">
        <f>IFERROR(VLOOKUP(B131,ItemData_Equipment!$A:$B,2,FALSE),"")</f>
        <v/>
      </c>
      <c r="H131" s="11">
        <f>IF(G131="","",TEXTJOIN("; ",TRUE,IF(TRIM(MID(SUBSTITUTE(G131,";",REPT(" ",99)),1,99))="","",IFERROR(VLOOKUP(--LEFT(TRIM(MID(SUBSTITUTE(G131,";",REPT(" ",99)),1,99)),FIND(":",TRIM(MID(SUBSTITUTE(G131,";",REPT(" ",99)),1,99)))-1),_Lookup!$A:$B,2,FALSE),"?")&amp;"×"&amp;MID(TRIM(MID(SUBSTITUTE(G131,";",REPT(" ",99)),1,99)),FIND(":",TRIM(MID(SUBSTITUTE(G131,";",REPT(" ",99)),1,99)))+1,99)),IF(TRIM(MID(SUBSTITUTE(G131,";",REPT(" ",99)),100,99))="","",IFERROR(VLOOKUP(--LEFT(TRIM(MID(SUBSTITUTE(G131,";",REPT(" ",99)),100,99)),FIND(":",TRIM(MID(SUBSTITUTE(G131,";",REPT(" ",99)),100,99)))-1),_Lookup!$A:$B,2,FALSE),"?")&amp;"×"&amp;MID(TRIM(MID(SUBSTITUTE(G131,";",REPT(" ",99)),100,99)),FIND(":",TRIM(MID(SUBSTITUTE(G131,";",REPT(" ",99)),100,99)))+1,99)),IF(TRIM(MID(SUBSTITUTE(G131,";",REPT(" ",99)),199,99))="","",IFERROR(VLOOKUP(--LEFT(TRIM(MID(SUBSTITUTE(G131,";",REPT(" ",99)),199,99)),FIND(":",TRIM(MID(SUBSTITUTE(G131,";",REPT(" ",99)),199,99)))-1),_Lookup!$A:$B,2,FALSE),"?")&amp;"×"&amp;MID(TRIM(MID(SUBSTITUTE(G131,";",REPT(" ",99)),199,99)),FIND(":",TRIM(MID(SUBSTITUTE(G131,";",REPT(" ",99)),199,99)))+1,99)),IF(TRIM(MID(SUBSTITUTE(G131,";",REPT(" ",99)),298,99))="","",IFERROR(VLOOKUP(--LEFT(TRIM(MID(SUBSTITUTE(G131,";",REPT(" ",99)),298,99)),FIND(":",TRIM(MID(SUBSTITUTE(G131,";",REPT(" ",99)),298,99)))-1),_Lookup!$A:$B,2,FALSE),"?")&amp;"×"&amp;MID(TRIM(MID(SUBSTITUTE(G131,";",REPT(" ",99)),298,99)),FIND(":",TRIM(MID(SUBSTITUTE(G131,";",REPT(" ",99)),298,99)))+1,99)),IF(TRIM(MID(SUBSTITUTE(G131,";",REPT(" ",99)),397,99))="","",IFERROR(VLOOKUP(--LEFT(TRIM(MID(SUBSTITUTE(G131,";",REPT(" ",99)),397,99)),FIND(":",TRIM(MID(SUBSTITUTE(G131,";",REPT(" ",99)),397,99)))-1),_Lookup!$A:$B,2,FALSE),"?")&amp;"×"&amp;MID(TRIM(MID(SUBSTITUTE(G131,";",REPT(" ",99)),397,99)),FIND(":",TRIM(MID(SUBSTITUTE(G131,";",REPT(" ",99)),397,99)))+1,99))))</f>
        <v/>
      </c>
    </row>
    <row r="132">
      <c r="C132" s="11">
        <f>IFERROR(VLOOKUP(B132,ItemData_Equipment!$A:$B,2,FALSE),"")</f>
        <v/>
      </c>
      <c r="H132" s="11">
        <f>IF(G132="","",TEXTJOIN("; ",TRUE,IF(TRIM(MID(SUBSTITUTE(G132,";",REPT(" ",99)),1,99))="","",IFERROR(VLOOKUP(--LEFT(TRIM(MID(SUBSTITUTE(G132,";",REPT(" ",99)),1,99)),FIND(":",TRIM(MID(SUBSTITUTE(G132,";",REPT(" ",99)),1,99)))-1),_Lookup!$A:$B,2,FALSE),"?")&amp;"×"&amp;MID(TRIM(MID(SUBSTITUTE(G132,";",REPT(" ",99)),1,99)),FIND(":",TRIM(MID(SUBSTITUTE(G132,";",REPT(" ",99)),1,99)))+1,99)),IF(TRIM(MID(SUBSTITUTE(G132,";",REPT(" ",99)),100,99))="","",IFERROR(VLOOKUP(--LEFT(TRIM(MID(SUBSTITUTE(G132,";",REPT(" ",99)),100,99)),FIND(":",TRIM(MID(SUBSTITUTE(G132,";",REPT(" ",99)),100,99)))-1),_Lookup!$A:$B,2,FALSE),"?")&amp;"×"&amp;MID(TRIM(MID(SUBSTITUTE(G132,";",REPT(" ",99)),100,99)),FIND(":",TRIM(MID(SUBSTITUTE(G132,";",REPT(" ",99)),100,99)))+1,99)),IF(TRIM(MID(SUBSTITUTE(G132,";",REPT(" ",99)),199,99))="","",IFERROR(VLOOKUP(--LEFT(TRIM(MID(SUBSTITUTE(G132,";",REPT(" ",99)),199,99)),FIND(":",TRIM(MID(SUBSTITUTE(G132,";",REPT(" ",99)),199,99)))-1),_Lookup!$A:$B,2,FALSE),"?")&amp;"×"&amp;MID(TRIM(MID(SUBSTITUTE(G132,";",REPT(" ",99)),199,99)),FIND(":",TRIM(MID(SUBSTITUTE(G132,";",REPT(" ",99)),199,99)))+1,99)),IF(TRIM(MID(SUBSTITUTE(G132,";",REPT(" ",99)),298,99))="","",IFERROR(VLOOKUP(--LEFT(TRIM(MID(SUBSTITUTE(G132,";",REPT(" ",99)),298,99)),FIND(":",TRIM(MID(SUBSTITUTE(G132,";",REPT(" ",99)),298,99)))-1),_Lookup!$A:$B,2,FALSE),"?")&amp;"×"&amp;MID(TRIM(MID(SUBSTITUTE(G132,";",REPT(" ",99)),298,99)),FIND(":",TRIM(MID(SUBSTITUTE(G132,";",REPT(" ",99)),298,99)))+1,99)),IF(TRIM(MID(SUBSTITUTE(G132,";",REPT(" ",99)),397,99))="","",IFERROR(VLOOKUP(--LEFT(TRIM(MID(SUBSTITUTE(G132,";",REPT(" ",99)),397,99)),FIND(":",TRIM(MID(SUBSTITUTE(G132,";",REPT(" ",99)),397,99)))-1),_Lookup!$A:$B,2,FALSE),"?")&amp;"×"&amp;MID(TRIM(MID(SUBSTITUTE(G132,";",REPT(" ",99)),397,99)),FIND(":",TRIM(MID(SUBSTITUTE(G132,";",REPT(" ",99)),397,99)))+1,99))))</f>
        <v/>
      </c>
    </row>
    <row r="133">
      <c r="C133" s="11">
        <f>IFERROR(VLOOKUP(B133,ItemData_Equipment!$A:$B,2,FALSE),"")</f>
        <v/>
      </c>
      <c r="H133" s="11">
        <f>IF(G133="","",TEXTJOIN("; ",TRUE,IF(TRIM(MID(SUBSTITUTE(G133,";",REPT(" ",99)),1,99))="","",IFERROR(VLOOKUP(--LEFT(TRIM(MID(SUBSTITUTE(G133,";",REPT(" ",99)),1,99)),FIND(":",TRIM(MID(SUBSTITUTE(G133,";",REPT(" ",99)),1,99)))-1),_Lookup!$A:$B,2,FALSE),"?")&amp;"×"&amp;MID(TRIM(MID(SUBSTITUTE(G133,";",REPT(" ",99)),1,99)),FIND(":",TRIM(MID(SUBSTITUTE(G133,";",REPT(" ",99)),1,99)))+1,99)),IF(TRIM(MID(SUBSTITUTE(G133,";",REPT(" ",99)),100,99))="","",IFERROR(VLOOKUP(--LEFT(TRIM(MID(SUBSTITUTE(G133,";",REPT(" ",99)),100,99)),FIND(":",TRIM(MID(SUBSTITUTE(G133,";",REPT(" ",99)),100,99)))-1),_Lookup!$A:$B,2,FALSE),"?")&amp;"×"&amp;MID(TRIM(MID(SUBSTITUTE(G133,";",REPT(" ",99)),100,99)),FIND(":",TRIM(MID(SUBSTITUTE(G133,";",REPT(" ",99)),100,99)))+1,99)),IF(TRIM(MID(SUBSTITUTE(G133,";",REPT(" ",99)),199,99))="","",IFERROR(VLOOKUP(--LEFT(TRIM(MID(SUBSTITUTE(G133,";",REPT(" ",99)),199,99)),FIND(":",TRIM(MID(SUBSTITUTE(G133,";",REPT(" ",99)),199,99)))-1),_Lookup!$A:$B,2,FALSE),"?")&amp;"×"&amp;MID(TRIM(MID(SUBSTITUTE(G133,";",REPT(" ",99)),199,99)),FIND(":",TRIM(MID(SUBSTITUTE(G133,";",REPT(" ",99)),199,99)))+1,99)),IF(TRIM(MID(SUBSTITUTE(G133,";",REPT(" ",99)),298,99))="","",IFERROR(VLOOKUP(--LEFT(TRIM(MID(SUBSTITUTE(G133,";",REPT(" ",99)),298,99)),FIND(":",TRIM(MID(SUBSTITUTE(G133,";",REPT(" ",99)),298,99)))-1),_Lookup!$A:$B,2,FALSE),"?")&amp;"×"&amp;MID(TRIM(MID(SUBSTITUTE(G133,";",REPT(" ",99)),298,99)),FIND(":",TRIM(MID(SUBSTITUTE(G133,";",REPT(" ",99)),298,99)))+1,99)),IF(TRIM(MID(SUBSTITUTE(G133,";",REPT(" ",99)),397,99))="","",IFERROR(VLOOKUP(--LEFT(TRIM(MID(SUBSTITUTE(G133,";",REPT(" ",99)),397,99)),FIND(":",TRIM(MID(SUBSTITUTE(G133,";",REPT(" ",99)),397,99)))-1),_Lookup!$A:$B,2,FALSE),"?")&amp;"×"&amp;MID(TRIM(MID(SUBSTITUTE(G133,";",REPT(" ",99)),397,99)),FIND(":",TRIM(MID(SUBSTITUTE(G133,";",REPT(" ",99)),397,99)))+1,99))))</f>
        <v/>
      </c>
    </row>
    <row r="134">
      <c r="C134" s="11">
        <f>IFERROR(VLOOKUP(B134,ItemData_Equipment!$A:$B,2,FALSE),"")</f>
        <v/>
      </c>
      <c r="H134" s="11">
        <f>IF(G134="","",TEXTJOIN("; ",TRUE,IF(TRIM(MID(SUBSTITUTE(G134,";",REPT(" ",99)),1,99))="","",IFERROR(VLOOKUP(--LEFT(TRIM(MID(SUBSTITUTE(G134,";",REPT(" ",99)),1,99)),FIND(":",TRIM(MID(SUBSTITUTE(G134,";",REPT(" ",99)),1,99)))-1),_Lookup!$A:$B,2,FALSE),"?")&amp;"×"&amp;MID(TRIM(MID(SUBSTITUTE(G134,";",REPT(" ",99)),1,99)),FIND(":",TRIM(MID(SUBSTITUTE(G134,";",REPT(" ",99)),1,99)))+1,99)),IF(TRIM(MID(SUBSTITUTE(G134,";",REPT(" ",99)),100,99))="","",IFERROR(VLOOKUP(--LEFT(TRIM(MID(SUBSTITUTE(G134,";",REPT(" ",99)),100,99)),FIND(":",TRIM(MID(SUBSTITUTE(G134,";",REPT(" ",99)),100,99)))-1),_Lookup!$A:$B,2,FALSE),"?")&amp;"×"&amp;MID(TRIM(MID(SUBSTITUTE(G134,";",REPT(" ",99)),100,99)),FIND(":",TRIM(MID(SUBSTITUTE(G134,";",REPT(" ",99)),100,99)))+1,99)),IF(TRIM(MID(SUBSTITUTE(G134,";",REPT(" ",99)),199,99))="","",IFERROR(VLOOKUP(--LEFT(TRIM(MID(SUBSTITUTE(G134,";",REPT(" ",99)),199,99)),FIND(":",TRIM(MID(SUBSTITUTE(G134,";",REPT(" ",99)),199,99)))-1),_Lookup!$A:$B,2,FALSE),"?")&amp;"×"&amp;MID(TRIM(MID(SUBSTITUTE(G134,";",REPT(" ",99)),199,99)),FIND(":",TRIM(MID(SUBSTITUTE(G134,";",REPT(" ",99)),199,99)))+1,99)),IF(TRIM(MID(SUBSTITUTE(G134,";",REPT(" ",99)),298,99))="","",IFERROR(VLOOKUP(--LEFT(TRIM(MID(SUBSTITUTE(G134,";",REPT(" ",99)),298,99)),FIND(":",TRIM(MID(SUBSTITUTE(G134,";",REPT(" ",99)),298,99)))-1),_Lookup!$A:$B,2,FALSE),"?")&amp;"×"&amp;MID(TRIM(MID(SUBSTITUTE(G134,";",REPT(" ",99)),298,99)),FIND(":",TRIM(MID(SUBSTITUTE(G134,";",REPT(" ",99)),298,99)))+1,99)),IF(TRIM(MID(SUBSTITUTE(G134,";",REPT(" ",99)),397,99))="","",IFERROR(VLOOKUP(--LEFT(TRIM(MID(SUBSTITUTE(G134,";",REPT(" ",99)),397,99)),FIND(":",TRIM(MID(SUBSTITUTE(G134,";",REPT(" ",99)),397,99)))-1),_Lookup!$A:$B,2,FALSE),"?")&amp;"×"&amp;MID(TRIM(MID(SUBSTITUTE(G134,";",REPT(" ",99)),397,99)),FIND(":",TRIM(MID(SUBSTITUTE(G134,";",REPT(" ",99)),397,99)))+1,99))))</f>
        <v/>
      </c>
    </row>
    <row r="135">
      <c r="C135" s="11">
        <f>IFERROR(VLOOKUP(B135,ItemData_Equipment!$A:$B,2,FALSE),"")</f>
        <v/>
      </c>
      <c r="H135" s="11">
        <f>IF(G135="","",TEXTJOIN("; ",TRUE,IF(TRIM(MID(SUBSTITUTE(G135,";",REPT(" ",99)),1,99))="","",IFERROR(VLOOKUP(--LEFT(TRIM(MID(SUBSTITUTE(G135,";",REPT(" ",99)),1,99)),FIND(":",TRIM(MID(SUBSTITUTE(G135,";",REPT(" ",99)),1,99)))-1),_Lookup!$A:$B,2,FALSE),"?")&amp;"×"&amp;MID(TRIM(MID(SUBSTITUTE(G135,";",REPT(" ",99)),1,99)),FIND(":",TRIM(MID(SUBSTITUTE(G135,";",REPT(" ",99)),1,99)))+1,99)),IF(TRIM(MID(SUBSTITUTE(G135,";",REPT(" ",99)),100,99))="","",IFERROR(VLOOKUP(--LEFT(TRIM(MID(SUBSTITUTE(G135,";",REPT(" ",99)),100,99)),FIND(":",TRIM(MID(SUBSTITUTE(G135,";",REPT(" ",99)),100,99)))-1),_Lookup!$A:$B,2,FALSE),"?")&amp;"×"&amp;MID(TRIM(MID(SUBSTITUTE(G135,";",REPT(" ",99)),100,99)),FIND(":",TRIM(MID(SUBSTITUTE(G135,";",REPT(" ",99)),100,99)))+1,99)),IF(TRIM(MID(SUBSTITUTE(G135,";",REPT(" ",99)),199,99))="","",IFERROR(VLOOKUP(--LEFT(TRIM(MID(SUBSTITUTE(G135,";",REPT(" ",99)),199,99)),FIND(":",TRIM(MID(SUBSTITUTE(G135,";",REPT(" ",99)),199,99)))-1),_Lookup!$A:$B,2,FALSE),"?")&amp;"×"&amp;MID(TRIM(MID(SUBSTITUTE(G135,";",REPT(" ",99)),199,99)),FIND(":",TRIM(MID(SUBSTITUTE(G135,";",REPT(" ",99)),199,99)))+1,99)),IF(TRIM(MID(SUBSTITUTE(G135,";",REPT(" ",99)),298,99))="","",IFERROR(VLOOKUP(--LEFT(TRIM(MID(SUBSTITUTE(G135,";",REPT(" ",99)),298,99)),FIND(":",TRIM(MID(SUBSTITUTE(G135,";",REPT(" ",99)),298,99)))-1),_Lookup!$A:$B,2,FALSE),"?")&amp;"×"&amp;MID(TRIM(MID(SUBSTITUTE(G135,";",REPT(" ",99)),298,99)),FIND(":",TRIM(MID(SUBSTITUTE(G135,";",REPT(" ",99)),298,99)))+1,99)),IF(TRIM(MID(SUBSTITUTE(G135,";",REPT(" ",99)),397,99))="","",IFERROR(VLOOKUP(--LEFT(TRIM(MID(SUBSTITUTE(G135,";",REPT(" ",99)),397,99)),FIND(":",TRIM(MID(SUBSTITUTE(G135,";",REPT(" ",99)),397,99)))-1),_Lookup!$A:$B,2,FALSE),"?")&amp;"×"&amp;MID(TRIM(MID(SUBSTITUTE(G135,";",REPT(" ",99)),397,99)),FIND(":",TRIM(MID(SUBSTITUTE(G135,";",REPT(" ",99)),397,99)))+1,99))))</f>
        <v/>
      </c>
    </row>
    <row r="136">
      <c r="C136" s="11">
        <f>IFERROR(VLOOKUP(B136,ItemData_Equipment!$A:$B,2,FALSE),"")</f>
        <v/>
      </c>
      <c r="H136" s="11">
        <f>IF(G136="","",TEXTJOIN("; ",TRUE,IF(TRIM(MID(SUBSTITUTE(G136,";",REPT(" ",99)),1,99))="","",IFERROR(VLOOKUP(--LEFT(TRIM(MID(SUBSTITUTE(G136,";",REPT(" ",99)),1,99)),FIND(":",TRIM(MID(SUBSTITUTE(G136,";",REPT(" ",99)),1,99)))-1),_Lookup!$A:$B,2,FALSE),"?")&amp;"×"&amp;MID(TRIM(MID(SUBSTITUTE(G136,";",REPT(" ",99)),1,99)),FIND(":",TRIM(MID(SUBSTITUTE(G136,";",REPT(" ",99)),1,99)))+1,99)),IF(TRIM(MID(SUBSTITUTE(G136,";",REPT(" ",99)),100,99))="","",IFERROR(VLOOKUP(--LEFT(TRIM(MID(SUBSTITUTE(G136,";",REPT(" ",99)),100,99)),FIND(":",TRIM(MID(SUBSTITUTE(G136,";",REPT(" ",99)),100,99)))-1),_Lookup!$A:$B,2,FALSE),"?")&amp;"×"&amp;MID(TRIM(MID(SUBSTITUTE(G136,";",REPT(" ",99)),100,99)),FIND(":",TRIM(MID(SUBSTITUTE(G136,";",REPT(" ",99)),100,99)))+1,99)),IF(TRIM(MID(SUBSTITUTE(G136,";",REPT(" ",99)),199,99))="","",IFERROR(VLOOKUP(--LEFT(TRIM(MID(SUBSTITUTE(G136,";",REPT(" ",99)),199,99)),FIND(":",TRIM(MID(SUBSTITUTE(G136,";",REPT(" ",99)),199,99)))-1),_Lookup!$A:$B,2,FALSE),"?")&amp;"×"&amp;MID(TRIM(MID(SUBSTITUTE(G136,";",REPT(" ",99)),199,99)),FIND(":",TRIM(MID(SUBSTITUTE(G136,";",REPT(" ",99)),199,99)))+1,99)),IF(TRIM(MID(SUBSTITUTE(G136,";",REPT(" ",99)),298,99))="","",IFERROR(VLOOKUP(--LEFT(TRIM(MID(SUBSTITUTE(G136,";",REPT(" ",99)),298,99)),FIND(":",TRIM(MID(SUBSTITUTE(G136,";",REPT(" ",99)),298,99)))-1),_Lookup!$A:$B,2,FALSE),"?")&amp;"×"&amp;MID(TRIM(MID(SUBSTITUTE(G136,";",REPT(" ",99)),298,99)),FIND(":",TRIM(MID(SUBSTITUTE(G136,";",REPT(" ",99)),298,99)))+1,99)),IF(TRIM(MID(SUBSTITUTE(G136,";",REPT(" ",99)),397,99))="","",IFERROR(VLOOKUP(--LEFT(TRIM(MID(SUBSTITUTE(G136,";",REPT(" ",99)),397,99)),FIND(":",TRIM(MID(SUBSTITUTE(G136,";",REPT(" ",99)),397,99)))-1),_Lookup!$A:$B,2,FALSE),"?")&amp;"×"&amp;MID(TRIM(MID(SUBSTITUTE(G136,";",REPT(" ",99)),397,99)),FIND(":",TRIM(MID(SUBSTITUTE(G136,";",REPT(" ",99)),397,99)))+1,99))))</f>
        <v/>
      </c>
    </row>
    <row r="137">
      <c r="C137" s="11">
        <f>IFERROR(VLOOKUP(B137,ItemData_Equipment!$A:$B,2,FALSE),"")</f>
        <v/>
      </c>
      <c r="H137" s="11">
        <f>IF(G137="","",TEXTJOIN("; ",TRUE,IF(TRIM(MID(SUBSTITUTE(G137,";",REPT(" ",99)),1,99))="","",IFERROR(VLOOKUP(--LEFT(TRIM(MID(SUBSTITUTE(G137,";",REPT(" ",99)),1,99)),FIND(":",TRIM(MID(SUBSTITUTE(G137,";",REPT(" ",99)),1,99)))-1),_Lookup!$A:$B,2,FALSE),"?")&amp;"×"&amp;MID(TRIM(MID(SUBSTITUTE(G137,";",REPT(" ",99)),1,99)),FIND(":",TRIM(MID(SUBSTITUTE(G137,";",REPT(" ",99)),1,99)))+1,99)),IF(TRIM(MID(SUBSTITUTE(G137,";",REPT(" ",99)),100,99))="","",IFERROR(VLOOKUP(--LEFT(TRIM(MID(SUBSTITUTE(G137,";",REPT(" ",99)),100,99)),FIND(":",TRIM(MID(SUBSTITUTE(G137,";",REPT(" ",99)),100,99)))-1),_Lookup!$A:$B,2,FALSE),"?")&amp;"×"&amp;MID(TRIM(MID(SUBSTITUTE(G137,";",REPT(" ",99)),100,99)),FIND(":",TRIM(MID(SUBSTITUTE(G137,";",REPT(" ",99)),100,99)))+1,99)),IF(TRIM(MID(SUBSTITUTE(G137,";",REPT(" ",99)),199,99))="","",IFERROR(VLOOKUP(--LEFT(TRIM(MID(SUBSTITUTE(G137,";",REPT(" ",99)),199,99)),FIND(":",TRIM(MID(SUBSTITUTE(G137,";",REPT(" ",99)),199,99)))-1),_Lookup!$A:$B,2,FALSE),"?")&amp;"×"&amp;MID(TRIM(MID(SUBSTITUTE(G137,";",REPT(" ",99)),199,99)),FIND(":",TRIM(MID(SUBSTITUTE(G137,";",REPT(" ",99)),199,99)))+1,99)),IF(TRIM(MID(SUBSTITUTE(G137,";",REPT(" ",99)),298,99))="","",IFERROR(VLOOKUP(--LEFT(TRIM(MID(SUBSTITUTE(G137,";",REPT(" ",99)),298,99)),FIND(":",TRIM(MID(SUBSTITUTE(G137,";",REPT(" ",99)),298,99)))-1),_Lookup!$A:$B,2,FALSE),"?")&amp;"×"&amp;MID(TRIM(MID(SUBSTITUTE(G137,";",REPT(" ",99)),298,99)),FIND(":",TRIM(MID(SUBSTITUTE(G137,";",REPT(" ",99)),298,99)))+1,99)),IF(TRIM(MID(SUBSTITUTE(G137,";",REPT(" ",99)),397,99))="","",IFERROR(VLOOKUP(--LEFT(TRIM(MID(SUBSTITUTE(G137,";",REPT(" ",99)),397,99)),FIND(":",TRIM(MID(SUBSTITUTE(G137,";",REPT(" ",99)),397,99)))-1),_Lookup!$A:$B,2,FALSE),"?")&amp;"×"&amp;MID(TRIM(MID(SUBSTITUTE(G137,";",REPT(" ",99)),397,99)),FIND(":",TRIM(MID(SUBSTITUTE(G137,";",REPT(" ",99)),397,99)))+1,99))))</f>
        <v/>
      </c>
    </row>
    <row r="138">
      <c r="C138" s="11">
        <f>IFERROR(VLOOKUP(B138,ItemData_Equipment!$A:$B,2,FALSE),"")</f>
        <v/>
      </c>
      <c r="H138" s="11">
        <f>IF(G138="","",TEXTJOIN("; ",TRUE,IF(TRIM(MID(SUBSTITUTE(G138,";",REPT(" ",99)),1,99))="","",IFERROR(VLOOKUP(--LEFT(TRIM(MID(SUBSTITUTE(G138,";",REPT(" ",99)),1,99)),FIND(":",TRIM(MID(SUBSTITUTE(G138,";",REPT(" ",99)),1,99)))-1),_Lookup!$A:$B,2,FALSE),"?")&amp;"×"&amp;MID(TRIM(MID(SUBSTITUTE(G138,";",REPT(" ",99)),1,99)),FIND(":",TRIM(MID(SUBSTITUTE(G138,";",REPT(" ",99)),1,99)))+1,99)),IF(TRIM(MID(SUBSTITUTE(G138,";",REPT(" ",99)),100,99))="","",IFERROR(VLOOKUP(--LEFT(TRIM(MID(SUBSTITUTE(G138,";",REPT(" ",99)),100,99)),FIND(":",TRIM(MID(SUBSTITUTE(G138,";",REPT(" ",99)),100,99)))-1),_Lookup!$A:$B,2,FALSE),"?")&amp;"×"&amp;MID(TRIM(MID(SUBSTITUTE(G138,";",REPT(" ",99)),100,99)),FIND(":",TRIM(MID(SUBSTITUTE(G138,";",REPT(" ",99)),100,99)))+1,99)),IF(TRIM(MID(SUBSTITUTE(G138,";",REPT(" ",99)),199,99))="","",IFERROR(VLOOKUP(--LEFT(TRIM(MID(SUBSTITUTE(G138,";",REPT(" ",99)),199,99)),FIND(":",TRIM(MID(SUBSTITUTE(G138,";",REPT(" ",99)),199,99)))-1),_Lookup!$A:$B,2,FALSE),"?")&amp;"×"&amp;MID(TRIM(MID(SUBSTITUTE(G138,";",REPT(" ",99)),199,99)),FIND(":",TRIM(MID(SUBSTITUTE(G138,";",REPT(" ",99)),199,99)))+1,99)),IF(TRIM(MID(SUBSTITUTE(G138,";",REPT(" ",99)),298,99))="","",IFERROR(VLOOKUP(--LEFT(TRIM(MID(SUBSTITUTE(G138,";",REPT(" ",99)),298,99)),FIND(":",TRIM(MID(SUBSTITUTE(G138,";",REPT(" ",99)),298,99)))-1),_Lookup!$A:$B,2,FALSE),"?")&amp;"×"&amp;MID(TRIM(MID(SUBSTITUTE(G138,";",REPT(" ",99)),298,99)),FIND(":",TRIM(MID(SUBSTITUTE(G138,";",REPT(" ",99)),298,99)))+1,99)),IF(TRIM(MID(SUBSTITUTE(G138,";",REPT(" ",99)),397,99))="","",IFERROR(VLOOKUP(--LEFT(TRIM(MID(SUBSTITUTE(G138,";",REPT(" ",99)),397,99)),FIND(":",TRIM(MID(SUBSTITUTE(G138,";",REPT(" ",99)),397,99)))-1),_Lookup!$A:$B,2,FALSE),"?")&amp;"×"&amp;MID(TRIM(MID(SUBSTITUTE(G138,";",REPT(" ",99)),397,99)),FIND(":",TRIM(MID(SUBSTITUTE(G138,";",REPT(" ",99)),397,99)))+1,99))))</f>
        <v/>
      </c>
    </row>
    <row r="139">
      <c r="C139" s="11">
        <f>IFERROR(VLOOKUP(B139,ItemData_Equipment!$A:$B,2,FALSE),"")</f>
        <v/>
      </c>
      <c r="H139" s="11">
        <f>IF(G139="","",TEXTJOIN("; ",TRUE,IF(TRIM(MID(SUBSTITUTE(G139,";",REPT(" ",99)),1,99))="","",IFERROR(VLOOKUP(--LEFT(TRIM(MID(SUBSTITUTE(G139,";",REPT(" ",99)),1,99)),FIND(":",TRIM(MID(SUBSTITUTE(G139,";",REPT(" ",99)),1,99)))-1),_Lookup!$A:$B,2,FALSE),"?")&amp;"×"&amp;MID(TRIM(MID(SUBSTITUTE(G139,";",REPT(" ",99)),1,99)),FIND(":",TRIM(MID(SUBSTITUTE(G139,";",REPT(" ",99)),1,99)))+1,99)),IF(TRIM(MID(SUBSTITUTE(G139,";",REPT(" ",99)),100,99))="","",IFERROR(VLOOKUP(--LEFT(TRIM(MID(SUBSTITUTE(G139,";",REPT(" ",99)),100,99)),FIND(":",TRIM(MID(SUBSTITUTE(G139,";",REPT(" ",99)),100,99)))-1),_Lookup!$A:$B,2,FALSE),"?")&amp;"×"&amp;MID(TRIM(MID(SUBSTITUTE(G139,";",REPT(" ",99)),100,99)),FIND(":",TRIM(MID(SUBSTITUTE(G139,";",REPT(" ",99)),100,99)))+1,99)),IF(TRIM(MID(SUBSTITUTE(G139,";",REPT(" ",99)),199,99))="","",IFERROR(VLOOKUP(--LEFT(TRIM(MID(SUBSTITUTE(G139,";",REPT(" ",99)),199,99)),FIND(":",TRIM(MID(SUBSTITUTE(G139,";",REPT(" ",99)),199,99)))-1),_Lookup!$A:$B,2,FALSE),"?")&amp;"×"&amp;MID(TRIM(MID(SUBSTITUTE(G139,";",REPT(" ",99)),199,99)),FIND(":",TRIM(MID(SUBSTITUTE(G139,";",REPT(" ",99)),199,99)))+1,99)),IF(TRIM(MID(SUBSTITUTE(G139,";",REPT(" ",99)),298,99))="","",IFERROR(VLOOKUP(--LEFT(TRIM(MID(SUBSTITUTE(G139,";",REPT(" ",99)),298,99)),FIND(":",TRIM(MID(SUBSTITUTE(G139,";",REPT(" ",99)),298,99)))-1),_Lookup!$A:$B,2,FALSE),"?")&amp;"×"&amp;MID(TRIM(MID(SUBSTITUTE(G139,";",REPT(" ",99)),298,99)),FIND(":",TRIM(MID(SUBSTITUTE(G139,";",REPT(" ",99)),298,99)))+1,99)),IF(TRIM(MID(SUBSTITUTE(G139,";",REPT(" ",99)),397,99))="","",IFERROR(VLOOKUP(--LEFT(TRIM(MID(SUBSTITUTE(G139,";",REPT(" ",99)),397,99)),FIND(":",TRIM(MID(SUBSTITUTE(G139,";",REPT(" ",99)),397,99)))-1),_Lookup!$A:$B,2,FALSE),"?")&amp;"×"&amp;MID(TRIM(MID(SUBSTITUTE(G139,";",REPT(" ",99)),397,99)),FIND(":",TRIM(MID(SUBSTITUTE(G139,";",REPT(" ",99)),397,99)))+1,99))))</f>
        <v/>
      </c>
    </row>
    <row r="140">
      <c r="C140" s="11">
        <f>IFERROR(VLOOKUP(B140,ItemData_Equipment!$A:$B,2,FALSE),"")</f>
        <v/>
      </c>
      <c r="H140" s="11">
        <f>IF(G140="","",TEXTJOIN("; ",TRUE,IF(TRIM(MID(SUBSTITUTE(G140,";",REPT(" ",99)),1,99))="","",IFERROR(VLOOKUP(--LEFT(TRIM(MID(SUBSTITUTE(G140,";",REPT(" ",99)),1,99)),FIND(":",TRIM(MID(SUBSTITUTE(G140,";",REPT(" ",99)),1,99)))-1),_Lookup!$A:$B,2,FALSE),"?")&amp;"×"&amp;MID(TRIM(MID(SUBSTITUTE(G140,";",REPT(" ",99)),1,99)),FIND(":",TRIM(MID(SUBSTITUTE(G140,";",REPT(" ",99)),1,99)))+1,99)),IF(TRIM(MID(SUBSTITUTE(G140,";",REPT(" ",99)),100,99))="","",IFERROR(VLOOKUP(--LEFT(TRIM(MID(SUBSTITUTE(G140,";",REPT(" ",99)),100,99)),FIND(":",TRIM(MID(SUBSTITUTE(G140,";",REPT(" ",99)),100,99)))-1),_Lookup!$A:$B,2,FALSE),"?")&amp;"×"&amp;MID(TRIM(MID(SUBSTITUTE(G140,";",REPT(" ",99)),100,99)),FIND(":",TRIM(MID(SUBSTITUTE(G140,";",REPT(" ",99)),100,99)))+1,99)),IF(TRIM(MID(SUBSTITUTE(G140,";",REPT(" ",99)),199,99))="","",IFERROR(VLOOKUP(--LEFT(TRIM(MID(SUBSTITUTE(G140,";",REPT(" ",99)),199,99)),FIND(":",TRIM(MID(SUBSTITUTE(G140,";",REPT(" ",99)),199,99)))-1),_Lookup!$A:$B,2,FALSE),"?")&amp;"×"&amp;MID(TRIM(MID(SUBSTITUTE(G140,";",REPT(" ",99)),199,99)),FIND(":",TRIM(MID(SUBSTITUTE(G140,";",REPT(" ",99)),199,99)))+1,99)),IF(TRIM(MID(SUBSTITUTE(G140,";",REPT(" ",99)),298,99))="","",IFERROR(VLOOKUP(--LEFT(TRIM(MID(SUBSTITUTE(G140,";",REPT(" ",99)),298,99)),FIND(":",TRIM(MID(SUBSTITUTE(G140,";",REPT(" ",99)),298,99)))-1),_Lookup!$A:$B,2,FALSE),"?")&amp;"×"&amp;MID(TRIM(MID(SUBSTITUTE(G140,";",REPT(" ",99)),298,99)),FIND(":",TRIM(MID(SUBSTITUTE(G140,";",REPT(" ",99)),298,99)))+1,99)),IF(TRIM(MID(SUBSTITUTE(G140,";",REPT(" ",99)),397,99))="","",IFERROR(VLOOKUP(--LEFT(TRIM(MID(SUBSTITUTE(G140,";",REPT(" ",99)),397,99)),FIND(":",TRIM(MID(SUBSTITUTE(G140,";",REPT(" ",99)),397,99)))-1),_Lookup!$A:$B,2,FALSE),"?")&amp;"×"&amp;MID(TRIM(MID(SUBSTITUTE(G140,";",REPT(" ",99)),397,99)),FIND(":",TRIM(MID(SUBSTITUTE(G140,";",REPT(" ",99)),397,99)))+1,99))))</f>
        <v/>
      </c>
    </row>
    <row r="141">
      <c r="C141" s="11">
        <f>IFERROR(VLOOKUP(B141,ItemData_Equipment!$A:$B,2,FALSE),"")</f>
        <v/>
      </c>
      <c r="H141" s="11">
        <f>IF(G141="","",TEXTJOIN("; ",TRUE,IF(TRIM(MID(SUBSTITUTE(G141,";",REPT(" ",99)),1,99))="","",IFERROR(VLOOKUP(--LEFT(TRIM(MID(SUBSTITUTE(G141,";",REPT(" ",99)),1,99)),FIND(":",TRIM(MID(SUBSTITUTE(G141,";",REPT(" ",99)),1,99)))-1),_Lookup!$A:$B,2,FALSE),"?")&amp;"×"&amp;MID(TRIM(MID(SUBSTITUTE(G141,";",REPT(" ",99)),1,99)),FIND(":",TRIM(MID(SUBSTITUTE(G141,";",REPT(" ",99)),1,99)))+1,99)),IF(TRIM(MID(SUBSTITUTE(G141,";",REPT(" ",99)),100,99))="","",IFERROR(VLOOKUP(--LEFT(TRIM(MID(SUBSTITUTE(G141,";",REPT(" ",99)),100,99)),FIND(":",TRIM(MID(SUBSTITUTE(G141,";",REPT(" ",99)),100,99)))-1),_Lookup!$A:$B,2,FALSE),"?")&amp;"×"&amp;MID(TRIM(MID(SUBSTITUTE(G141,";",REPT(" ",99)),100,99)),FIND(":",TRIM(MID(SUBSTITUTE(G141,";",REPT(" ",99)),100,99)))+1,99)),IF(TRIM(MID(SUBSTITUTE(G141,";",REPT(" ",99)),199,99))="","",IFERROR(VLOOKUP(--LEFT(TRIM(MID(SUBSTITUTE(G141,";",REPT(" ",99)),199,99)),FIND(":",TRIM(MID(SUBSTITUTE(G141,";",REPT(" ",99)),199,99)))-1),_Lookup!$A:$B,2,FALSE),"?")&amp;"×"&amp;MID(TRIM(MID(SUBSTITUTE(G141,";",REPT(" ",99)),199,99)),FIND(":",TRIM(MID(SUBSTITUTE(G141,";",REPT(" ",99)),199,99)))+1,99)),IF(TRIM(MID(SUBSTITUTE(G141,";",REPT(" ",99)),298,99))="","",IFERROR(VLOOKUP(--LEFT(TRIM(MID(SUBSTITUTE(G141,";",REPT(" ",99)),298,99)),FIND(":",TRIM(MID(SUBSTITUTE(G141,";",REPT(" ",99)),298,99)))-1),_Lookup!$A:$B,2,FALSE),"?")&amp;"×"&amp;MID(TRIM(MID(SUBSTITUTE(G141,";",REPT(" ",99)),298,99)),FIND(":",TRIM(MID(SUBSTITUTE(G141,";",REPT(" ",99)),298,99)))+1,99)),IF(TRIM(MID(SUBSTITUTE(G141,";",REPT(" ",99)),397,99))="","",IFERROR(VLOOKUP(--LEFT(TRIM(MID(SUBSTITUTE(G141,";",REPT(" ",99)),397,99)),FIND(":",TRIM(MID(SUBSTITUTE(G141,";",REPT(" ",99)),397,99)))-1),_Lookup!$A:$B,2,FALSE),"?")&amp;"×"&amp;MID(TRIM(MID(SUBSTITUTE(G141,";",REPT(" ",99)),397,99)),FIND(":",TRIM(MID(SUBSTITUTE(G141,";",REPT(" ",99)),397,99)))+1,99))))</f>
        <v/>
      </c>
    </row>
    <row r="142">
      <c r="C142" s="11">
        <f>IFERROR(VLOOKUP(B142,ItemData_Equipment!$A:$B,2,FALSE),"")</f>
        <v/>
      </c>
      <c r="H142" s="11">
        <f>IF(G142="","",TEXTJOIN("; ",TRUE,IF(TRIM(MID(SUBSTITUTE(G142,";",REPT(" ",99)),1,99))="","",IFERROR(VLOOKUP(--LEFT(TRIM(MID(SUBSTITUTE(G142,";",REPT(" ",99)),1,99)),FIND(":",TRIM(MID(SUBSTITUTE(G142,";",REPT(" ",99)),1,99)))-1),_Lookup!$A:$B,2,FALSE),"?")&amp;"×"&amp;MID(TRIM(MID(SUBSTITUTE(G142,";",REPT(" ",99)),1,99)),FIND(":",TRIM(MID(SUBSTITUTE(G142,";",REPT(" ",99)),1,99)))+1,99)),IF(TRIM(MID(SUBSTITUTE(G142,";",REPT(" ",99)),100,99))="","",IFERROR(VLOOKUP(--LEFT(TRIM(MID(SUBSTITUTE(G142,";",REPT(" ",99)),100,99)),FIND(":",TRIM(MID(SUBSTITUTE(G142,";",REPT(" ",99)),100,99)))-1),_Lookup!$A:$B,2,FALSE),"?")&amp;"×"&amp;MID(TRIM(MID(SUBSTITUTE(G142,";",REPT(" ",99)),100,99)),FIND(":",TRIM(MID(SUBSTITUTE(G142,";",REPT(" ",99)),100,99)))+1,99)),IF(TRIM(MID(SUBSTITUTE(G142,";",REPT(" ",99)),199,99))="","",IFERROR(VLOOKUP(--LEFT(TRIM(MID(SUBSTITUTE(G142,";",REPT(" ",99)),199,99)),FIND(":",TRIM(MID(SUBSTITUTE(G142,";",REPT(" ",99)),199,99)))-1),_Lookup!$A:$B,2,FALSE),"?")&amp;"×"&amp;MID(TRIM(MID(SUBSTITUTE(G142,";",REPT(" ",99)),199,99)),FIND(":",TRIM(MID(SUBSTITUTE(G142,";",REPT(" ",99)),199,99)))+1,99)),IF(TRIM(MID(SUBSTITUTE(G142,";",REPT(" ",99)),298,99))="","",IFERROR(VLOOKUP(--LEFT(TRIM(MID(SUBSTITUTE(G142,";",REPT(" ",99)),298,99)),FIND(":",TRIM(MID(SUBSTITUTE(G142,";",REPT(" ",99)),298,99)))-1),_Lookup!$A:$B,2,FALSE),"?")&amp;"×"&amp;MID(TRIM(MID(SUBSTITUTE(G142,";",REPT(" ",99)),298,99)),FIND(":",TRIM(MID(SUBSTITUTE(G142,";",REPT(" ",99)),298,99)))+1,99)),IF(TRIM(MID(SUBSTITUTE(G142,";",REPT(" ",99)),397,99))="","",IFERROR(VLOOKUP(--LEFT(TRIM(MID(SUBSTITUTE(G142,";",REPT(" ",99)),397,99)),FIND(":",TRIM(MID(SUBSTITUTE(G142,";",REPT(" ",99)),397,99)))-1),_Lookup!$A:$B,2,FALSE),"?")&amp;"×"&amp;MID(TRIM(MID(SUBSTITUTE(G142,";",REPT(" ",99)),397,99)),FIND(":",TRIM(MID(SUBSTITUTE(G142,";",REPT(" ",99)),397,99)))+1,99))))</f>
        <v/>
      </c>
    </row>
    <row r="143">
      <c r="C143" s="11">
        <f>IFERROR(VLOOKUP(B143,ItemData_Equipment!$A:$B,2,FALSE),"")</f>
        <v/>
      </c>
      <c r="H143" s="11">
        <f>IF(G143="","",TEXTJOIN("; ",TRUE,IF(TRIM(MID(SUBSTITUTE(G143,";",REPT(" ",99)),1,99))="","",IFERROR(VLOOKUP(--LEFT(TRIM(MID(SUBSTITUTE(G143,";",REPT(" ",99)),1,99)),FIND(":",TRIM(MID(SUBSTITUTE(G143,";",REPT(" ",99)),1,99)))-1),_Lookup!$A:$B,2,FALSE),"?")&amp;"×"&amp;MID(TRIM(MID(SUBSTITUTE(G143,";",REPT(" ",99)),1,99)),FIND(":",TRIM(MID(SUBSTITUTE(G143,";",REPT(" ",99)),1,99)))+1,99)),IF(TRIM(MID(SUBSTITUTE(G143,";",REPT(" ",99)),100,99))="","",IFERROR(VLOOKUP(--LEFT(TRIM(MID(SUBSTITUTE(G143,";",REPT(" ",99)),100,99)),FIND(":",TRIM(MID(SUBSTITUTE(G143,";",REPT(" ",99)),100,99)))-1),_Lookup!$A:$B,2,FALSE),"?")&amp;"×"&amp;MID(TRIM(MID(SUBSTITUTE(G143,";",REPT(" ",99)),100,99)),FIND(":",TRIM(MID(SUBSTITUTE(G143,";",REPT(" ",99)),100,99)))+1,99)),IF(TRIM(MID(SUBSTITUTE(G143,";",REPT(" ",99)),199,99))="","",IFERROR(VLOOKUP(--LEFT(TRIM(MID(SUBSTITUTE(G143,";",REPT(" ",99)),199,99)),FIND(":",TRIM(MID(SUBSTITUTE(G143,";",REPT(" ",99)),199,99)))-1),_Lookup!$A:$B,2,FALSE),"?")&amp;"×"&amp;MID(TRIM(MID(SUBSTITUTE(G143,";",REPT(" ",99)),199,99)),FIND(":",TRIM(MID(SUBSTITUTE(G143,";",REPT(" ",99)),199,99)))+1,99)),IF(TRIM(MID(SUBSTITUTE(G143,";",REPT(" ",99)),298,99))="","",IFERROR(VLOOKUP(--LEFT(TRIM(MID(SUBSTITUTE(G143,";",REPT(" ",99)),298,99)),FIND(":",TRIM(MID(SUBSTITUTE(G143,";",REPT(" ",99)),298,99)))-1),_Lookup!$A:$B,2,FALSE),"?")&amp;"×"&amp;MID(TRIM(MID(SUBSTITUTE(G143,";",REPT(" ",99)),298,99)),FIND(":",TRIM(MID(SUBSTITUTE(G143,";",REPT(" ",99)),298,99)))+1,99)),IF(TRIM(MID(SUBSTITUTE(G143,";",REPT(" ",99)),397,99))="","",IFERROR(VLOOKUP(--LEFT(TRIM(MID(SUBSTITUTE(G143,";",REPT(" ",99)),397,99)),FIND(":",TRIM(MID(SUBSTITUTE(G143,";",REPT(" ",99)),397,99)))-1),_Lookup!$A:$B,2,FALSE),"?")&amp;"×"&amp;MID(TRIM(MID(SUBSTITUTE(G143,";",REPT(" ",99)),397,99)),FIND(":",TRIM(MID(SUBSTITUTE(G143,";",REPT(" ",99)),397,99)))+1,99))))</f>
        <v/>
      </c>
    </row>
    <row r="144">
      <c r="C144" s="11">
        <f>IFERROR(VLOOKUP(B144,ItemData_Equipment!$A:$B,2,FALSE),"")</f>
        <v/>
      </c>
      <c r="H144" s="11">
        <f>IF(G144="","",TEXTJOIN("; ",TRUE,IF(TRIM(MID(SUBSTITUTE(G144,";",REPT(" ",99)),1,99))="","",IFERROR(VLOOKUP(--LEFT(TRIM(MID(SUBSTITUTE(G144,";",REPT(" ",99)),1,99)),FIND(":",TRIM(MID(SUBSTITUTE(G144,";",REPT(" ",99)),1,99)))-1),_Lookup!$A:$B,2,FALSE),"?")&amp;"×"&amp;MID(TRIM(MID(SUBSTITUTE(G144,";",REPT(" ",99)),1,99)),FIND(":",TRIM(MID(SUBSTITUTE(G144,";",REPT(" ",99)),1,99)))+1,99)),IF(TRIM(MID(SUBSTITUTE(G144,";",REPT(" ",99)),100,99))="","",IFERROR(VLOOKUP(--LEFT(TRIM(MID(SUBSTITUTE(G144,";",REPT(" ",99)),100,99)),FIND(":",TRIM(MID(SUBSTITUTE(G144,";",REPT(" ",99)),100,99)))-1),_Lookup!$A:$B,2,FALSE),"?")&amp;"×"&amp;MID(TRIM(MID(SUBSTITUTE(G144,";",REPT(" ",99)),100,99)),FIND(":",TRIM(MID(SUBSTITUTE(G144,";",REPT(" ",99)),100,99)))+1,99)),IF(TRIM(MID(SUBSTITUTE(G144,";",REPT(" ",99)),199,99))="","",IFERROR(VLOOKUP(--LEFT(TRIM(MID(SUBSTITUTE(G144,";",REPT(" ",99)),199,99)),FIND(":",TRIM(MID(SUBSTITUTE(G144,";",REPT(" ",99)),199,99)))-1),_Lookup!$A:$B,2,FALSE),"?")&amp;"×"&amp;MID(TRIM(MID(SUBSTITUTE(G144,";",REPT(" ",99)),199,99)),FIND(":",TRIM(MID(SUBSTITUTE(G144,";",REPT(" ",99)),199,99)))+1,99)),IF(TRIM(MID(SUBSTITUTE(G144,";",REPT(" ",99)),298,99))="","",IFERROR(VLOOKUP(--LEFT(TRIM(MID(SUBSTITUTE(G144,";",REPT(" ",99)),298,99)),FIND(":",TRIM(MID(SUBSTITUTE(G144,";",REPT(" ",99)),298,99)))-1),_Lookup!$A:$B,2,FALSE),"?")&amp;"×"&amp;MID(TRIM(MID(SUBSTITUTE(G144,";",REPT(" ",99)),298,99)),FIND(":",TRIM(MID(SUBSTITUTE(G144,";",REPT(" ",99)),298,99)))+1,99)),IF(TRIM(MID(SUBSTITUTE(G144,";",REPT(" ",99)),397,99))="","",IFERROR(VLOOKUP(--LEFT(TRIM(MID(SUBSTITUTE(G144,";",REPT(" ",99)),397,99)),FIND(":",TRIM(MID(SUBSTITUTE(G144,";",REPT(" ",99)),397,99)))-1),_Lookup!$A:$B,2,FALSE),"?")&amp;"×"&amp;MID(TRIM(MID(SUBSTITUTE(G144,";",REPT(" ",99)),397,99)),FIND(":",TRIM(MID(SUBSTITUTE(G144,";",REPT(" ",99)),397,99)))+1,99))))</f>
        <v/>
      </c>
    </row>
    <row r="145">
      <c r="C145" s="11">
        <f>IFERROR(VLOOKUP(B145,ItemData_Equipment!$A:$B,2,FALSE),"")</f>
        <v/>
      </c>
      <c r="H145" s="11">
        <f>IF(G145="","",TEXTJOIN("; ",TRUE,IF(TRIM(MID(SUBSTITUTE(G145,";",REPT(" ",99)),1,99))="","",IFERROR(VLOOKUP(--LEFT(TRIM(MID(SUBSTITUTE(G145,";",REPT(" ",99)),1,99)),FIND(":",TRIM(MID(SUBSTITUTE(G145,";",REPT(" ",99)),1,99)))-1),_Lookup!$A:$B,2,FALSE),"?")&amp;"×"&amp;MID(TRIM(MID(SUBSTITUTE(G145,";",REPT(" ",99)),1,99)),FIND(":",TRIM(MID(SUBSTITUTE(G145,";",REPT(" ",99)),1,99)))+1,99)),IF(TRIM(MID(SUBSTITUTE(G145,";",REPT(" ",99)),100,99))="","",IFERROR(VLOOKUP(--LEFT(TRIM(MID(SUBSTITUTE(G145,";",REPT(" ",99)),100,99)),FIND(":",TRIM(MID(SUBSTITUTE(G145,";",REPT(" ",99)),100,99)))-1),_Lookup!$A:$B,2,FALSE),"?")&amp;"×"&amp;MID(TRIM(MID(SUBSTITUTE(G145,";",REPT(" ",99)),100,99)),FIND(":",TRIM(MID(SUBSTITUTE(G145,";",REPT(" ",99)),100,99)))+1,99)),IF(TRIM(MID(SUBSTITUTE(G145,";",REPT(" ",99)),199,99))="","",IFERROR(VLOOKUP(--LEFT(TRIM(MID(SUBSTITUTE(G145,";",REPT(" ",99)),199,99)),FIND(":",TRIM(MID(SUBSTITUTE(G145,";",REPT(" ",99)),199,99)))-1),_Lookup!$A:$B,2,FALSE),"?")&amp;"×"&amp;MID(TRIM(MID(SUBSTITUTE(G145,";",REPT(" ",99)),199,99)),FIND(":",TRIM(MID(SUBSTITUTE(G145,";",REPT(" ",99)),199,99)))+1,99)),IF(TRIM(MID(SUBSTITUTE(G145,";",REPT(" ",99)),298,99))="","",IFERROR(VLOOKUP(--LEFT(TRIM(MID(SUBSTITUTE(G145,";",REPT(" ",99)),298,99)),FIND(":",TRIM(MID(SUBSTITUTE(G145,";",REPT(" ",99)),298,99)))-1),_Lookup!$A:$B,2,FALSE),"?")&amp;"×"&amp;MID(TRIM(MID(SUBSTITUTE(G145,";",REPT(" ",99)),298,99)),FIND(":",TRIM(MID(SUBSTITUTE(G145,";",REPT(" ",99)),298,99)))+1,99)),IF(TRIM(MID(SUBSTITUTE(G145,";",REPT(" ",99)),397,99))="","",IFERROR(VLOOKUP(--LEFT(TRIM(MID(SUBSTITUTE(G145,";",REPT(" ",99)),397,99)),FIND(":",TRIM(MID(SUBSTITUTE(G145,";",REPT(" ",99)),397,99)))-1),_Lookup!$A:$B,2,FALSE),"?")&amp;"×"&amp;MID(TRIM(MID(SUBSTITUTE(G145,";",REPT(" ",99)),397,99)),FIND(":",TRIM(MID(SUBSTITUTE(G145,";",REPT(" ",99)),397,99)))+1,99))))</f>
        <v/>
      </c>
    </row>
    <row r="146">
      <c r="C146" s="11">
        <f>IFERROR(VLOOKUP(B146,ItemData_Equipment!$A:$B,2,FALSE),"")</f>
        <v/>
      </c>
      <c r="H146" s="11">
        <f>IF(G146="","",TEXTJOIN("; ",TRUE,IF(TRIM(MID(SUBSTITUTE(G146,";",REPT(" ",99)),1,99))="","",IFERROR(VLOOKUP(--LEFT(TRIM(MID(SUBSTITUTE(G146,";",REPT(" ",99)),1,99)),FIND(":",TRIM(MID(SUBSTITUTE(G146,";",REPT(" ",99)),1,99)))-1),_Lookup!$A:$B,2,FALSE),"?")&amp;"×"&amp;MID(TRIM(MID(SUBSTITUTE(G146,";",REPT(" ",99)),1,99)),FIND(":",TRIM(MID(SUBSTITUTE(G146,";",REPT(" ",99)),1,99)))+1,99)),IF(TRIM(MID(SUBSTITUTE(G146,";",REPT(" ",99)),100,99))="","",IFERROR(VLOOKUP(--LEFT(TRIM(MID(SUBSTITUTE(G146,";",REPT(" ",99)),100,99)),FIND(":",TRIM(MID(SUBSTITUTE(G146,";",REPT(" ",99)),100,99)))-1),_Lookup!$A:$B,2,FALSE),"?")&amp;"×"&amp;MID(TRIM(MID(SUBSTITUTE(G146,";",REPT(" ",99)),100,99)),FIND(":",TRIM(MID(SUBSTITUTE(G146,";",REPT(" ",99)),100,99)))+1,99)),IF(TRIM(MID(SUBSTITUTE(G146,";",REPT(" ",99)),199,99))="","",IFERROR(VLOOKUP(--LEFT(TRIM(MID(SUBSTITUTE(G146,";",REPT(" ",99)),199,99)),FIND(":",TRIM(MID(SUBSTITUTE(G146,";",REPT(" ",99)),199,99)))-1),_Lookup!$A:$B,2,FALSE),"?")&amp;"×"&amp;MID(TRIM(MID(SUBSTITUTE(G146,";",REPT(" ",99)),199,99)),FIND(":",TRIM(MID(SUBSTITUTE(G146,";",REPT(" ",99)),199,99)))+1,99)),IF(TRIM(MID(SUBSTITUTE(G146,";",REPT(" ",99)),298,99))="","",IFERROR(VLOOKUP(--LEFT(TRIM(MID(SUBSTITUTE(G146,";",REPT(" ",99)),298,99)),FIND(":",TRIM(MID(SUBSTITUTE(G146,";",REPT(" ",99)),298,99)))-1),_Lookup!$A:$B,2,FALSE),"?")&amp;"×"&amp;MID(TRIM(MID(SUBSTITUTE(G146,";",REPT(" ",99)),298,99)),FIND(":",TRIM(MID(SUBSTITUTE(G146,";",REPT(" ",99)),298,99)))+1,99)),IF(TRIM(MID(SUBSTITUTE(G146,";",REPT(" ",99)),397,99))="","",IFERROR(VLOOKUP(--LEFT(TRIM(MID(SUBSTITUTE(G146,";",REPT(" ",99)),397,99)),FIND(":",TRIM(MID(SUBSTITUTE(G146,";",REPT(" ",99)),397,99)))-1),_Lookup!$A:$B,2,FALSE),"?")&amp;"×"&amp;MID(TRIM(MID(SUBSTITUTE(G146,";",REPT(" ",99)),397,99)),FIND(":",TRIM(MID(SUBSTITUTE(G146,";",REPT(" ",99)),397,99)))+1,99))))</f>
        <v/>
      </c>
    </row>
    <row r="147">
      <c r="C147" s="11">
        <f>IFERROR(VLOOKUP(B147,ItemData_Equipment!$A:$B,2,FALSE),"")</f>
        <v/>
      </c>
      <c r="H147" s="11">
        <f>IF(G147="","",TEXTJOIN("; ",TRUE,IF(TRIM(MID(SUBSTITUTE(G147,";",REPT(" ",99)),1,99))="","",IFERROR(VLOOKUP(--LEFT(TRIM(MID(SUBSTITUTE(G147,";",REPT(" ",99)),1,99)),FIND(":",TRIM(MID(SUBSTITUTE(G147,";",REPT(" ",99)),1,99)))-1),_Lookup!$A:$B,2,FALSE),"?")&amp;"×"&amp;MID(TRIM(MID(SUBSTITUTE(G147,";",REPT(" ",99)),1,99)),FIND(":",TRIM(MID(SUBSTITUTE(G147,";",REPT(" ",99)),1,99)))+1,99)),IF(TRIM(MID(SUBSTITUTE(G147,";",REPT(" ",99)),100,99))="","",IFERROR(VLOOKUP(--LEFT(TRIM(MID(SUBSTITUTE(G147,";",REPT(" ",99)),100,99)),FIND(":",TRIM(MID(SUBSTITUTE(G147,";",REPT(" ",99)),100,99)))-1),_Lookup!$A:$B,2,FALSE),"?")&amp;"×"&amp;MID(TRIM(MID(SUBSTITUTE(G147,";",REPT(" ",99)),100,99)),FIND(":",TRIM(MID(SUBSTITUTE(G147,";",REPT(" ",99)),100,99)))+1,99)),IF(TRIM(MID(SUBSTITUTE(G147,";",REPT(" ",99)),199,99))="","",IFERROR(VLOOKUP(--LEFT(TRIM(MID(SUBSTITUTE(G147,";",REPT(" ",99)),199,99)),FIND(":",TRIM(MID(SUBSTITUTE(G147,";",REPT(" ",99)),199,99)))-1),_Lookup!$A:$B,2,FALSE),"?")&amp;"×"&amp;MID(TRIM(MID(SUBSTITUTE(G147,";",REPT(" ",99)),199,99)),FIND(":",TRIM(MID(SUBSTITUTE(G147,";",REPT(" ",99)),199,99)))+1,99)),IF(TRIM(MID(SUBSTITUTE(G147,";",REPT(" ",99)),298,99))="","",IFERROR(VLOOKUP(--LEFT(TRIM(MID(SUBSTITUTE(G147,";",REPT(" ",99)),298,99)),FIND(":",TRIM(MID(SUBSTITUTE(G147,";",REPT(" ",99)),298,99)))-1),_Lookup!$A:$B,2,FALSE),"?")&amp;"×"&amp;MID(TRIM(MID(SUBSTITUTE(G147,";",REPT(" ",99)),298,99)),FIND(":",TRIM(MID(SUBSTITUTE(G147,";",REPT(" ",99)),298,99)))+1,99)),IF(TRIM(MID(SUBSTITUTE(G147,";",REPT(" ",99)),397,99))="","",IFERROR(VLOOKUP(--LEFT(TRIM(MID(SUBSTITUTE(G147,";",REPT(" ",99)),397,99)),FIND(":",TRIM(MID(SUBSTITUTE(G147,";",REPT(" ",99)),397,99)))-1),_Lookup!$A:$B,2,FALSE),"?")&amp;"×"&amp;MID(TRIM(MID(SUBSTITUTE(G147,";",REPT(" ",99)),397,99)),FIND(":",TRIM(MID(SUBSTITUTE(G147,";",REPT(" ",99)),397,99)))+1,99))))</f>
        <v/>
      </c>
    </row>
    <row r="148">
      <c r="C148" s="11">
        <f>IFERROR(VLOOKUP(B148,ItemData_Equipment!$A:$B,2,FALSE),"")</f>
        <v/>
      </c>
      <c r="H148" s="11">
        <f>IF(G148="","",TEXTJOIN("; ",TRUE,IF(TRIM(MID(SUBSTITUTE(G148,";",REPT(" ",99)),1,99))="","",IFERROR(VLOOKUP(--LEFT(TRIM(MID(SUBSTITUTE(G148,";",REPT(" ",99)),1,99)),FIND(":",TRIM(MID(SUBSTITUTE(G148,";",REPT(" ",99)),1,99)))-1),_Lookup!$A:$B,2,FALSE),"?")&amp;"×"&amp;MID(TRIM(MID(SUBSTITUTE(G148,";",REPT(" ",99)),1,99)),FIND(":",TRIM(MID(SUBSTITUTE(G148,";",REPT(" ",99)),1,99)))+1,99)),IF(TRIM(MID(SUBSTITUTE(G148,";",REPT(" ",99)),100,99))="","",IFERROR(VLOOKUP(--LEFT(TRIM(MID(SUBSTITUTE(G148,";",REPT(" ",99)),100,99)),FIND(":",TRIM(MID(SUBSTITUTE(G148,";",REPT(" ",99)),100,99)))-1),_Lookup!$A:$B,2,FALSE),"?")&amp;"×"&amp;MID(TRIM(MID(SUBSTITUTE(G148,";",REPT(" ",99)),100,99)),FIND(":",TRIM(MID(SUBSTITUTE(G148,";",REPT(" ",99)),100,99)))+1,99)),IF(TRIM(MID(SUBSTITUTE(G148,";",REPT(" ",99)),199,99))="","",IFERROR(VLOOKUP(--LEFT(TRIM(MID(SUBSTITUTE(G148,";",REPT(" ",99)),199,99)),FIND(":",TRIM(MID(SUBSTITUTE(G148,";",REPT(" ",99)),199,99)))-1),_Lookup!$A:$B,2,FALSE),"?")&amp;"×"&amp;MID(TRIM(MID(SUBSTITUTE(G148,";",REPT(" ",99)),199,99)),FIND(":",TRIM(MID(SUBSTITUTE(G148,";",REPT(" ",99)),199,99)))+1,99)),IF(TRIM(MID(SUBSTITUTE(G148,";",REPT(" ",99)),298,99))="","",IFERROR(VLOOKUP(--LEFT(TRIM(MID(SUBSTITUTE(G148,";",REPT(" ",99)),298,99)),FIND(":",TRIM(MID(SUBSTITUTE(G148,";",REPT(" ",99)),298,99)))-1),_Lookup!$A:$B,2,FALSE),"?")&amp;"×"&amp;MID(TRIM(MID(SUBSTITUTE(G148,";",REPT(" ",99)),298,99)),FIND(":",TRIM(MID(SUBSTITUTE(G148,";",REPT(" ",99)),298,99)))+1,99)),IF(TRIM(MID(SUBSTITUTE(G148,";",REPT(" ",99)),397,99))="","",IFERROR(VLOOKUP(--LEFT(TRIM(MID(SUBSTITUTE(G148,";",REPT(" ",99)),397,99)),FIND(":",TRIM(MID(SUBSTITUTE(G148,";",REPT(" ",99)),397,99)))-1),_Lookup!$A:$B,2,FALSE),"?")&amp;"×"&amp;MID(TRIM(MID(SUBSTITUTE(G148,";",REPT(" ",99)),397,99)),FIND(":",TRIM(MID(SUBSTITUTE(G148,";",REPT(" ",99)),397,99)))+1,99))))</f>
        <v/>
      </c>
    </row>
    <row r="149">
      <c r="C149" s="11">
        <f>IFERROR(VLOOKUP(B149,ItemData_Equipment!$A:$B,2,FALSE),"")</f>
        <v/>
      </c>
      <c r="H149" s="11">
        <f>IF(G149="","",TEXTJOIN("; ",TRUE,IF(TRIM(MID(SUBSTITUTE(G149,";",REPT(" ",99)),1,99))="","",IFERROR(VLOOKUP(--LEFT(TRIM(MID(SUBSTITUTE(G149,";",REPT(" ",99)),1,99)),FIND(":",TRIM(MID(SUBSTITUTE(G149,";",REPT(" ",99)),1,99)))-1),_Lookup!$A:$B,2,FALSE),"?")&amp;"×"&amp;MID(TRIM(MID(SUBSTITUTE(G149,";",REPT(" ",99)),1,99)),FIND(":",TRIM(MID(SUBSTITUTE(G149,";",REPT(" ",99)),1,99)))+1,99)),IF(TRIM(MID(SUBSTITUTE(G149,";",REPT(" ",99)),100,99))="","",IFERROR(VLOOKUP(--LEFT(TRIM(MID(SUBSTITUTE(G149,";",REPT(" ",99)),100,99)),FIND(":",TRIM(MID(SUBSTITUTE(G149,";",REPT(" ",99)),100,99)))-1),_Lookup!$A:$B,2,FALSE),"?")&amp;"×"&amp;MID(TRIM(MID(SUBSTITUTE(G149,";",REPT(" ",99)),100,99)),FIND(":",TRIM(MID(SUBSTITUTE(G149,";",REPT(" ",99)),100,99)))+1,99)),IF(TRIM(MID(SUBSTITUTE(G149,";",REPT(" ",99)),199,99))="","",IFERROR(VLOOKUP(--LEFT(TRIM(MID(SUBSTITUTE(G149,";",REPT(" ",99)),199,99)),FIND(":",TRIM(MID(SUBSTITUTE(G149,";",REPT(" ",99)),199,99)))-1),_Lookup!$A:$B,2,FALSE),"?")&amp;"×"&amp;MID(TRIM(MID(SUBSTITUTE(G149,";",REPT(" ",99)),199,99)),FIND(":",TRIM(MID(SUBSTITUTE(G149,";",REPT(" ",99)),199,99)))+1,99)),IF(TRIM(MID(SUBSTITUTE(G149,";",REPT(" ",99)),298,99))="","",IFERROR(VLOOKUP(--LEFT(TRIM(MID(SUBSTITUTE(G149,";",REPT(" ",99)),298,99)),FIND(":",TRIM(MID(SUBSTITUTE(G149,";",REPT(" ",99)),298,99)))-1),_Lookup!$A:$B,2,FALSE),"?")&amp;"×"&amp;MID(TRIM(MID(SUBSTITUTE(G149,";",REPT(" ",99)),298,99)),FIND(":",TRIM(MID(SUBSTITUTE(G149,";",REPT(" ",99)),298,99)))+1,99)),IF(TRIM(MID(SUBSTITUTE(G149,";",REPT(" ",99)),397,99))="","",IFERROR(VLOOKUP(--LEFT(TRIM(MID(SUBSTITUTE(G149,";",REPT(" ",99)),397,99)),FIND(":",TRIM(MID(SUBSTITUTE(G149,";",REPT(" ",99)),397,99)))-1),_Lookup!$A:$B,2,FALSE),"?")&amp;"×"&amp;MID(TRIM(MID(SUBSTITUTE(G149,";",REPT(" ",99)),397,99)),FIND(":",TRIM(MID(SUBSTITUTE(G149,";",REPT(" ",99)),397,99)))+1,99))))</f>
        <v/>
      </c>
    </row>
    <row r="150">
      <c r="C150" s="11">
        <f>IFERROR(VLOOKUP(B150,ItemData_Equipment!$A:$B,2,FALSE),"")</f>
        <v/>
      </c>
      <c r="H150" s="11">
        <f>IF(G150="","",TEXTJOIN("; ",TRUE,IF(TRIM(MID(SUBSTITUTE(G150,";",REPT(" ",99)),1,99))="","",IFERROR(VLOOKUP(--LEFT(TRIM(MID(SUBSTITUTE(G150,";",REPT(" ",99)),1,99)),FIND(":",TRIM(MID(SUBSTITUTE(G150,";",REPT(" ",99)),1,99)))-1),_Lookup!$A:$B,2,FALSE),"?")&amp;"×"&amp;MID(TRIM(MID(SUBSTITUTE(G150,";",REPT(" ",99)),1,99)),FIND(":",TRIM(MID(SUBSTITUTE(G150,";",REPT(" ",99)),1,99)))+1,99)),IF(TRIM(MID(SUBSTITUTE(G150,";",REPT(" ",99)),100,99))="","",IFERROR(VLOOKUP(--LEFT(TRIM(MID(SUBSTITUTE(G150,";",REPT(" ",99)),100,99)),FIND(":",TRIM(MID(SUBSTITUTE(G150,";",REPT(" ",99)),100,99)))-1),_Lookup!$A:$B,2,FALSE),"?")&amp;"×"&amp;MID(TRIM(MID(SUBSTITUTE(G150,";",REPT(" ",99)),100,99)),FIND(":",TRIM(MID(SUBSTITUTE(G150,";",REPT(" ",99)),100,99)))+1,99)),IF(TRIM(MID(SUBSTITUTE(G150,";",REPT(" ",99)),199,99))="","",IFERROR(VLOOKUP(--LEFT(TRIM(MID(SUBSTITUTE(G150,";",REPT(" ",99)),199,99)),FIND(":",TRIM(MID(SUBSTITUTE(G150,";",REPT(" ",99)),199,99)))-1),_Lookup!$A:$B,2,FALSE),"?")&amp;"×"&amp;MID(TRIM(MID(SUBSTITUTE(G150,";",REPT(" ",99)),199,99)),FIND(":",TRIM(MID(SUBSTITUTE(G150,";",REPT(" ",99)),199,99)))+1,99)),IF(TRIM(MID(SUBSTITUTE(G150,";",REPT(" ",99)),298,99))="","",IFERROR(VLOOKUP(--LEFT(TRIM(MID(SUBSTITUTE(G150,";",REPT(" ",99)),298,99)),FIND(":",TRIM(MID(SUBSTITUTE(G150,";",REPT(" ",99)),298,99)))-1),_Lookup!$A:$B,2,FALSE),"?")&amp;"×"&amp;MID(TRIM(MID(SUBSTITUTE(G150,";",REPT(" ",99)),298,99)),FIND(":",TRIM(MID(SUBSTITUTE(G150,";",REPT(" ",99)),298,99)))+1,99)),IF(TRIM(MID(SUBSTITUTE(G150,";",REPT(" ",99)),397,99))="","",IFERROR(VLOOKUP(--LEFT(TRIM(MID(SUBSTITUTE(G150,";",REPT(" ",99)),397,99)),FIND(":",TRIM(MID(SUBSTITUTE(G150,";",REPT(" ",99)),397,99)))-1),_Lookup!$A:$B,2,FALSE),"?")&amp;"×"&amp;MID(TRIM(MID(SUBSTITUTE(G150,";",REPT(" ",99)),397,99)),FIND(":",TRIM(MID(SUBSTITUTE(G150,";",REPT(" ",99)),397,99)))+1,99))))</f>
        <v/>
      </c>
    </row>
    <row r="151">
      <c r="C151" s="11">
        <f>IFERROR(VLOOKUP(B151,ItemData_Equipment!$A:$B,2,FALSE),"")</f>
        <v/>
      </c>
      <c r="H151" s="11">
        <f>IF(G151="","",TEXTJOIN("; ",TRUE,IF(TRIM(MID(SUBSTITUTE(G151,";",REPT(" ",99)),1,99))="","",IFERROR(VLOOKUP(--LEFT(TRIM(MID(SUBSTITUTE(G151,";",REPT(" ",99)),1,99)),FIND(":",TRIM(MID(SUBSTITUTE(G151,";",REPT(" ",99)),1,99)))-1),_Lookup!$A:$B,2,FALSE),"?")&amp;"×"&amp;MID(TRIM(MID(SUBSTITUTE(G151,";",REPT(" ",99)),1,99)),FIND(":",TRIM(MID(SUBSTITUTE(G151,";",REPT(" ",99)),1,99)))+1,99)),IF(TRIM(MID(SUBSTITUTE(G151,";",REPT(" ",99)),100,99))="","",IFERROR(VLOOKUP(--LEFT(TRIM(MID(SUBSTITUTE(G151,";",REPT(" ",99)),100,99)),FIND(":",TRIM(MID(SUBSTITUTE(G151,";",REPT(" ",99)),100,99)))-1),_Lookup!$A:$B,2,FALSE),"?")&amp;"×"&amp;MID(TRIM(MID(SUBSTITUTE(G151,";",REPT(" ",99)),100,99)),FIND(":",TRIM(MID(SUBSTITUTE(G151,";",REPT(" ",99)),100,99)))+1,99)),IF(TRIM(MID(SUBSTITUTE(G151,";",REPT(" ",99)),199,99))="","",IFERROR(VLOOKUP(--LEFT(TRIM(MID(SUBSTITUTE(G151,";",REPT(" ",99)),199,99)),FIND(":",TRIM(MID(SUBSTITUTE(G151,";",REPT(" ",99)),199,99)))-1),_Lookup!$A:$B,2,FALSE),"?")&amp;"×"&amp;MID(TRIM(MID(SUBSTITUTE(G151,";",REPT(" ",99)),199,99)),FIND(":",TRIM(MID(SUBSTITUTE(G151,";",REPT(" ",99)),199,99)))+1,99)),IF(TRIM(MID(SUBSTITUTE(G151,";",REPT(" ",99)),298,99))="","",IFERROR(VLOOKUP(--LEFT(TRIM(MID(SUBSTITUTE(G151,";",REPT(" ",99)),298,99)),FIND(":",TRIM(MID(SUBSTITUTE(G151,";",REPT(" ",99)),298,99)))-1),_Lookup!$A:$B,2,FALSE),"?")&amp;"×"&amp;MID(TRIM(MID(SUBSTITUTE(G151,";",REPT(" ",99)),298,99)),FIND(":",TRIM(MID(SUBSTITUTE(G151,";",REPT(" ",99)),298,99)))+1,99)),IF(TRIM(MID(SUBSTITUTE(G151,";",REPT(" ",99)),397,99))="","",IFERROR(VLOOKUP(--LEFT(TRIM(MID(SUBSTITUTE(G151,";",REPT(" ",99)),397,99)),FIND(":",TRIM(MID(SUBSTITUTE(G151,";",REPT(" ",99)),397,99)))-1),_Lookup!$A:$B,2,FALSE),"?")&amp;"×"&amp;MID(TRIM(MID(SUBSTITUTE(G151,";",REPT(" ",99)),397,99)),FIND(":",TRIM(MID(SUBSTITUTE(G151,";",REPT(" ",99)),397,99)))+1,99))))</f>
        <v/>
      </c>
    </row>
    <row r="152">
      <c r="C152" s="11">
        <f>IFERROR(VLOOKUP(B152,ItemData_Equipment!$A:$B,2,FALSE),"")</f>
        <v/>
      </c>
      <c r="H152" s="11">
        <f>IF(G152="","",TEXTJOIN("; ",TRUE,IF(TRIM(MID(SUBSTITUTE(G152,";",REPT(" ",99)),1,99))="","",IFERROR(VLOOKUP(--LEFT(TRIM(MID(SUBSTITUTE(G152,";",REPT(" ",99)),1,99)),FIND(":",TRIM(MID(SUBSTITUTE(G152,";",REPT(" ",99)),1,99)))-1),_Lookup!$A:$B,2,FALSE),"?")&amp;"×"&amp;MID(TRIM(MID(SUBSTITUTE(G152,";",REPT(" ",99)),1,99)),FIND(":",TRIM(MID(SUBSTITUTE(G152,";",REPT(" ",99)),1,99)))+1,99)),IF(TRIM(MID(SUBSTITUTE(G152,";",REPT(" ",99)),100,99))="","",IFERROR(VLOOKUP(--LEFT(TRIM(MID(SUBSTITUTE(G152,";",REPT(" ",99)),100,99)),FIND(":",TRIM(MID(SUBSTITUTE(G152,";",REPT(" ",99)),100,99)))-1),_Lookup!$A:$B,2,FALSE),"?")&amp;"×"&amp;MID(TRIM(MID(SUBSTITUTE(G152,";",REPT(" ",99)),100,99)),FIND(":",TRIM(MID(SUBSTITUTE(G152,";",REPT(" ",99)),100,99)))+1,99)),IF(TRIM(MID(SUBSTITUTE(G152,";",REPT(" ",99)),199,99))="","",IFERROR(VLOOKUP(--LEFT(TRIM(MID(SUBSTITUTE(G152,";",REPT(" ",99)),199,99)),FIND(":",TRIM(MID(SUBSTITUTE(G152,";",REPT(" ",99)),199,99)))-1),_Lookup!$A:$B,2,FALSE),"?")&amp;"×"&amp;MID(TRIM(MID(SUBSTITUTE(G152,";",REPT(" ",99)),199,99)),FIND(":",TRIM(MID(SUBSTITUTE(G152,";",REPT(" ",99)),199,99)))+1,99)),IF(TRIM(MID(SUBSTITUTE(G152,";",REPT(" ",99)),298,99))="","",IFERROR(VLOOKUP(--LEFT(TRIM(MID(SUBSTITUTE(G152,";",REPT(" ",99)),298,99)),FIND(":",TRIM(MID(SUBSTITUTE(G152,";",REPT(" ",99)),298,99)))-1),_Lookup!$A:$B,2,FALSE),"?")&amp;"×"&amp;MID(TRIM(MID(SUBSTITUTE(G152,";",REPT(" ",99)),298,99)),FIND(":",TRIM(MID(SUBSTITUTE(G152,";",REPT(" ",99)),298,99)))+1,99)),IF(TRIM(MID(SUBSTITUTE(G152,";",REPT(" ",99)),397,99))="","",IFERROR(VLOOKUP(--LEFT(TRIM(MID(SUBSTITUTE(G152,";",REPT(" ",99)),397,99)),FIND(":",TRIM(MID(SUBSTITUTE(G152,";",REPT(" ",99)),397,99)))-1),_Lookup!$A:$B,2,FALSE),"?")&amp;"×"&amp;MID(TRIM(MID(SUBSTITUTE(G152,";",REPT(" ",99)),397,99)),FIND(":",TRIM(MID(SUBSTITUTE(G152,";",REPT(" ",99)),397,99)))+1,99))))</f>
        <v/>
      </c>
    </row>
    <row r="153">
      <c r="C153" s="11">
        <f>IFERROR(VLOOKUP(B153,ItemData_Equipment!$A:$B,2,FALSE),"")</f>
        <v/>
      </c>
      <c r="H153" s="11">
        <f>IF(G153="","",TEXTJOIN("; ",TRUE,IF(TRIM(MID(SUBSTITUTE(G153,";",REPT(" ",99)),1,99))="","",IFERROR(VLOOKUP(--LEFT(TRIM(MID(SUBSTITUTE(G153,";",REPT(" ",99)),1,99)),FIND(":",TRIM(MID(SUBSTITUTE(G153,";",REPT(" ",99)),1,99)))-1),_Lookup!$A:$B,2,FALSE),"?")&amp;"×"&amp;MID(TRIM(MID(SUBSTITUTE(G153,";",REPT(" ",99)),1,99)),FIND(":",TRIM(MID(SUBSTITUTE(G153,";",REPT(" ",99)),1,99)))+1,99)),IF(TRIM(MID(SUBSTITUTE(G153,";",REPT(" ",99)),100,99))="","",IFERROR(VLOOKUP(--LEFT(TRIM(MID(SUBSTITUTE(G153,";",REPT(" ",99)),100,99)),FIND(":",TRIM(MID(SUBSTITUTE(G153,";",REPT(" ",99)),100,99)))-1),_Lookup!$A:$B,2,FALSE),"?")&amp;"×"&amp;MID(TRIM(MID(SUBSTITUTE(G153,";",REPT(" ",99)),100,99)),FIND(":",TRIM(MID(SUBSTITUTE(G153,";",REPT(" ",99)),100,99)))+1,99)),IF(TRIM(MID(SUBSTITUTE(G153,";",REPT(" ",99)),199,99))="","",IFERROR(VLOOKUP(--LEFT(TRIM(MID(SUBSTITUTE(G153,";",REPT(" ",99)),199,99)),FIND(":",TRIM(MID(SUBSTITUTE(G153,";",REPT(" ",99)),199,99)))-1),_Lookup!$A:$B,2,FALSE),"?")&amp;"×"&amp;MID(TRIM(MID(SUBSTITUTE(G153,";",REPT(" ",99)),199,99)),FIND(":",TRIM(MID(SUBSTITUTE(G153,";",REPT(" ",99)),199,99)))+1,99)),IF(TRIM(MID(SUBSTITUTE(G153,";",REPT(" ",99)),298,99))="","",IFERROR(VLOOKUP(--LEFT(TRIM(MID(SUBSTITUTE(G153,";",REPT(" ",99)),298,99)),FIND(":",TRIM(MID(SUBSTITUTE(G153,";",REPT(" ",99)),298,99)))-1),_Lookup!$A:$B,2,FALSE),"?")&amp;"×"&amp;MID(TRIM(MID(SUBSTITUTE(G153,";",REPT(" ",99)),298,99)),FIND(":",TRIM(MID(SUBSTITUTE(G153,";",REPT(" ",99)),298,99)))+1,99)),IF(TRIM(MID(SUBSTITUTE(G153,";",REPT(" ",99)),397,99))="","",IFERROR(VLOOKUP(--LEFT(TRIM(MID(SUBSTITUTE(G153,";",REPT(" ",99)),397,99)),FIND(":",TRIM(MID(SUBSTITUTE(G153,";",REPT(" ",99)),397,99)))-1),_Lookup!$A:$B,2,FALSE),"?")&amp;"×"&amp;MID(TRIM(MID(SUBSTITUTE(G153,";",REPT(" ",99)),397,99)),FIND(":",TRIM(MID(SUBSTITUTE(G153,";",REPT(" ",99)),397,99)))+1,99))))</f>
        <v/>
      </c>
    </row>
    <row r="154">
      <c r="C154" s="11">
        <f>IFERROR(VLOOKUP(B154,ItemData_Equipment!$A:$B,2,FALSE),"")</f>
        <v/>
      </c>
      <c r="H154" s="11">
        <f>IF(G154="","",TEXTJOIN("; ",TRUE,IF(TRIM(MID(SUBSTITUTE(G154,";",REPT(" ",99)),1,99))="","",IFERROR(VLOOKUP(--LEFT(TRIM(MID(SUBSTITUTE(G154,";",REPT(" ",99)),1,99)),FIND(":",TRIM(MID(SUBSTITUTE(G154,";",REPT(" ",99)),1,99)))-1),_Lookup!$A:$B,2,FALSE),"?")&amp;"×"&amp;MID(TRIM(MID(SUBSTITUTE(G154,";",REPT(" ",99)),1,99)),FIND(":",TRIM(MID(SUBSTITUTE(G154,";",REPT(" ",99)),1,99)))+1,99)),IF(TRIM(MID(SUBSTITUTE(G154,";",REPT(" ",99)),100,99))="","",IFERROR(VLOOKUP(--LEFT(TRIM(MID(SUBSTITUTE(G154,";",REPT(" ",99)),100,99)),FIND(":",TRIM(MID(SUBSTITUTE(G154,";",REPT(" ",99)),100,99)))-1),_Lookup!$A:$B,2,FALSE),"?")&amp;"×"&amp;MID(TRIM(MID(SUBSTITUTE(G154,";",REPT(" ",99)),100,99)),FIND(":",TRIM(MID(SUBSTITUTE(G154,";",REPT(" ",99)),100,99)))+1,99)),IF(TRIM(MID(SUBSTITUTE(G154,";",REPT(" ",99)),199,99))="","",IFERROR(VLOOKUP(--LEFT(TRIM(MID(SUBSTITUTE(G154,";",REPT(" ",99)),199,99)),FIND(":",TRIM(MID(SUBSTITUTE(G154,";",REPT(" ",99)),199,99)))-1),_Lookup!$A:$B,2,FALSE),"?")&amp;"×"&amp;MID(TRIM(MID(SUBSTITUTE(G154,";",REPT(" ",99)),199,99)),FIND(":",TRIM(MID(SUBSTITUTE(G154,";",REPT(" ",99)),199,99)))+1,99)),IF(TRIM(MID(SUBSTITUTE(G154,";",REPT(" ",99)),298,99))="","",IFERROR(VLOOKUP(--LEFT(TRIM(MID(SUBSTITUTE(G154,";",REPT(" ",99)),298,99)),FIND(":",TRIM(MID(SUBSTITUTE(G154,";",REPT(" ",99)),298,99)))-1),_Lookup!$A:$B,2,FALSE),"?")&amp;"×"&amp;MID(TRIM(MID(SUBSTITUTE(G154,";",REPT(" ",99)),298,99)),FIND(":",TRIM(MID(SUBSTITUTE(G154,";",REPT(" ",99)),298,99)))+1,99)),IF(TRIM(MID(SUBSTITUTE(G154,";",REPT(" ",99)),397,99))="","",IFERROR(VLOOKUP(--LEFT(TRIM(MID(SUBSTITUTE(G154,";",REPT(" ",99)),397,99)),FIND(":",TRIM(MID(SUBSTITUTE(G154,";",REPT(" ",99)),397,99)))-1),_Lookup!$A:$B,2,FALSE),"?")&amp;"×"&amp;MID(TRIM(MID(SUBSTITUTE(G154,";",REPT(" ",99)),397,99)),FIND(":",TRIM(MID(SUBSTITUTE(G154,";",REPT(" ",99)),397,99)))+1,99))))</f>
        <v/>
      </c>
    </row>
    <row r="155">
      <c r="C155" s="11">
        <f>IFERROR(VLOOKUP(B155,ItemData_Equipment!$A:$B,2,FALSE),"")</f>
        <v/>
      </c>
      <c r="H155" s="11">
        <f>IF(G155="","",TEXTJOIN("; ",TRUE,IF(TRIM(MID(SUBSTITUTE(G155,";",REPT(" ",99)),1,99))="","",IFERROR(VLOOKUP(--LEFT(TRIM(MID(SUBSTITUTE(G155,";",REPT(" ",99)),1,99)),FIND(":",TRIM(MID(SUBSTITUTE(G155,";",REPT(" ",99)),1,99)))-1),_Lookup!$A:$B,2,FALSE),"?")&amp;"×"&amp;MID(TRIM(MID(SUBSTITUTE(G155,";",REPT(" ",99)),1,99)),FIND(":",TRIM(MID(SUBSTITUTE(G155,";",REPT(" ",99)),1,99)))+1,99)),IF(TRIM(MID(SUBSTITUTE(G155,";",REPT(" ",99)),100,99))="","",IFERROR(VLOOKUP(--LEFT(TRIM(MID(SUBSTITUTE(G155,";",REPT(" ",99)),100,99)),FIND(":",TRIM(MID(SUBSTITUTE(G155,";",REPT(" ",99)),100,99)))-1),_Lookup!$A:$B,2,FALSE),"?")&amp;"×"&amp;MID(TRIM(MID(SUBSTITUTE(G155,";",REPT(" ",99)),100,99)),FIND(":",TRIM(MID(SUBSTITUTE(G155,";",REPT(" ",99)),100,99)))+1,99)),IF(TRIM(MID(SUBSTITUTE(G155,";",REPT(" ",99)),199,99))="","",IFERROR(VLOOKUP(--LEFT(TRIM(MID(SUBSTITUTE(G155,";",REPT(" ",99)),199,99)),FIND(":",TRIM(MID(SUBSTITUTE(G155,";",REPT(" ",99)),199,99)))-1),_Lookup!$A:$B,2,FALSE),"?")&amp;"×"&amp;MID(TRIM(MID(SUBSTITUTE(G155,";",REPT(" ",99)),199,99)),FIND(":",TRIM(MID(SUBSTITUTE(G155,";",REPT(" ",99)),199,99)))+1,99)),IF(TRIM(MID(SUBSTITUTE(G155,";",REPT(" ",99)),298,99))="","",IFERROR(VLOOKUP(--LEFT(TRIM(MID(SUBSTITUTE(G155,";",REPT(" ",99)),298,99)),FIND(":",TRIM(MID(SUBSTITUTE(G155,";",REPT(" ",99)),298,99)))-1),_Lookup!$A:$B,2,FALSE),"?")&amp;"×"&amp;MID(TRIM(MID(SUBSTITUTE(G155,";",REPT(" ",99)),298,99)),FIND(":",TRIM(MID(SUBSTITUTE(G155,";",REPT(" ",99)),298,99)))+1,99)),IF(TRIM(MID(SUBSTITUTE(G155,";",REPT(" ",99)),397,99))="","",IFERROR(VLOOKUP(--LEFT(TRIM(MID(SUBSTITUTE(G155,";",REPT(" ",99)),397,99)),FIND(":",TRIM(MID(SUBSTITUTE(G155,";",REPT(" ",99)),397,99)))-1),_Lookup!$A:$B,2,FALSE),"?")&amp;"×"&amp;MID(TRIM(MID(SUBSTITUTE(G155,";",REPT(" ",99)),397,99)),FIND(":",TRIM(MID(SUBSTITUTE(G155,";",REPT(" ",99)),397,99)))+1,99))))</f>
        <v/>
      </c>
    </row>
    <row r="156">
      <c r="C156" s="11">
        <f>IFERROR(VLOOKUP(B156,ItemData_Equipment!$A:$B,2,FALSE),"")</f>
        <v/>
      </c>
      <c r="H156" s="11">
        <f>IF(G156="","",TEXTJOIN("; ",TRUE,IF(TRIM(MID(SUBSTITUTE(G156,";",REPT(" ",99)),1,99))="","",IFERROR(VLOOKUP(--LEFT(TRIM(MID(SUBSTITUTE(G156,";",REPT(" ",99)),1,99)),FIND(":",TRIM(MID(SUBSTITUTE(G156,";",REPT(" ",99)),1,99)))-1),_Lookup!$A:$B,2,FALSE),"?")&amp;"×"&amp;MID(TRIM(MID(SUBSTITUTE(G156,";",REPT(" ",99)),1,99)),FIND(":",TRIM(MID(SUBSTITUTE(G156,";",REPT(" ",99)),1,99)))+1,99)),IF(TRIM(MID(SUBSTITUTE(G156,";",REPT(" ",99)),100,99))="","",IFERROR(VLOOKUP(--LEFT(TRIM(MID(SUBSTITUTE(G156,";",REPT(" ",99)),100,99)),FIND(":",TRIM(MID(SUBSTITUTE(G156,";",REPT(" ",99)),100,99)))-1),_Lookup!$A:$B,2,FALSE),"?")&amp;"×"&amp;MID(TRIM(MID(SUBSTITUTE(G156,";",REPT(" ",99)),100,99)),FIND(":",TRIM(MID(SUBSTITUTE(G156,";",REPT(" ",99)),100,99)))+1,99)),IF(TRIM(MID(SUBSTITUTE(G156,";",REPT(" ",99)),199,99))="","",IFERROR(VLOOKUP(--LEFT(TRIM(MID(SUBSTITUTE(G156,";",REPT(" ",99)),199,99)),FIND(":",TRIM(MID(SUBSTITUTE(G156,";",REPT(" ",99)),199,99)))-1),_Lookup!$A:$B,2,FALSE),"?")&amp;"×"&amp;MID(TRIM(MID(SUBSTITUTE(G156,";",REPT(" ",99)),199,99)),FIND(":",TRIM(MID(SUBSTITUTE(G156,";",REPT(" ",99)),199,99)))+1,99)),IF(TRIM(MID(SUBSTITUTE(G156,";",REPT(" ",99)),298,99))="","",IFERROR(VLOOKUP(--LEFT(TRIM(MID(SUBSTITUTE(G156,";",REPT(" ",99)),298,99)),FIND(":",TRIM(MID(SUBSTITUTE(G156,";",REPT(" ",99)),298,99)))-1),_Lookup!$A:$B,2,FALSE),"?")&amp;"×"&amp;MID(TRIM(MID(SUBSTITUTE(G156,";",REPT(" ",99)),298,99)),FIND(":",TRIM(MID(SUBSTITUTE(G156,";",REPT(" ",99)),298,99)))+1,99)),IF(TRIM(MID(SUBSTITUTE(G156,";",REPT(" ",99)),397,99))="","",IFERROR(VLOOKUP(--LEFT(TRIM(MID(SUBSTITUTE(G156,";",REPT(" ",99)),397,99)),FIND(":",TRIM(MID(SUBSTITUTE(G156,";",REPT(" ",99)),397,99)))-1),_Lookup!$A:$B,2,FALSE),"?")&amp;"×"&amp;MID(TRIM(MID(SUBSTITUTE(G156,";",REPT(" ",99)),397,99)),FIND(":",TRIM(MID(SUBSTITUTE(G156,";",REPT(" ",99)),397,99)))+1,99))))</f>
        <v/>
      </c>
    </row>
    <row r="157">
      <c r="C157" s="11">
        <f>IFERROR(VLOOKUP(B157,ItemData_Equipment!$A:$B,2,FALSE),"")</f>
        <v/>
      </c>
      <c r="H157" s="11">
        <f>IF(G157="","",TEXTJOIN("; ",TRUE,IF(TRIM(MID(SUBSTITUTE(G157,";",REPT(" ",99)),1,99))="","",IFERROR(VLOOKUP(--LEFT(TRIM(MID(SUBSTITUTE(G157,";",REPT(" ",99)),1,99)),FIND(":",TRIM(MID(SUBSTITUTE(G157,";",REPT(" ",99)),1,99)))-1),_Lookup!$A:$B,2,FALSE),"?")&amp;"×"&amp;MID(TRIM(MID(SUBSTITUTE(G157,";",REPT(" ",99)),1,99)),FIND(":",TRIM(MID(SUBSTITUTE(G157,";",REPT(" ",99)),1,99)))+1,99)),IF(TRIM(MID(SUBSTITUTE(G157,";",REPT(" ",99)),100,99))="","",IFERROR(VLOOKUP(--LEFT(TRIM(MID(SUBSTITUTE(G157,";",REPT(" ",99)),100,99)),FIND(":",TRIM(MID(SUBSTITUTE(G157,";",REPT(" ",99)),100,99)))-1),_Lookup!$A:$B,2,FALSE),"?")&amp;"×"&amp;MID(TRIM(MID(SUBSTITUTE(G157,";",REPT(" ",99)),100,99)),FIND(":",TRIM(MID(SUBSTITUTE(G157,";",REPT(" ",99)),100,99)))+1,99)),IF(TRIM(MID(SUBSTITUTE(G157,";",REPT(" ",99)),199,99))="","",IFERROR(VLOOKUP(--LEFT(TRIM(MID(SUBSTITUTE(G157,";",REPT(" ",99)),199,99)),FIND(":",TRIM(MID(SUBSTITUTE(G157,";",REPT(" ",99)),199,99)))-1),_Lookup!$A:$B,2,FALSE),"?")&amp;"×"&amp;MID(TRIM(MID(SUBSTITUTE(G157,";",REPT(" ",99)),199,99)),FIND(":",TRIM(MID(SUBSTITUTE(G157,";",REPT(" ",99)),199,99)))+1,99)),IF(TRIM(MID(SUBSTITUTE(G157,";",REPT(" ",99)),298,99))="","",IFERROR(VLOOKUP(--LEFT(TRIM(MID(SUBSTITUTE(G157,";",REPT(" ",99)),298,99)),FIND(":",TRIM(MID(SUBSTITUTE(G157,";",REPT(" ",99)),298,99)))-1),_Lookup!$A:$B,2,FALSE),"?")&amp;"×"&amp;MID(TRIM(MID(SUBSTITUTE(G157,";",REPT(" ",99)),298,99)),FIND(":",TRIM(MID(SUBSTITUTE(G157,";",REPT(" ",99)),298,99)))+1,99)),IF(TRIM(MID(SUBSTITUTE(G157,";",REPT(" ",99)),397,99))="","",IFERROR(VLOOKUP(--LEFT(TRIM(MID(SUBSTITUTE(G157,";",REPT(" ",99)),397,99)),FIND(":",TRIM(MID(SUBSTITUTE(G157,";",REPT(" ",99)),397,99)))-1),_Lookup!$A:$B,2,FALSE),"?")&amp;"×"&amp;MID(TRIM(MID(SUBSTITUTE(G157,";",REPT(" ",99)),397,99)),FIND(":",TRIM(MID(SUBSTITUTE(G157,";",REPT(" ",99)),397,99)))+1,99))))</f>
        <v/>
      </c>
    </row>
    <row r="158">
      <c r="C158" s="11">
        <f>IFERROR(VLOOKUP(B158,ItemData_Equipment!$A:$B,2,FALSE),"")</f>
        <v/>
      </c>
      <c r="H158" s="11">
        <f>IF(G158="","",TEXTJOIN("; ",TRUE,IF(TRIM(MID(SUBSTITUTE(G158,";",REPT(" ",99)),1,99))="","",IFERROR(VLOOKUP(--LEFT(TRIM(MID(SUBSTITUTE(G158,";",REPT(" ",99)),1,99)),FIND(":",TRIM(MID(SUBSTITUTE(G158,";",REPT(" ",99)),1,99)))-1),_Lookup!$A:$B,2,FALSE),"?")&amp;"×"&amp;MID(TRIM(MID(SUBSTITUTE(G158,";",REPT(" ",99)),1,99)),FIND(":",TRIM(MID(SUBSTITUTE(G158,";",REPT(" ",99)),1,99)))+1,99)),IF(TRIM(MID(SUBSTITUTE(G158,";",REPT(" ",99)),100,99))="","",IFERROR(VLOOKUP(--LEFT(TRIM(MID(SUBSTITUTE(G158,";",REPT(" ",99)),100,99)),FIND(":",TRIM(MID(SUBSTITUTE(G158,";",REPT(" ",99)),100,99)))-1),_Lookup!$A:$B,2,FALSE),"?")&amp;"×"&amp;MID(TRIM(MID(SUBSTITUTE(G158,";",REPT(" ",99)),100,99)),FIND(":",TRIM(MID(SUBSTITUTE(G158,";",REPT(" ",99)),100,99)))+1,99)),IF(TRIM(MID(SUBSTITUTE(G158,";",REPT(" ",99)),199,99))="","",IFERROR(VLOOKUP(--LEFT(TRIM(MID(SUBSTITUTE(G158,";",REPT(" ",99)),199,99)),FIND(":",TRIM(MID(SUBSTITUTE(G158,";",REPT(" ",99)),199,99)))-1),_Lookup!$A:$B,2,FALSE),"?")&amp;"×"&amp;MID(TRIM(MID(SUBSTITUTE(G158,";",REPT(" ",99)),199,99)),FIND(":",TRIM(MID(SUBSTITUTE(G158,";",REPT(" ",99)),199,99)))+1,99)),IF(TRIM(MID(SUBSTITUTE(G158,";",REPT(" ",99)),298,99))="","",IFERROR(VLOOKUP(--LEFT(TRIM(MID(SUBSTITUTE(G158,";",REPT(" ",99)),298,99)),FIND(":",TRIM(MID(SUBSTITUTE(G158,";",REPT(" ",99)),298,99)))-1),_Lookup!$A:$B,2,FALSE),"?")&amp;"×"&amp;MID(TRIM(MID(SUBSTITUTE(G158,";",REPT(" ",99)),298,99)),FIND(":",TRIM(MID(SUBSTITUTE(G158,";",REPT(" ",99)),298,99)))+1,99)),IF(TRIM(MID(SUBSTITUTE(G158,";",REPT(" ",99)),397,99))="","",IFERROR(VLOOKUP(--LEFT(TRIM(MID(SUBSTITUTE(G158,";",REPT(" ",99)),397,99)),FIND(":",TRIM(MID(SUBSTITUTE(G158,";",REPT(" ",99)),397,99)))-1),_Lookup!$A:$B,2,FALSE),"?")&amp;"×"&amp;MID(TRIM(MID(SUBSTITUTE(G158,";",REPT(" ",99)),397,99)),FIND(":",TRIM(MID(SUBSTITUTE(G158,";",REPT(" ",99)),397,99)))+1,99))))</f>
        <v/>
      </c>
    </row>
    <row r="159">
      <c r="C159" s="11">
        <f>IFERROR(VLOOKUP(B159,ItemData_Equipment!$A:$B,2,FALSE),"")</f>
        <v/>
      </c>
      <c r="H159" s="11">
        <f>IF(G159="","",TEXTJOIN("; ",TRUE,IF(TRIM(MID(SUBSTITUTE(G159,";",REPT(" ",99)),1,99))="","",IFERROR(VLOOKUP(--LEFT(TRIM(MID(SUBSTITUTE(G159,";",REPT(" ",99)),1,99)),FIND(":",TRIM(MID(SUBSTITUTE(G159,";",REPT(" ",99)),1,99)))-1),_Lookup!$A:$B,2,FALSE),"?")&amp;"×"&amp;MID(TRIM(MID(SUBSTITUTE(G159,";",REPT(" ",99)),1,99)),FIND(":",TRIM(MID(SUBSTITUTE(G159,";",REPT(" ",99)),1,99)))+1,99)),IF(TRIM(MID(SUBSTITUTE(G159,";",REPT(" ",99)),100,99))="","",IFERROR(VLOOKUP(--LEFT(TRIM(MID(SUBSTITUTE(G159,";",REPT(" ",99)),100,99)),FIND(":",TRIM(MID(SUBSTITUTE(G159,";",REPT(" ",99)),100,99)))-1),_Lookup!$A:$B,2,FALSE),"?")&amp;"×"&amp;MID(TRIM(MID(SUBSTITUTE(G159,";",REPT(" ",99)),100,99)),FIND(":",TRIM(MID(SUBSTITUTE(G159,";",REPT(" ",99)),100,99)))+1,99)),IF(TRIM(MID(SUBSTITUTE(G159,";",REPT(" ",99)),199,99))="","",IFERROR(VLOOKUP(--LEFT(TRIM(MID(SUBSTITUTE(G159,";",REPT(" ",99)),199,99)),FIND(":",TRIM(MID(SUBSTITUTE(G159,";",REPT(" ",99)),199,99)))-1),_Lookup!$A:$B,2,FALSE),"?")&amp;"×"&amp;MID(TRIM(MID(SUBSTITUTE(G159,";",REPT(" ",99)),199,99)),FIND(":",TRIM(MID(SUBSTITUTE(G159,";",REPT(" ",99)),199,99)))+1,99)),IF(TRIM(MID(SUBSTITUTE(G159,";",REPT(" ",99)),298,99))="","",IFERROR(VLOOKUP(--LEFT(TRIM(MID(SUBSTITUTE(G159,";",REPT(" ",99)),298,99)),FIND(":",TRIM(MID(SUBSTITUTE(G159,";",REPT(" ",99)),298,99)))-1),_Lookup!$A:$B,2,FALSE),"?")&amp;"×"&amp;MID(TRIM(MID(SUBSTITUTE(G159,";",REPT(" ",99)),298,99)),FIND(":",TRIM(MID(SUBSTITUTE(G159,";",REPT(" ",99)),298,99)))+1,99)),IF(TRIM(MID(SUBSTITUTE(G159,";",REPT(" ",99)),397,99))="","",IFERROR(VLOOKUP(--LEFT(TRIM(MID(SUBSTITUTE(G159,";",REPT(" ",99)),397,99)),FIND(":",TRIM(MID(SUBSTITUTE(G159,";",REPT(" ",99)),397,99)))-1),_Lookup!$A:$B,2,FALSE),"?")&amp;"×"&amp;MID(TRIM(MID(SUBSTITUTE(G159,";",REPT(" ",99)),397,99)),FIND(":",TRIM(MID(SUBSTITUTE(G159,";",REPT(" ",99)),397,99)))+1,99))))</f>
        <v/>
      </c>
    </row>
    <row r="160">
      <c r="C160" s="11">
        <f>IFERROR(VLOOKUP(B160,ItemData_Equipment!$A:$B,2,FALSE),"")</f>
        <v/>
      </c>
      <c r="H160" s="11">
        <f>IF(G160="","",TEXTJOIN("; ",TRUE,IF(TRIM(MID(SUBSTITUTE(G160,";",REPT(" ",99)),1,99))="","",IFERROR(VLOOKUP(--LEFT(TRIM(MID(SUBSTITUTE(G160,";",REPT(" ",99)),1,99)),FIND(":",TRIM(MID(SUBSTITUTE(G160,";",REPT(" ",99)),1,99)))-1),_Lookup!$A:$B,2,FALSE),"?")&amp;"×"&amp;MID(TRIM(MID(SUBSTITUTE(G160,";",REPT(" ",99)),1,99)),FIND(":",TRIM(MID(SUBSTITUTE(G160,";",REPT(" ",99)),1,99)))+1,99)),IF(TRIM(MID(SUBSTITUTE(G160,";",REPT(" ",99)),100,99))="","",IFERROR(VLOOKUP(--LEFT(TRIM(MID(SUBSTITUTE(G160,";",REPT(" ",99)),100,99)),FIND(":",TRIM(MID(SUBSTITUTE(G160,";",REPT(" ",99)),100,99)))-1),_Lookup!$A:$B,2,FALSE),"?")&amp;"×"&amp;MID(TRIM(MID(SUBSTITUTE(G160,";",REPT(" ",99)),100,99)),FIND(":",TRIM(MID(SUBSTITUTE(G160,";",REPT(" ",99)),100,99)))+1,99)),IF(TRIM(MID(SUBSTITUTE(G160,";",REPT(" ",99)),199,99))="","",IFERROR(VLOOKUP(--LEFT(TRIM(MID(SUBSTITUTE(G160,";",REPT(" ",99)),199,99)),FIND(":",TRIM(MID(SUBSTITUTE(G160,";",REPT(" ",99)),199,99)))-1),_Lookup!$A:$B,2,FALSE),"?")&amp;"×"&amp;MID(TRIM(MID(SUBSTITUTE(G160,";",REPT(" ",99)),199,99)),FIND(":",TRIM(MID(SUBSTITUTE(G160,";",REPT(" ",99)),199,99)))+1,99)),IF(TRIM(MID(SUBSTITUTE(G160,";",REPT(" ",99)),298,99))="","",IFERROR(VLOOKUP(--LEFT(TRIM(MID(SUBSTITUTE(G160,";",REPT(" ",99)),298,99)),FIND(":",TRIM(MID(SUBSTITUTE(G160,";",REPT(" ",99)),298,99)))-1),_Lookup!$A:$B,2,FALSE),"?")&amp;"×"&amp;MID(TRIM(MID(SUBSTITUTE(G160,";",REPT(" ",99)),298,99)),FIND(":",TRIM(MID(SUBSTITUTE(G160,";",REPT(" ",99)),298,99)))+1,99)),IF(TRIM(MID(SUBSTITUTE(G160,";",REPT(" ",99)),397,99))="","",IFERROR(VLOOKUP(--LEFT(TRIM(MID(SUBSTITUTE(G160,";",REPT(" ",99)),397,99)),FIND(":",TRIM(MID(SUBSTITUTE(G160,";",REPT(" ",99)),397,99)))-1),_Lookup!$A:$B,2,FALSE),"?")&amp;"×"&amp;MID(TRIM(MID(SUBSTITUTE(G160,";",REPT(" ",99)),397,99)),FIND(":",TRIM(MID(SUBSTITUTE(G160,";",REPT(" ",99)),397,99)))+1,99))))</f>
        <v/>
      </c>
    </row>
    <row r="161">
      <c r="C161" s="11">
        <f>IFERROR(VLOOKUP(B161,ItemData_Equipment!$A:$B,2,FALSE),"")</f>
        <v/>
      </c>
      <c r="H161" s="11">
        <f>IF(G161="","",TEXTJOIN("; ",TRUE,IF(TRIM(MID(SUBSTITUTE(G161,";",REPT(" ",99)),1,99))="","",IFERROR(VLOOKUP(--LEFT(TRIM(MID(SUBSTITUTE(G161,";",REPT(" ",99)),1,99)),FIND(":",TRIM(MID(SUBSTITUTE(G161,";",REPT(" ",99)),1,99)))-1),_Lookup!$A:$B,2,FALSE),"?")&amp;"×"&amp;MID(TRIM(MID(SUBSTITUTE(G161,";",REPT(" ",99)),1,99)),FIND(":",TRIM(MID(SUBSTITUTE(G161,";",REPT(" ",99)),1,99)))+1,99)),IF(TRIM(MID(SUBSTITUTE(G161,";",REPT(" ",99)),100,99))="","",IFERROR(VLOOKUP(--LEFT(TRIM(MID(SUBSTITUTE(G161,";",REPT(" ",99)),100,99)),FIND(":",TRIM(MID(SUBSTITUTE(G161,";",REPT(" ",99)),100,99)))-1),_Lookup!$A:$B,2,FALSE),"?")&amp;"×"&amp;MID(TRIM(MID(SUBSTITUTE(G161,";",REPT(" ",99)),100,99)),FIND(":",TRIM(MID(SUBSTITUTE(G161,";",REPT(" ",99)),100,99)))+1,99)),IF(TRIM(MID(SUBSTITUTE(G161,";",REPT(" ",99)),199,99))="","",IFERROR(VLOOKUP(--LEFT(TRIM(MID(SUBSTITUTE(G161,";",REPT(" ",99)),199,99)),FIND(":",TRIM(MID(SUBSTITUTE(G161,";",REPT(" ",99)),199,99)))-1),_Lookup!$A:$B,2,FALSE),"?")&amp;"×"&amp;MID(TRIM(MID(SUBSTITUTE(G161,";",REPT(" ",99)),199,99)),FIND(":",TRIM(MID(SUBSTITUTE(G161,";",REPT(" ",99)),199,99)))+1,99)),IF(TRIM(MID(SUBSTITUTE(G161,";",REPT(" ",99)),298,99))="","",IFERROR(VLOOKUP(--LEFT(TRIM(MID(SUBSTITUTE(G161,";",REPT(" ",99)),298,99)),FIND(":",TRIM(MID(SUBSTITUTE(G161,";",REPT(" ",99)),298,99)))-1),_Lookup!$A:$B,2,FALSE),"?")&amp;"×"&amp;MID(TRIM(MID(SUBSTITUTE(G161,";",REPT(" ",99)),298,99)),FIND(":",TRIM(MID(SUBSTITUTE(G161,";",REPT(" ",99)),298,99)))+1,99)),IF(TRIM(MID(SUBSTITUTE(G161,";",REPT(" ",99)),397,99))="","",IFERROR(VLOOKUP(--LEFT(TRIM(MID(SUBSTITUTE(G161,";",REPT(" ",99)),397,99)),FIND(":",TRIM(MID(SUBSTITUTE(G161,";",REPT(" ",99)),397,99)))-1),_Lookup!$A:$B,2,FALSE),"?")&amp;"×"&amp;MID(TRIM(MID(SUBSTITUTE(G161,";",REPT(" ",99)),397,99)),FIND(":",TRIM(MID(SUBSTITUTE(G161,";",REPT(" ",99)),397,99)))+1,99))))</f>
        <v/>
      </c>
    </row>
    <row r="162">
      <c r="C162" s="11">
        <f>IFERROR(VLOOKUP(B162,ItemData_Equipment!$A:$B,2,FALSE),"")</f>
        <v/>
      </c>
      <c r="H162" s="11">
        <f>IF(G162="","",TEXTJOIN("; ",TRUE,IF(TRIM(MID(SUBSTITUTE(G162,";",REPT(" ",99)),1,99))="","",IFERROR(VLOOKUP(--LEFT(TRIM(MID(SUBSTITUTE(G162,";",REPT(" ",99)),1,99)),FIND(":",TRIM(MID(SUBSTITUTE(G162,";",REPT(" ",99)),1,99)))-1),_Lookup!$A:$B,2,FALSE),"?")&amp;"×"&amp;MID(TRIM(MID(SUBSTITUTE(G162,";",REPT(" ",99)),1,99)),FIND(":",TRIM(MID(SUBSTITUTE(G162,";",REPT(" ",99)),1,99)))+1,99)),IF(TRIM(MID(SUBSTITUTE(G162,";",REPT(" ",99)),100,99))="","",IFERROR(VLOOKUP(--LEFT(TRIM(MID(SUBSTITUTE(G162,";",REPT(" ",99)),100,99)),FIND(":",TRIM(MID(SUBSTITUTE(G162,";",REPT(" ",99)),100,99)))-1),_Lookup!$A:$B,2,FALSE),"?")&amp;"×"&amp;MID(TRIM(MID(SUBSTITUTE(G162,";",REPT(" ",99)),100,99)),FIND(":",TRIM(MID(SUBSTITUTE(G162,";",REPT(" ",99)),100,99)))+1,99)),IF(TRIM(MID(SUBSTITUTE(G162,";",REPT(" ",99)),199,99))="","",IFERROR(VLOOKUP(--LEFT(TRIM(MID(SUBSTITUTE(G162,";",REPT(" ",99)),199,99)),FIND(":",TRIM(MID(SUBSTITUTE(G162,";",REPT(" ",99)),199,99)))-1),_Lookup!$A:$B,2,FALSE),"?")&amp;"×"&amp;MID(TRIM(MID(SUBSTITUTE(G162,";",REPT(" ",99)),199,99)),FIND(":",TRIM(MID(SUBSTITUTE(G162,";",REPT(" ",99)),199,99)))+1,99)),IF(TRIM(MID(SUBSTITUTE(G162,";",REPT(" ",99)),298,99))="","",IFERROR(VLOOKUP(--LEFT(TRIM(MID(SUBSTITUTE(G162,";",REPT(" ",99)),298,99)),FIND(":",TRIM(MID(SUBSTITUTE(G162,";",REPT(" ",99)),298,99)))-1),_Lookup!$A:$B,2,FALSE),"?")&amp;"×"&amp;MID(TRIM(MID(SUBSTITUTE(G162,";",REPT(" ",99)),298,99)),FIND(":",TRIM(MID(SUBSTITUTE(G162,";",REPT(" ",99)),298,99)))+1,99)),IF(TRIM(MID(SUBSTITUTE(G162,";",REPT(" ",99)),397,99))="","",IFERROR(VLOOKUP(--LEFT(TRIM(MID(SUBSTITUTE(G162,";",REPT(" ",99)),397,99)),FIND(":",TRIM(MID(SUBSTITUTE(G162,";",REPT(" ",99)),397,99)))-1),_Lookup!$A:$B,2,FALSE),"?")&amp;"×"&amp;MID(TRIM(MID(SUBSTITUTE(G162,";",REPT(" ",99)),397,99)),FIND(":",TRIM(MID(SUBSTITUTE(G162,";",REPT(" ",99)),397,99)))+1,99))))</f>
        <v/>
      </c>
    </row>
    <row r="163">
      <c r="C163" s="11">
        <f>IFERROR(VLOOKUP(B163,ItemData_Equipment!$A:$B,2,FALSE),"")</f>
        <v/>
      </c>
      <c r="H163" s="11">
        <f>IF(G163="","",TEXTJOIN("; ",TRUE,IF(TRIM(MID(SUBSTITUTE(G163,";",REPT(" ",99)),1,99))="","",IFERROR(VLOOKUP(--LEFT(TRIM(MID(SUBSTITUTE(G163,";",REPT(" ",99)),1,99)),FIND(":",TRIM(MID(SUBSTITUTE(G163,";",REPT(" ",99)),1,99)))-1),_Lookup!$A:$B,2,FALSE),"?")&amp;"×"&amp;MID(TRIM(MID(SUBSTITUTE(G163,";",REPT(" ",99)),1,99)),FIND(":",TRIM(MID(SUBSTITUTE(G163,";",REPT(" ",99)),1,99)))+1,99)),IF(TRIM(MID(SUBSTITUTE(G163,";",REPT(" ",99)),100,99))="","",IFERROR(VLOOKUP(--LEFT(TRIM(MID(SUBSTITUTE(G163,";",REPT(" ",99)),100,99)),FIND(":",TRIM(MID(SUBSTITUTE(G163,";",REPT(" ",99)),100,99)))-1),_Lookup!$A:$B,2,FALSE),"?")&amp;"×"&amp;MID(TRIM(MID(SUBSTITUTE(G163,";",REPT(" ",99)),100,99)),FIND(":",TRIM(MID(SUBSTITUTE(G163,";",REPT(" ",99)),100,99)))+1,99)),IF(TRIM(MID(SUBSTITUTE(G163,";",REPT(" ",99)),199,99))="","",IFERROR(VLOOKUP(--LEFT(TRIM(MID(SUBSTITUTE(G163,";",REPT(" ",99)),199,99)),FIND(":",TRIM(MID(SUBSTITUTE(G163,";",REPT(" ",99)),199,99)))-1),_Lookup!$A:$B,2,FALSE),"?")&amp;"×"&amp;MID(TRIM(MID(SUBSTITUTE(G163,";",REPT(" ",99)),199,99)),FIND(":",TRIM(MID(SUBSTITUTE(G163,";",REPT(" ",99)),199,99)))+1,99)),IF(TRIM(MID(SUBSTITUTE(G163,";",REPT(" ",99)),298,99))="","",IFERROR(VLOOKUP(--LEFT(TRIM(MID(SUBSTITUTE(G163,";",REPT(" ",99)),298,99)),FIND(":",TRIM(MID(SUBSTITUTE(G163,";",REPT(" ",99)),298,99)))-1),_Lookup!$A:$B,2,FALSE),"?")&amp;"×"&amp;MID(TRIM(MID(SUBSTITUTE(G163,";",REPT(" ",99)),298,99)),FIND(":",TRIM(MID(SUBSTITUTE(G163,";",REPT(" ",99)),298,99)))+1,99)),IF(TRIM(MID(SUBSTITUTE(G163,";",REPT(" ",99)),397,99))="","",IFERROR(VLOOKUP(--LEFT(TRIM(MID(SUBSTITUTE(G163,";",REPT(" ",99)),397,99)),FIND(":",TRIM(MID(SUBSTITUTE(G163,";",REPT(" ",99)),397,99)))-1),_Lookup!$A:$B,2,FALSE),"?")&amp;"×"&amp;MID(TRIM(MID(SUBSTITUTE(G163,";",REPT(" ",99)),397,99)),FIND(":",TRIM(MID(SUBSTITUTE(G163,";",REPT(" ",99)),397,99)))+1,99))))</f>
        <v/>
      </c>
    </row>
    <row r="164">
      <c r="C164" s="11">
        <f>IFERROR(VLOOKUP(B164,ItemData_Equipment!$A:$B,2,FALSE),"")</f>
        <v/>
      </c>
      <c r="H164" s="11">
        <f>IF(G164="","",TEXTJOIN("; ",TRUE,IF(TRIM(MID(SUBSTITUTE(G164,";",REPT(" ",99)),1,99))="","",IFERROR(VLOOKUP(--LEFT(TRIM(MID(SUBSTITUTE(G164,";",REPT(" ",99)),1,99)),FIND(":",TRIM(MID(SUBSTITUTE(G164,";",REPT(" ",99)),1,99)))-1),_Lookup!$A:$B,2,FALSE),"?")&amp;"×"&amp;MID(TRIM(MID(SUBSTITUTE(G164,";",REPT(" ",99)),1,99)),FIND(":",TRIM(MID(SUBSTITUTE(G164,";",REPT(" ",99)),1,99)))+1,99)),IF(TRIM(MID(SUBSTITUTE(G164,";",REPT(" ",99)),100,99))="","",IFERROR(VLOOKUP(--LEFT(TRIM(MID(SUBSTITUTE(G164,";",REPT(" ",99)),100,99)),FIND(":",TRIM(MID(SUBSTITUTE(G164,";",REPT(" ",99)),100,99)))-1),_Lookup!$A:$B,2,FALSE),"?")&amp;"×"&amp;MID(TRIM(MID(SUBSTITUTE(G164,";",REPT(" ",99)),100,99)),FIND(":",TRIM(MID(SUBSTITUTE(G164,";",REPT(" ",99)),100,99)))+1,99)),IF(TRIM(MID(SUBSTITUTE(G164,";",REPT(" ",99)),199,99))="","",IFERROR(VLOOKUP(--LEFT(TRIM(MID(SUBSTITUTE(G164,";",REPT(" ",99)),199,99)),FIND(":",TRIM(MID(SUBSTITUTE(G164,";",REPT(" ",99)),199,99)))-1),_Lookup!$A:$B,2,FALSE),"?")&amp;"×"&amp;MID(TRIM(MID(SUBSTITUTE(G164,";",REPT(" ",99)),199,99)),FIND(":",TRIM(MID(SUBSTITUTE(G164,";",REPT(" ",99)),199,99)))+1,99)),IF(TRIM(MID(SUBSTITUTE(G164,";",REPT(" ",99)),298,99))="","",IFERROR(VLOOKUP(--LEFT(TRIM(MID(SUBSTITUTE(G164,";",REPT(" ",99)),298,99)),FIND(":",TRIM(MID(SUBSTITUTE(G164,";",REPT(" ",99)),298,99)))-1),_Lookup!$A:$B,2,FALSE),"?")&amp;"×"&amp;MID(TRIM(MID(SUBSTITUTE(G164,";",REPT(" ",99)),298,99)),FIND(":",TRIM(MID(SUBSTITUTE(G164,";",REPT(" ",99)),298,99)))+1,99)),IF(TRIM(MID(SUBSTITUTE(G164,";",REPT(" ",99)),397,99))="","",IFERROR(VLOOKUP(--LEFT(TRIM(MID(SUBSTITUTE(G164,";",REPT(" ",99)),397,99)),FIND(":",TRIM(MID(SUBSTITUTE(G164,";",REPT(" ",99)),397,99)))-1),_Lookup!$A:$B,2,FALSE),"?")&amp;"×"&amp;MID(TRIM(MID(SUBSTITUTE(G164,";",REPT(" ",99)),397,99)),FIND(":",TRIM(MID(SUBSTITUTE(G164,";",REPT(" ",99)),397,99)))+1,99))))</f>
        <v/>
      </c>
    </row>
    <row r="165">
      <c r="C165" s="11">
        <f>IFERROR(VLOOKUP(B165,ItemData_Equipment!$A:$B,2,FALSE),"")</f>
        <v/>
      </c>
      <c r="H165" s="11">
        <f>IF(G165="","",TEXTJOIN("; ",TRUE,IF(TRIM(MID(SUBSTITUTE(G165,";",REPT(" ",99)),1,99))="","",IFERROR(VLOOKUP(--LEFT(TRIM(MID(SUBSTITUTE(G165,";",REPT(" ",99)),1,99)),FIND(":",TRIM(MID(SUBSTITUTE(G165,";",REPT(" ",99)),1,99)))-1),_Lookup!$A:$B,2,FALSE),"?")&amp;"×"&amp;MID(TRIM(MID(SUBSTITUTE(G165,";",REPT(" ",99)),1,99)),FIND(":",TRIM(MID(SUBSTITUTE(G165,";",REPT(" ",99)),1,99)))+1,99)),IF(TRIM(MID(SUBSTITUTE(G165,";",REPT(" ",99)),100,99))="","",IFERROR(VLOOKUP(--LEFT(TRIM(MID(SUBSTITUTE(G165,";",REPT(" ",99)),100,99)),FIND(":",TRIM(MID(SUBSTITUTE(G165,";",REPT(" ",99)),100,99)))-1),_Lookup!$A:$B,2,FALSE),"?")&amp;"×"&amp;MID(TRIM(MID(SUBSTITUTE(G165,";",REPT(" ",99)),100,99)),FIND(":",TRIM(MID(SUBSTITUTE(G165,";",REPT(" ",99)),100,99)))+1,99)),IF(TRIM(MID(SUBSTITUTE(G165,";",REPT(" ",99)),199,99))="","",IFERROR(VLOOKUP(--LEFT(TRIM(MID(SUBSTITUTE(G165,";",REPT(" ",99)),199,99)),FIND(":",TRIM(MID(SUBSTITUTE(G165,";",REPT(" ",99)),199,99)))-1),_Lookup!$A:$B,2,FALSE),"?")&amp;"×"&amp;MID(TRIM(MID(SUBSTITUTE(G165,";",REPT(" ",99)),199,99)),FIND(":",TRIM(MID(SUBSTITUTE(G165,";",REPT(" ",99)),199,99)))+1,99)),IF(TRIM(MID(SUBSTITUTE(G165,";",REPT(" ",99)),298,99))="","",IFERROR(VLOOKUP(--LEFT(TRIM(MID(SUBSTITUTE(G165,";",REPT(" ",99)),298,99)),FIND(":",TRIM(MID(SUBSTITUTE(G165,";",REPT(" ",99)),298,99)))-1),_Lookup!$A:$B,2,FALSE),"?")&amp;"×"&amp;MID(TRIM(MID(SUBSTITUTE(G165,";",REPT(" ",99)),298,99)),FIND(":",TRIM(MID(SUBSTITUTE(G165,";",REPT(" ",99)),298,99)))+1,99)),IF(TRIM(MID(SUBSTITUTE(G165,";",REPT(" ",99)),397,99))="","",IFERROR(VLOOKUP(--LEFT(TRIM(MID(SUBSTITUTE(G165,";",REPT(" ",99)),397,99)),FIND(":",TRIM(MID(SUBSTITUTE(G165,";",REPT(" ",99)),397,99)))-1),_Lookup!$A:$B,2,FALSE),"?")&amp;"×"&amp;MID(TRIM(MID(SUBSTITUTE(G165,";",REPT(" ",99)),397,99)),FIND(":",TRIM(MID(SUBSTITUTE(G165,";",REPT(" ",99)),397,99)))+1,99))))</f>
        <v/>
      </c>
    </row>
    <row r="166">
      <c r="C166" s="11">
        <f>IFERROR(VLOOKUP(B166,ItemData_Equipment!$A:$B,2,FALSE),"")</f>
        <v/>
      </c>
      <c r="H166" s="11">
        <f>IF(G166="","",TEXTJOIN("; ",TRUE,IF(TRIM(MID(SUBSTITUTE(G166,";",REPT(" ",99)),1,99))="","",IFERROR(VLOOKUP(--LEFT(TRIM(MID(SUBSTITUTE(G166,";",REPT(" ",99)),1,99)),FIND(":",TRIM(MID(SUBSTITUTE(G166,";",REPT(" ",99)),1,99)))-1),_Lookup!$A:$B,2,FALSE),"?")&amp;"×"&amp;MID(TRIM(MID(SUBSTITUTE(G166,";",REPT(" ",99)),1,99)),FIND(":",TRIM(MID(SUBSTITUTE(G166,";",REPT(" ",99)),1,99)))+1,99)),IF(TRIM(MID(SUBSTITUTE(G166,";",REPT(" ",99)),100,99))="","",IFERROR(VLOOKUP(--LEFT(TRIM(MID(SUBSTITUTE(G166,";",REPT(" ",99)),100,99)),FIND(":",TRIM(MID(SUBSTITUTE(G166,";",REPT(" ",99)),100,99)))-1),_Lookup!$A:$B,2,FALSE),"?")&amp;"×"&amp;MID(TRIM(MID(SUBSTITUTE(G166,";",REPT(" ",99)),100,99)),FIND(":",TRIM(MID(SUBSTITUTE(G166,";",REPT(" ",99)),100,99)))+1,99)),IF(TRIM(MID(SUBSTITUTE(G166,";",REPT(" ",99)),199,99))="","",IFERROR(VLOOKUP(--LEFT(TRIM(MID(SUBSTITUTE(G166,";",REPT(" ",99)),199,99)),FIND(":",TRIM(MID(SUBSTITUTE(G166,";",REPT(" ",99)),199,99)))-1),_Lookup!$A:$B,2,FALSE),"?")&amp;"×"&amp;MID(TRIM(MID(SUBSTITUTE(G166,";",REPT(" ",99)),199,99)),FIND(":",TRIM(MID(SUBSTITUTE(G166,";",REPT(" ",99)),199,99)))+1,99)),IF(TRIM(MID(SUBSTITUTE(G166,";",REPT(" ",99)),298,99))="","",IFERROR(VLOOKUP(--LEFT(TRIM(MID(SUBSTITUTE(G166,";",REPT(" ",99)),298,99)),FIND(":",TRIM(MID(SUBSTITUTE(G166,";",REPT(" ",99)),298,99)))-1),_Lookup!$A:$B,2,FALSE),"?")&amp;"×"&amp;MID(TRIM(MID(SUBSTITUTE(G166,";",REPT(" ",99)),298,99)),FIND(":",TRIM(MID(SUBSTITUTE(G166,";",REPT(" ",99)),298,99)))+1,99)),IF(TRIM(MID(SUBSTITUTE(G166,";",REPT(" ",99)),397,99))="","",IFERROR(VLOOKUP(--LEFT(TRIM(MID(SUBSTITUTE(G166,";",REPT(" ",99)),397,99)),FIND(":",TRIM(MID(SUBSTITUTE(G166,";",REPT(" ",99)),397,99)))-1),_Lookup!$A:$B,2,FALSE),"?")&amp;"×"&amp;MID(TRIM(MID(SUBSTITUTE(G166,";",REPT(" ",99)),397,99)),FIND(":",TRIM(MID(SUBSTITUTE(G166,";",REPT(" ",99)),397,99)))+1,99))))</f>
        <v/>
      </c>
    </row>
    <row r="167">
      <c r="C167" s="11">
        <f>IFERROR(VLOOKUP(B167,ItemData_Equipment!$A:$B,2,FALSE),"")</f>
        <v/>
      </c>
      <c r="H167" s="11">
        <f>IF(G167="","",TEXTJOIN("; ",TRUE,IF(TRIM(MID(SUBSTITUTE(G167,";",REPT(" ",99)),1,99))="","",IFERROR(VLOOKUP(--LEFT(TRIM(MID(SUBSTITUTE(G167,";",REPT(" ",99)),1,99)),FIND(":",TRIM(MID(SUBSTITUTE(G167,";",REPT(" ",99)),1,99)))-1),_Lookup!$A:$B,2,FALSE),"?")&amp;"×"&amp;MID(TRIM(MID(SUBSTITUTE(G167,";",REPT(" ",99)),1,99)),FIND(":",TRIM(MID(SUBSTITUTE(G167,";",REPT(" ",99)),1,99)))+1,99)),IF(TRIM(MID(SUBSTITUTE(G167,";",REPT(" ",99)),100,99))="","",IFERROR(VLOOKUP(--LEFT(TRIM(MID(SUBSTITUTE(G167,";",REPT(" ",99)),100,99)),FIND(":",TRIM(MID(SUBSTITUTE(G167,";",REPT(" ",99)),100,99)))-1),_Lookup!$A:$B,2,FALSE),"?")&amp;"×"&amp;MID(TRIM(MID(SUBSTITUTE(G167,";",REPT(" ",99)),100,99)),FIND(":",TRIM(MID(SUBSTITUTE(G167,";",REPT(" ",99)),100,99)))+1,99)),IF(TRIM(MID(SUBSTITUTE(G167,";",REPT(" ",99)),199,99))="","",IFERROR(VLOOKUP(--LEFT(TRIM(MID(SUBSTITUTE(G167,";",REPT(" ",99)),199,99)),FIND(":",TRIM(MID(SUBSTITUTE(G167,";",REPT(" ",99)),199,99)))-1),_Lookup!$A:$B,2,FALSE),"?")&amp;"×"&amp;MID(TRIM(MID(SUBSTITUTE(G167,";",REPT(" ",99)),199,99)),FIND(":",TRIM(MID(SUBSTITUTE(G167,";",REPT(" ",99)),199,99)))+1,99)),IF(TRIM(MID(SUBSTITUTE(G167,";",REPT(" ",99)),298,99))="","",IFERROR(VLOOKUP(--LEFT(TRIM(MID(SUBSTITUTE(G167,";",REPT(" ",99)),298,99)),FIND(":",TRIM(MID(SUBSTITUTE(G167,";",REPT(" ",99)),298,99)))-1),_Lookup!$A:$B,2,FALSE),"?")&amp;"×"&amp;MID(TRIM(MID(SUBSTITUTE(G167,";",REPT(" ",99)),298,99)),FIND(":",TRIM(MID(SUBSTITUTE(G167,";",REPT(" ",99)),298,99)))+1,99)),IF(TRIM(MID(SUBSTITUTE(G167,";",REPT(" ",99)),397,99))="","",IFERROR(VLOOKUP(--LEFT(TRIM(MID(SUBSTITUTE(G167,";",REPT(" ",99)),397,99)),FIND(":",TRIM(MID(SUBSTITUTE(G167,";",REPT(" ",99)),397,99)))-1),_Lookup!$A:$B,2,FALSE),"?")&amp;"×"&amp;MID(TRIM(MID(SUBSTITUTE(G167,";",REPT(" ",99)),397,99)),FIND(":",TRIM(MID(SUBSTITUTE(G167,";",REPT(" ",99)),397,99)))+1,99))))</f>
        <v/>
      </c>
    </row>
    <row r="168">
      <c r="C168" s="11">
        <f>IFERROR(VLOOKUP(B168,ItemData_Equipment!$A:$B,2,FALSE),"")</f>
        <v/>
      </c>
      <c r="H168" s="11">
        <f>IF(G168="","",TEXTJOIN("; ",TRUE,IF(TRIM(MID(SUBSTITUTE(G168,";",REPT(" ",99)),1,99))="","",IFERROR(VLOOKUP(--LEFT(TRIM(MID(SUBSTITUTE(G168,";",REPT(" ",99)),1,99)),FIND(":",TRIM(MID(SUBSTITUTE(G168,";",REPT(" ",99)),1,99)))-1),_Lookup!$A:$B,2,FALSE),"?")&amp;"×"&amp;MID(TRIM(MID(SUBSTITUTE(G168,";",REPT(" ",99)),1,99)),FIND(":",TRIM(MID(SUBSTITUTE(G168,";",REPT(" ",99)),1,99)))+1,99)),IF(TRIM(MID(SUBSTITUTE(G168,";",REPT(" ",99)),100,99))="","",IFERROR(VLOOKUP(--LEFT(TRIM(MID(SUBSTITUTE(G168,";",REPT(" ",99)),100,99)),FIND(":",TRIM(MID(SUBSTITUTE(G168,";",REPT(" ",99)),100,99)))-1),_Lookup!$A:$B,2,FALSE),"?")&amp;"×"&amp;MID(TRIM(MID(SUBSTITUTE(G168,";",REPT(" ",99)),100,99)),FIND(":",TRIM(MID(SUBSTITUTE(G168,";",REPT(" ",99)),100,99)))+1,99)),IF(TRIM(MID(SUBSTITUTE(G168,";",REPT(" ",99)),199,99))="","",IFERROR(VLOOKUP(--LEFT(TRIM(MID(SUBSTITUTE(G168,";",REPT(" ",99)),199,99)),FIND(":",TRIM(MID(SUBSTITUTE(G168,";",REPT(" ",99)),199,99)))-1),_Lookup!$A:$B,2,FALSE),"?")&amp;"×"&amp;MID(TRIM(MID(SUBSTITUTE(G168,";",REPT(" ",99)),199,99)),FIND(":",TRIM(MID(SUBSTITUTE(G168,";",REPT(" ",99)),199,99)))+1,99)),IF(TRIM(MID(SUBSTITUTE(G168,";",REPT(" ",99)),298,99))="","",IFERROR(VLOOKUP(--LEFT(TRIM(MID(SUBSTITUTE(G168,";",REPT(" ",99)),298,99)),FIND(":",TRIM(MID(SUBSTITUTE(G168,";",REPT(" ",99)),298,99)))-1),_Lookup!$A:$B,2,FALSE),"?")&amp;"×"&amp;MID(TRIM(MID(SUBSTITUTE(G168,";",REPT(" ",99)),298,99)),FIND(":",TRIM(MID(SUBSTITUTE(G168,";",REPT(" ",99)),298,99)))+1,99)),IF(TRIM(MID(SUBSTITUTE(G168,";",REPT(" ",99)),397,99))="","",IFERROR(VLOOKUP(--LEFT(TRIM(MID(SUBSTITUTE(G168,";",REPT(" ",99)),397,99)),FIND(":",TRIM(MID(SUBSTITUTE(G168,";",REPT(" ",99)),397,99)))-1),_Lookup!$A:$B,2,FALSE),"?")&amp;"×"&amp;MID(TRIM(MID(SUBSTITUTE(G168,";",REPT(" ",99)),397,99)),FIND(":",TRIM(MID(SUBSTITUTE(G168,";",REPT(" ",99)),397,99)))+1,99))))</f>
        <v/>
      </c>
    </row>
    <row r="169">
      <c r="C169" s="11">
        <f>IFERROR(VLOOKUP(B169,ItemData_Equipment!$A:$B,2,FALSE),"")</f>
        <v/>
      </c>
      <c r="H169" s="11">
        <f>IF(G169="","",TEXTJOIN("; ",TRUE,IF(TRIM(MID(SUBSTITUTE(G169,";",REPT(" ",99)),1,99))="","",IFERROR(VLOOKUP(--LEFT(TRIM(MID(SUBSTITUTE(G169,";",REPT(" ",99)),1,99)),FIND(":",TRIM(MID(SUBSTITUTE(G169,";",REPT(" ",99)),1,99)))-1),_Lookup!$A:$B,2,FALSE),"?")&amp;"×"&amp;MID(TRIM(MID(SUBSTITUTE(G169,";",REPT(" ",99)),1,99)),FIND(":",TRIM(MID(SUBSTITUTE(G169,";",REPT(" ",99)),1,99)))+1,99)),IF(TRIM(MID(SUBSTITUTE(G169,";",REPT(" ",99)),100,99))="","",IFERROR(VLOOKUP(--LEFT(TRIM(MID(SUBSTITUTE(G169,";",REPT(" ",99)),100,99)),FIND(":",TRIM(MID(SUBSTITUTE(G169,";",REPT(" ",99)),100,99)))-1),_Lookup!$A:$B,2,FALSE),"?")&amp;"×"&amp;MID(TRIM(MID(SUBSTITUTE(G169,";",REPT(" ",99)),100,99)),FIND(":",TRIM(MID(SUBSTITUTE(G169,";",REPT(" ",99)),100,99)))+1,99)),IF(TRIM(MID(SUBSTITUTE(G169,";",REPT(" ",99)),199,99))="","",IFERROR(VLOOKUP(--LEFT(TRIM(MID(SUBSTITUTE(G169,";",REPT(" ",99)),199,99)),FIND(":",TRIM(MID(SUBSTITUTE(G169,";",REPT(" ",99)),199,99)))-1),_Lookup!$A:$B,2,FALSE),"?")&amp;"×"&amp;MID(TRIM(MID(SUBSTITUTE(G169,";",REPT(" ",99)),199,99)),FIND(":",TRIM(MID(SUBSTITUTE(G169,";",REPT(" ",99)),199,99)))+1,99)),IF(TRIM(MID(SUBSTITUTE(G169,";",REPT(" ",99)),298,99))="","",IFERROR(VLOOKUP(--LEFT(TRIM(MID(SUBSTITUTE(G169,";",REPT(" ",99)),298,99)),FIND(":",TRIM(MID(SUBSTITUTE(G169,";",REPT(" ",99)),298,99)))-1),_Lookup!$A:$B,2,FALSE),"?")&amp;"×"&amp;MID(TRIM(MID(SUBSTITUTE(G169,";",REPT(" ",99)),298,99)),FIND(":",TRIM(MID(SUBSTITUTE(G169,";",REPT(" ",99)),298,99)))+1,99)),IF(TRIM(MID(SUBSTITUTE(G169,";",REPT(" ",99)),397,99))="","",IFERROR(VLOOKUP(--LEFT(TRIM(MID(SUBSTITUTE(G169,";",REPT(" ",99)),397,99)),FIND(":",TRIM(MID(SUBSTITUTE(G169,";",REPT(" ",99)),397,99)))-1),_Lookup!$A:$B,2,FALSE),"?")&amp;"×"&amp;MID(TRIM(MID(SUBSTITUTE(G169,";",REPT(" ",99)),397,99)),FIND(":",TRIM(MID(SUBSTITUTE(G169,";",REPT(" ",99)),397,99)))+1,99))))</f>
        <v/>
      </c>
    </row>
    <row r="170">
      <c r="C170" s="11">
        <f>IFERROR(VLOOKUP(B170,ItemData_Equipment!$A:$B,2,FALSE),"")</f>
        <v/>
      </c>
      <c r="H170" s="11">
        <f>IF(G170="","",TEXTJOIN("; ",TRUE,IF(TRIM(MID(SUBSTITUTE(G170,";",REPT(" ",99)),1,99))="","",IFERROR(VLOOKUP(--LEFT(TRIM(MID(SUBSTITUTE(G170,";",REPT(" ",99)),1,99)),FIND(":",TRIM(MID(SUBSTITUTE(G170,";",REPT(" ",99)),1,99)))-1),_Lookup!$A:$B,2,FALSE),"?")&amp;"×"&amp;MID(TRIM(MID(SUBSTITUTE(G170,";",REPT(" ",99)),1,99)),FIND(":",TRIM(MID(SUBSTITUTE(G170,";",REPT(" ",99)),1,99)))+1,99)),IF(TRIM(MID(SUBSTITUTE(G170,";",REPT(" ",99)),100,99))="","",IFERROR(VLOOKUP(--LEFT(TRIM(MID(SUBSTITUTE(G170,";",REPT(" ",99)),100,99)),FIND(":",TRIM(MID(SUBSTITUTE(G170,";",REPT(" ",99)),100,99)))-1),_Lookup!$A:$B,2,FALSE),"?")&amp;"×"&amp;MID(TRIM(MID(SUBSTITUTE(G170,";",REPT(" ",99)),100,99)),FIND(":",TRIM(MID(SUBSTITUTE(G170,";",REPT(" ",99)),100,99)))+1,99)),IF(TRIM(MID(SUBSTITUTE(G170,";",REPT(" ",99)),199,99))="","",IFERROR(VLOOKUP(--LEFT(TRIM(MID(SUBSTITUTE(G170,";",REPT(" ",99)),199,99)),FIND(":",TRIM(MID(SUBSTITUTE(G170,";",REPT(" ",99)),199,99)))-1),_Lookup!$A:$B,2,FALSE),"?")&amp;"×"&amp;MID(TRIM(MID(SUBSTITUTE(G170,";",REPT(" ",99)),199,99)),FIND(":",TRIM(MID(SUBSTITUTE(G170,";",REPT(" ",99)),199,99)))+1,99)),IF(TRIM(MID(SUBSTITUTE(G170,";",REPT(" ",99)),298,99))="","",IFERROR(VLOOKUP(--LEFT(TRIM(MID(SUBSTITUTE(G170,";",REPT(" ",99)),298,99)),FIND(":",TRIM(MID(SUBSTITUTE(G170,";",REPT(" ",99)),298,99)))-1),_Lookup!$A:$B,2,FALSE),"?")&amp;"×"&amp;MID(TRIM(MID(SUBSTITUTE(G170,";",REPT(" ",99)),298,99)),FIND(":",TRIM(MID(SUBSTITUTE(G170,";",REPT(" ",99)),298,99)))+1,99)),IF(TRIM(MID(SUBSTITUTE(G170,";",REPT(" ",99)),397,99))="","",IFERROR(VLOOKUP(--LEFT(TRIM(MID(SUBSTITUTE(G170,";",REPT(" ",99)),397,99)),FIND(":",TRIM(MID(SUBSTITUTE(G170,";",REPT(" ",99)),397,99)))-1),_Lookup!$A:$B,2,FALSE),"?")&amp;"×"&amp;MID(TRIM(MID(SUBSTITUTE(G170,";",REPT(" ",99)),397,99)),FIND(":",TRIM(MID(SUBSTITUTE(G170,";",REPT(" ",99)),397,99)))+1,99))))</f>
        <v/>
      </c>
    </row>
    <row r="171">
      <c r="C171" s="11">
        <f>IFERROR(VLOOKUP(B171,ItemData_Equipment!$A:$B,2,FALSE),"")</f>
        <v/>
      </c>
      <c r="H171" s="11">
        <f>IF(G171="","",TEXTJOIN("; ",TRUE,IF(TRIM(MID(SUBSTITUTE(G171,";",REPT(" ",99)),1,99))="","",IFERROR(VLOOKUP(--LEFT(TRIM(MID(SUBSTITUTE(G171,";",REPT(" ",99)),1,99)),FIND(":",TRIM(MID(SUBSTITUTE(G171,";",REPT(" ",99)),1,99)))-1),_Lookup!$A:$B,2,FALSE),"?")&amp;"×"&amp;MID(TRIM(MID(SUBSTITUTE(G171,";",REPT(" ",99)),1,99)),FIND(":",TRIM(MID(SUBSTITUTE(G171,";",REPT(" ",99)),1,99)))+1,99)),IF(TRIM(MID(SUBSTITUTE(G171,";",REPT(" ",99)),100,99))="","",IFERROR(VLOOKUP(--LEFT(TRIM(MID(SUBSTITUTE(G171,";",REPT(" ",99)),100,99)),FIND(":",TRIM(MID(SUBSTITUTE(G171,";",REPT(" ",99)),100,99)))-1),_Lookup!$A:$B,2,FALSE),"?")&amp;"×"&amp;MID(TRIM(MID(SUBSTITUTE(G171,";",REPT(" ",99)),100,99)),FIND(":",TRIM(MID(SUBSTITUTE(G171,";",REPT(" ",99)),100,99)))+1,99)),IF(TRIM(MID(SUBSTITUTE(G171,";",REPT(" ",99)),199,99))="","",IFERROR(VLOOKUP(--LEFT(TRIM(MID(SUBSTITUTE(G171,";",REPT(" ",99)),199,99)),FIND(":",TRIM(MID(SUBSTITUTE(G171,";",REPT(" ",99)),199,99)))-1),_Lookup!$A:$B,2,FALSE),"?")&amp;"×"&amp;MID(TRIM(MID(SUBSTITUTE(G171,";",REPT(" ",99)),199,99)),FIND(":",TRIM(MID(SUBSTITUTE(G171,";",REPT(" ",99)),199,99)))+1,99)),IF(TRIM(MID(SUBSTITUTE(G171,";",REPT(" ",99)),298,99))="","",IFERROR(VLOOKUP(--LEFT(TRIM(MID(SUBSTITUTE(G171,";",REPT(" ",99)),298,99)),FIND(":",TRIM(MID(SUBSTITUTE(G171,";",REPT(" ",99)),298,99)))-1),_Lookup!$A:$B,2,FALSE),"?")&amp;"×"&amp;MID(TRIM(MID(SUBSTITUTE(G171,";",REPT(" ",99)),298,99)),FIND(":",TRIM(MID(SUBSTITUTE(G171,";",REPT(" ",99)),298,99)))+1,99)),IF(TRIM(MID(SUBSTITUTE(G171,";",REPT(" ",99)),397,99))="","",IFERROR(VLOOKUP(--LEFT(TRIM(MID(SUBSTITUTE(G171,";",REPT(" ",99)),397,99)),FIND(":",TRIM(MID(SUBSTITUTE(G171,";",REPT(" ",99)),397,99)))-1),_Lookup!$A:$B,2,FALSE),"?")&amp;"×"&amp;MID(TRIM(MID(SUBSTITUTE(G171,";",REPT(" ",99)),397,99)),FIND(":",TRIM(MID(SUBSTITUTE(G171,";",REPT(" ",99)),397,99)))+1,99))))</f>
        <v/>
      </c>
    </row>
    <row r="172">
      <c r="C172" s="11">
        <f>IFERROR(VLOOKUP(B172,ItemData_Equipment!$A:$B,2,FALSE),"")</f>
        <v/>
      </c>
      <c r="H172" s="11">
        <f>IF(G172="","",TEXTJOIN("; ",TRUE,IF(TRIM(MID(SUBSTITUTE(G172,";",REPT(" ",99)),1,99))="","",IFERROR(VLOOKUP(--LEFT(TRIM(MID(SUBSTITUTE(G172,";",REPT(" ",99)),1,99)),FIND(":",TRIM(MID(SUBSTITUTE(G172,";",REPT(" ",99)),1,99)))-1),_Lookup!$A:$B,2,FALSE),"?")&amp;"×"&amp;MID(TRIM(MID(SUBSTITUTE(G172,";",REPT(" ",99)),1,99)),FIND(":",TRIM(MID(SUBSTITUTE(G172,";",REPT(" ",99)),1,99)))+1,99)),IF(TRIM(MID(SUBSTITUTE(G172,";",REPT(" ",99)),100,99))="","",IFERROR(VLOOKUP(--LEFT(TRIM(MID(SUBSTITUTE(G172,";",REPT(" ",99)),100,99)),FIND(":",TRIM(MID(SUBSTITUTE(G172,";",REPT(" ",99)),100,99)))-1),_Lookup!$A:$B,2,FALSE),"?")&amp;"×"&amp;MID(TRIM(MID(SUBSTITUTE(G172,";",REPT(" ",99)),100,99)),FIND(":",TRIM(MID(SUBSTITUTE(G172,";",REPT(" ",99)),100,99)))+1,99)),IF(TRIM(MID(SUBSTITUTE(G172,";",REPT(" ",99)),199,99))="","",IFERROR(VLOOKUP(--LEFT(TRIM(MID(SUBSTITUTE(G172,";",REPT(" ",99)),199,99)),FIND(":",TRIM(MID(SUBSTITUTE(G172,";",REPT(" ",99)),199,99)))-1),_Lookup!$A:$B,2,FALSE),"?")&amp;"×"&amp;MID(TRIM(MID(SUBSTITUTE(G172,";",REPT(" ",99)),199,99)),FIND(":",TRIM(MID(SUBSTITUTE(G172,";",REPT(" ",99)),199,99)))+1,99)),IF(TRIM(MID(SUBSTITUTE(G172,";",REPT(" ",99)),298,99))="","",IFERROR(VLOOKUP(--LEFT(TRIM(MID(SUBSTITUTE(G172,";",REPT(" ",99)),298,99)),FIND(":",TRIM(MID(SUBSTITUTE(G172,";",REPT(" ",99)),298,99)))-1),_Lookup!$A:$B,2,FALSE),"?")&amp;"×"&amp;MID(TRIM(MID(SUBSTITUTE(G172,";",REPT(" ",99)),298,99)),FIND(":",TRIM(MID(SUBSTITUTE(G172,";",REPT(" ",99)),298,99)))+1,99)),IF(TRIM(MID(SUBSTITUTE(G172,";",REPT(" ",99)),397,99))="","",IFERROR(VLOOKUP(--LEFT(TRIM(MID(SUBSTITUTE(G172,";",REPT(" ",99)),397,99)),FIND(":",TRIM(MID(SUBSTITUTE(G172,";",REPT(" ",99)),397,99)))-1),_Lookup!$A:$B,2,FALSE),"?")&amp;"×"&amp;MID(TRIM(MID(SUBSTITUTE(G172,";",REPT(" ",99)),397,99)),FIND(":",TRIM(MID(SUBSTITUTE(G172,";",REPT(" ",99)),397,99)))+1,99))))</f>
        <v/>
      </c>
    </row>
    <row r="173">
      <c r="C173" s="11">
        <f>IFERROR(VLOOKUP(B173,ItemData_Equipment!$A:$B,2,FALSE),"")</f>
        <v/>
      </c>
      <c r="H173" s="11">
        <f>IF(G173="","",TEXTJOIN("; ",TRUE,IF(TRIM(MID(SUBSTITUTE(G173,";",REPT(" ",99)),1,99))="","",IFERROR(VLOOKUP(--LEFT(TRIM(MID(SUBSTITUTE(G173,";",REPT(" ",99)),1,99)),FIND(":",TRIM(MID(SUBSTITUTE(G173,";",REPT(" ",99)),1,99)))-1),_Lookup!$A:$B,2,FALSE),"?")&amp;"×"&amp;MID(TRIM(MID(SUBSTITUTE(G173,";",REPT(" ",99)),1,99)),FIND(":",TRIM(MID(SUBSTITUTE(G173,";",REPT(" ",99)),1,99)))+1,99)),IF(TRIM(MID(SUBSTITUTE(G173,";",REPT(" ",99)),100,99))="","",IFERROR(VLOOKUP(--LEFT(TRIM(MID(SUBSTITUTE(G173,";",REPT(" ",99)),100,99)),FIND(":",TRIM(MID(SUBSTITUTE(G173,";",REPT(" ",99)),100,99)))-1),_Lookup!$A:$B,2,FALSE),"?")&amp;"×"&amp;MID(TRIM(MID(SUBSTITUTE(G173,";",REPT(" ",99)),100,99)),FIND(":",TRIM(MID(SUBSTITUTE(G173,";",REPT(" ",99)),100,99)))+1,99)),IF(TRIM(MID(SUBSTITUTE(G173,";",REPT(" ",99)),199,99))="","",IFERROR(VLOOKUP(--LEFT(TRIM(MID(SUBSTITUTE(G173,";",REPT(" ",99)),199,99)),FIND(":",TRIM(MID(SUBSTITUTE(G173,";",REPT(" ",99)),199,99)))-1),_Lookup!$A:$B,2,FALSE),"?")&amp;"×"&amp;MID(TRIM(MID(SUBSTITUTE(G173,";",REPT(" ",99)),199,99)),FIND(":",TRIM(MID(SUBSTITUTE(G173,";",REPT(" ",99)),199,99)))+1,99)),IF(TRIM(MID(SUBSTITUTE(G173,";",REPT(" ",99)),298,99))="","",IFERROR(VLOOKUP(--LEFT(TRIM(MID(SUBSTITUTE(G173,";",REPT(" ",99)),298,99)),FIND(":",TRIM(MID(SUBSTITUTE(G173,";",REPT(" ",99)),298,99)))-1),_Lookup!$A:$B,2,FALSE),"?")&amp;"×"&amp;MID(TRIM(MID(SUBSTITUTE(G173,";",REPT(" ",99)),298,99)),FIND(":",TRIM(MID(SUBSTITUTE(G173,";",REPT(" ",99)),298,99)))+1,99)),IF(TRIM(MID(SUBSTITUTE(G173,";",REPT(" ",99)),397,99))="","",IFERROR(VLOOKUP(--LEFT(TRIM(MID(SUBSTITUTE(G173,";",REPT(" ",99)),397,99)),FIND(":",TRIM(MID(SUBSTITUTE(G173,";",REPT(" ",99)),397,99)))-1),_Lookup!$A:$B,2,FALSE),"?")&amp;"×"&amp;MID(TRIM(MID(SUBSTITUTE(G173,";",REPT(" ",99)),397,99)),FIND(":",TRIM(MID(SUBSTITUTE(G173,";",REPT(" ",99)),397,99)))+1,99))))</f>
        <v/>
      </c>
    </row>
    <row r="174">
      <c r="C174" s="11">
        <f>IFERROR(VLOOKUP(B174,ItemData_Equipment!$A:$B,2,FALSE),"")</f>
        <v/>
      </c>
      <c r="H174" s="11">
        <f>IF(G174="","",TEXTJOIN("; ",TRUE,IF(TRIM(MID(SUBSTITUTE(G174,";",REPT(" ",99)),1,99))="","",IFERROR(VLOOKUP(--LEFT(TRIM(MID(SUBSTITUTE(G174,";",REPT(" ",99)),1,99)),FIND(":",TRIM(MID(SUBSTITUTE(G174,";",REPT(" ",99)),1,99)))-1),_Lookup!$A:$B,2,FALSE),"?")&amp;"×"&amp;MID(TRIM(MID(SUBSTITUTE(G174,";",REPT(" ",99)),1,99)),FIND(":",TRIM(MID(SUBSTITUTE(G174,";",REPT(" ",99)),1,99)))+1,99)),IF(TRIM(MID(SUBSTITUTE(G174,";",REPT(" ",99)),100,99))="","",IFERROR(VLOOKUP(--LEFT(TRIM(MID(SUBSTITUTE(G174,";",REPT(" ",99)),100,99)),FIND(":",TRIM(MID(SUBSTITUTE(G174,";",REPT(" ",99)),100,99)))-1),_Lookup!$A:$B,2,FALSE),"?")&amp;"×"&amp;MID(TRIM(MID(SUBSTITUTE(G174,";",REPT(" ",99)),100,99)),FIND(":",TRIM(MID(SUBSTITUTE(G174,";",REPT(" ",99)),100,99)))+1,99)),IF(TRIM(MID(SUBSTITUTE(G174,";",REPT(" ",99)),199,99))="","",IFERROR(VLOOKUP(--LEFT(TRIM(MID(SUBSTITUTE(G174,";",REPT(" ",99)),199,99)),FIND(":",TRIM(MID(SUBSTITUTE(G174,";",REPT(" ",99)),199,99)))-1),_Lookup!$A:$B,2,FALSE),"?")&amp;"×"&amp;MID(TRIM(MID(SUBSTITUTE(G174,";",REPT(" ",99)),199,99)),FIND(":",TRIM(MID(SUBSTITUTE(G174,";",REPT(" ",99)),199,99)))+1,99)),IF(TRIM(MID(SUBSTITUTE(G174,";",REPT(" ",99)),298,99))="","",IFERROR(VLOOKUP(--LEFT(TRIM(MID(SUBSTITUTE(G174,";",REPT(" ",99)),298,99)),FIND(":",TRIM(MID(SUBSTITUTE(G174,";",REPT(" ",99)),298,99)))-1),_Lookup!$A:$B,2,FALSE),"?")&amp;"×"&amp;MID(TRIM(MID(SUBSTITUTE(G174,";",REPT(" ",99)),298,99)),FIND(":",TRIM(MID(SUBSTITUTE(G174,";",REPT(" ",99)),298,99)))+1,99)),IF(TRIM(MID(SUBSTITUTE(G174,";",REPT(" ",99)),397,99))="","",IFERROR(VLOOKUP(--LEFT(TRIM(MID(SUBSTITUTE(G174,";",REPT(" ",99)),397,99)),FIND(":",TRIM(MID(SUBSTITUTE(G174,";",REPT(" ",99)),397,99)))-1),_Lookup!$A:$B,2,FALSE),"?")&amp;"×"&amp;MID(TRIM(MID(SUBSTITUTE(G174,";",REPT(" ",99)),397,99)),FIND(":",TRIM(MID(SUBSTITUTE(G174,";",REPT(" ",99)),397,99)))+1,99))))</f>
        <v/>
      </c>
    </row>
    <row r="175">
      <c r="C175" s="11">
        <f>IFERROR(VLOOKUP(B175,ItemData_Equipment!$A:$B,2,FALSE),"")</f>
        <v/>
      </c>
      <c r="H175" s="11">
        <f>IF(G175="","",TEXTJOIN("; ",TRUE,IF(TRIM(MID(SUBSTITUTE(G175,";",REPT(" ",99)),1,99))="","",IFERROR(VLOOKUP(--LEFT(TRIM(MID(SUBSTITUTE(G175,";",REPT(" ",99)),1,99)),FIND(":",TRIM(MID(SUBSTITUTE(G175,";",REPT(" ",99)),1,99)))-1),_Lookup!$A:$B,2,FALSE),"?")&amp;"×"&amp;MID(TRIM(MID(SUBSTITUTE(G175,";",REPT(" ",99)),1,99)),FIND(":",TRIM(MID(SUBSTITUTE(G175,";",REPT(" ",99)),1,99)))+1,99)),IF(TRIM(MID(SUBSTITUTE(G175,";",REPT(" ",99)),100,99))="","",IFERROR(VLOOKUP(--LEFT(TRIM(MID(SUBSTITUTE(G175,";",REPT(" ",99)),100,99)),FIND(":",TRIM(MID(SUBSTITUTE(G175,";",REPT(" ",99)),100,99)))-1),_Lookup!$A:$B,2,FALSE),"?")&amp;"×"&amp;MID(TRIM(MID(SUBSTITUTE(G175,";",REPT(" ",99)),100,99)),FIND(":",TRIM(MID(SUBSTITUTE(G175,";",REPT(" ",99)),100,99)))+1,99)),IF(TRIM(MID(SUBSTITUTE(G175,";",REPT(" ",99)),199,99))="","",IFERROR(VLOOKUP(--LEFT(TRIM(MID(SUBSTITUTE(G175,";",REPT(" ",99)),199,99)),FIND(":",TRIM(MID(SUBSTITUTE(G175,";",REPT(" ",99)),199,99)))-1),_Lookup!$A:$B,2,FALSE),"?")&amp;"×"&amp;MID(TRIM(MID(SUBSTITUTE(G175,";",REPT(" ",99)),199,99)),FIND(":",TRIM(MID(SUBSTITUTE(G175,";",REPT(" ",99)),199,99)))+1,99)),IF(TRIM(MID(SUBSTITUTE(G175,";",REPT(" ",99)),298,99))="","",IFERROR(VLOOKUP(--LEFT(TRIM(MID(SUBSTITUTE(G175,";",REPT(" ",99)),298,99)),FIND(":",TRIM(MID(SUBSTITUTE(G175,";",REPT(" ",99)),298,99)))-1),_Lookup!$A:$B,2,FALSE),"?")&amp;"×"&amp;MID(TRIM(MID(SUBSTITUTE(G175,";",REPT(" ",99)),298,99)),FIND(":",TRIM(MID(SUBSTITUTE(G175,";",REPT(" ",99)),298,99)))+1,99)),IF(TRIM(MID(SUBSTITUTE(G175,";",REPT(" ",99)),397,99))="","",IFERROR(VLOOKUP(--LEFT(TRIM(MID(SUBSTITUTE(G175,";",REPT(" ",99)),397,99)),FIND(":",TRIM(MID(SUBSTITUTE(G175,";",REPT(" ",99)),397,99)))-1),_Lookup!$A:$B,2,FALSE),"?")&amp;"×"&amp;MID(TRIM(MID(SUBSTITUTE(G175,";",REPT(" ",99)),397,99)),FIND(":",TRIM(MID(SUBSTITUTE(G175,";",REPT(" ",99)),397,99)))+1,99))))</f>
        <v/>
      </c>
    </row>
    <row r="176">
      <c r="C176" s="11">
        <f>IFERROR(VLOOKUP(B176,ItemData_Equipment!$A:$B,2,FALSE),"")</f>
        <v/>
      </c>
      <c r="H176" s="11">
        <f>IF(G176="","",TEXTJOIN("; ",TRUE,IF(TRIM(MID(SUBSTITUTE(G176,";",REPT(" ",99)),1,99))="","",IFERROR(VLOOKUP(--LEFT(TRIM(MID(SUBSTITUTE(G176,";",REPT(" ",99)),1,99)),FIND(":",TRIM(MID(SUBSTITUTE(G176,";",REPT(" ",99)),1,99)))-1),_Lookup!$A:$B,2,FALSE),"?")&amp;"×"&amp;MID(TRIM(MID(SUBSTITUTE(G176,";",REPT(" ",99)),1,99)),FIND(":",TRIM(MID(SUBSTITUTE(G176,";",REPT(" ",99)),1,99)))+1,99)),IF(TRIM(MID(SUBSTITUTE(G176,";",REPT(" ",99)),100,99))="","",IFERROR(VLOOKUP(--LEFT(TRIM(MID(SUBSTITUTE(G176,";",REPT(" ",99)),100,99)),FIND(":",TRIM(MID(SUBSTITUTE(G176,";",REPT(" ",99)),100,99)))-1),_Lookup!$A:$B,2,FALSE),"?")&amp;"×"&amp;MID(TRIM(MID(SUBSTITUTE(G176,";",REPT(" ",99)),100,99)),FIND(":",TRIM(MID(SUBSTITUTE(G176,";",REPT(" ",99)),100,99)))+1,99)),IF(TRIM(MID(SUBSTITUTE(G176,";",REPT(" ",99)),199,99))="","",IFERROR(VLOOKUP(--LEFT(TRIM(MID(SUBSTITUTE(G176,";",REPT(" ",99)),199,99)),FIND(":",TRIM(MID(SUBSTITUTE(G176,";",REPT(" ",99)),199,99)))-1),_Lookup!$A:$B,2,FALSE),"?")&amp;"×"&amp;MID(TRIM(MID(SUBSTITUTE(G176,";",REPT(" ",99)),199,99)),FIND(":",TRIM(MID(SUBSTITUTE(G176,";",REPT(" ",99)),199,99)))+1,99)),IF(TRIM(MID(SUBSTITUTE(G176,";",REPT(" ",99)),298,99))="","",IFERROR(VLOOKUP(--LEFT(TRIM(MID(SUBSTITUTE(G176,";",REPT(" ",99)),298,99)),FIND(":",TRIM(MID(SUBSTITUTE(G176,";",REPT(" ",99)),298,99)))-1),_Lookup!$A:$B,2,FALSE),"?")&amp;"×"&amp;MID(TRIM(MID(SUBSTITUTE(G176,";",REPT(" ",99)),298,99)),FIND(":",TRIM(MID(SUBSTITUTE(G176,";",REPT(" ",99)),298,99)))+1,99)),IF(TRIM(MID(SUBSTITUTE(G176,";",REPT(" ",99)),397,99))="","",IFERROR(VLOOKUP(--LEFT(TRIM(MID(SUBSTITUTE(G176,";",REPT(" ",99)),397,99)),FIND(":",TRIM(MID(SUBSTITUTE(G176,";",REPT(" ",99)),397,99)))-1),_Lookup!$A:$B,2,FALSE),"?")&amp;"×"&amp;MID(TRIM(MID(SUBSTITUTE(G176,";",REPT(" ",99)),397,99)),FIND(":",TRIM(MID(SUBSTITUTE(G176,";",REPT(" ",99)),397,99)))+1,99))))</f>
        <v/>
      </c>
    </row>
    <row r="177">
      <c r="C177" s="11">
        <f>IFERROR(VLOOKUP(B177,ItemData_Equipment!$A:$B,2,FALSE),"")</f>
        <v/>
      </c>
      <c r="H177" s="11">
        <f>IF(G177="","",TEXTJOIN("; ",TRUE,IF(TRIM(MID(SUBSTITUTE(G177,";",REPT(" ",99)),1,99))="","",IFERROR(VLOOKUP(--LEFT(TRIM(MID(SUBSTITUTE(G177,";",REPT(" ",99)),1,99)),FIND(":",TRIM(MID(SUBSTITUTE(G177,";",REPT(" ",99)),1,99)))-1),_Lookup!$A:$B,2,FALSE),"?")&amp;"×"&amp;MID(TRIM(MID(SUBSTITUTE(G177,";",REPT(" ",99)),1,99)),FIND(":",TRIM(MID(SUBSTITUTE(G177,";",REPT(" ",99)),1,99)))+1,99)),IF(TRIM(MID(SUBSTITUTE(G177,";",REPT(" ",99)),100,99))="","",IFERROR(VLOOKUP(--LEFT(TRIM(MID(SUBSTITUTE(G177,";",REPT(" ",99)),100,99)),FIND(":",TRIM(MID(SUBSTITUTE(G177,";",REPT(" ",99)),100,99)))-1),_Lookup!$A:$B,2,FALSE),"?")&amp;"×"&amp;MID(TRIM(MID(SUBSTITUTE(G177,";",REPT(" ",99)),100,99)),FIND(":",TRIM(MID(SUBSTITUTE(G177,";",REPT(" ",99)),100,99)))+1,99)),IF(TRIM(MID(SUBSTITUTE(G177,";",REPT(" ",99)),199,99))="","",IFERROR(VLOOKUP(--LEFT(TRIM(MID(SUBSTITUTE(G177,";",REPT(" ",99)),199,99)),FIND(":",TRIM(MID(SUBSTITUTE(G177,";",REPT(" ",99)),199,99)))-1),_Lookup!$A:$B,2,FALSE),"?")&amp;"×"&amp;MID(TRIM(MID(SUBSTITUTE(G177,";",REPT(" ",99)),199,99)),FIND(":",TRIM(MID(SUBSTITUTE(G177,";",REPT(" ",99)),199,99)))+1,99)),IF(TRIM(MID(SUBSTITUTE(G177,";",REPT(" ",99)),298,99))="","",IFERROR(VLOOKUP(--LEFT(TRIM(MID(SUBSTITUTE(G177,";",REPT(" ",99)),298,99)),FIND(":",TRIM(MID(SUBSTITUTE(G177,";",REPT(" ",99)),298,99)))-1),_Lookup!$A:$B,2,FALSE),"?")&amp;"×"&amp;MID(TRIM(MID(SUBSTITUTE(G177,";",REPT(" ",99)),298,99)),FIND(":",TRIM(MID(SUBSTITUTE(G177,";",REPT(" ",99)),298,99)))+1,99)),IF(TRIM(MID(SUBSTITUTE(G177,";",REPT(" ",99)),397,99))="","",IFERROR(VLOOKUP(--LEFT(TRIM(MID(SUBSTITUTE(G177,";",REPT(" ",99)),397,99)),FIND(":",TRIM(MID(SUBSTITUTE(G177,";",REPT(" ",99)),397,99)))-1),_Lookup!$A:$B,2,FALSE),"?")&amp;"×"&amp;MID(TRIM(MID(SUBSTITUTE(G177,";",REPT(" ",99)),397,99)),FIND(":",TRIM(MID(SUBSTITUTE(G177,";",REPT(" ",99)),397,99)))+1,99))))</f>
        <v/>
      </c>
    </row>
    <row r="178">
      <c r="C178" s="11">
        <f>IFERROR(VLOOKUP(B178,ItemData_Equipment!$A:$B,2,FALSE),"")</f>
        <v/>
      </c>
      <c r="H178" s="11">
        <f>IF(G178="","",TEXTJOIN("; ",TRUE,IF(TRIM(MID(SUBSTITUTE(G178,";",REPT(" ",99)),1,99))="","",IFERROR(VLOOKUP(--LEFT(TRIM(MID(SUBSTITUTE(G178,";",REPT(" ",99)),1,99)),FIND(":",TRIM(MID(SUBSTITUTE(G178,";",REPT(" ",99)),1,99)))-1),_Lookup!$A:$B,2,FALSE),"?")&amp;"×"&amp;MID(TRIM(MID(SUBSTITUTE(G178,";",REPT(" ",99)),1,99)),FIND(":",TRIM(MID(SUBSTITUTE(G178,";",REPT(" ",99)),1,99)))+1,99)),IF(TRIM(MID(SUBSTITUTE(G178,";",REPT(" ",99)),100,99))="","",IFERROR(VLOOKUP(--LEFT(TRIM(MID(SUBSTITUTE(G178,";",REPT(" ",99)),100,99)),FIND(":",TRIM(MID(SUBSTITUTE(G178,";",REPT(" ",99)),100,99)))-1),_Lookup!$A:$B,2,FALSE),"?")&amp;"×"&amp;MID(TRIM(MID(SUBSTITUTE(G178,";",REPT(" ",99)),100,99)),FIND(":",TRIM(MID(SUBSTITUTE(G178,";",REPT(" ",99)),100,99)))+1,99)),IF(TRIM(MID(SUBSTITUTE(G178,";",REPT(" ",99)),199,99))="","",IFERROR(VLOOKUP(--LEFT(TRIM(MID(SUBSTITUTE(G178,";",REPT(" ",99)),199,99)),FIND(":",TRIM(MID(SUBSTITUTE(G178,";",REPT(" ",99)),199,99)))-1),_Lookup!$A:$B,2,FALSE),"?")&amp;"×"&amp;MID(TRIM(MID(SUBSTITUTE(G178,";",REPT(" ",99)),199,99)),FIND(":",TRIM(MID(SUBSTITUTE(G178,";",REPT(" ",99)),199,99)))+1,99)),IF(TRIM(MID(SUBSTITUTE(G178,";",REPT(" ",99)),298,99))="","",IFERROR(VLOOKUP(--LEFT(TRIM(MID(SUBSTITUTE(G178,";",REPT(" ",99)),298,99)),FIND(":",TRIM(MID(SUBSTITUTE(G178,";",REPT(" ",99)),298,99)))-1),_Lookup!$A:$B,2,FALSE),"?")&amp;"×"&amp;MID(TRIM(MID(SUBSTITUTE(G178,";",REPT(" ",99)),298,99)),FIND(":",TRIM(MID(SUBSTITUTE(G178,";",REPT(" ",99)),298,99)))+1,99)),IF(TRIM(MID(SUBSTITUTE(G178,";",REPT(" ",99)),397,99))="","",IFERROR(VLOOKUP(--LEFT(TRIM(MID(SUBSTITUTE(G178,";",REPT(" ",99)),397,99)),FIND(":",TRIM(MID(SUBSTITUTE(G178,";",REPT(" ",99)),397,99)))-1),_Lookup!$A:$B,2,FALSE),"?")&amp;"×"&amp;MID(TRIM(MID(SUBSTITUTE(G178,";",REPT(" ",99)),397,99)),FIND(":",TRIM(MID(SUBSTITUTE(G178,";",REPT(" ",99)),397,99)))+1,99))))</f>
        <v/>
      </c>
    </row>
    <row r="179">
      <c r="C179" s="11">
        <f>IFERROR(VLOOKUP(B179,ItemData_Equipment!$A:$B,2,FALSE),"")</f>
        <v/>
      </c>
      <c r="H179" s="11">
        <f>IF(G179="","",TEXTJOIN("; ",TRUE,IF(TRIM(MID(SUBSTITUTE(G179,";",REPT(" ",99)),1,99))="","",IFERROR(VLOOKUP(--LEFT(TRIM(MID(SUBSTITUTE(G179,";",REPT(" ",99)),1,99)),FIND(":",TRIM(MID(SUBSTITUTE(G179,";",REPT(" ",99)),1,99)))-1),_Lookup!$A:$B,2,FALSE),"?")&amp;"×"&amp;MID(TRIM(MID(SUBSTITUTE(G179,";",REPT(" ",99)),1,99)),FIND(":",TRIM(MID(SUBSTITUTE(G179,";",REPT(" ",99)),1,99)))+1,99)),IF(TRIM(MID(SUBSTITUTE(G179,";",REPT(" ",99)),100,99))="","",IFERROR(VLOOKUP(--LEFT(TRIM(MID(SUBSTITUTE(G179,";",REPT(" ",99)),100,99)),FIND(":",TRIM(MID(SUBSTITUTE(G179,";",REPT(" ",99)),100,99)))-1),_Lookup!$A:$B,2,FALSE),"?")&amp;"×"&amp;MID(TRIM(MID(SUBSTITUTE(G179,";",REPT(" ",99)),100,99)),FIND(":",TRIM(MID(SUBSTITUTE(G179,";",REPT(" ",99)),100,99)))+1,99)),IF(TRIM(MID(SUBSTITUTE(G179,";",REPT(" ",99)),199,99))="","",IFERROR(VLOOKUP(--LEFT(TRIM(MID(SUBSTITUTE(G179,";",REPT(" ",99)),199,99)),FIND(":",TRIM(MID(SUBSTITUTE(G179,";",REPT(" ",99)),199,99)))-1),_Lookup!$A:$B,2,FALSE),"?")&amp;"×"&amp;MID(TRIM(MID(SUBSTITUTE(G179,";",REPT(" ",99)),199,99)),FIND(":",TRIM(MID(SUBSTITUTE(G179,";",REPT(" ",99)),199,99)))+1,99)),IF(TRIM(MID(SUBSTITUTE(G179,";",REPT(" ",99)),298,99))="","",IFERROR(VLOOKUP(--LEFT(TRIM(MID(SUBSTITUTE(G179,";",REPT(" ",99)),298,99)),FIND(":",TRIM(MID(SUBSTITUTE(G179,";",REPT(" ",99)),298,99)))-1),_Lookup!$A:$B,2,FALSE),"?")&amp;"×"&amp;MID(TRIM(MID(SUBSTITUTE(G179,";",REPT(" ",99)),298,99)),FIND(":",TRIM(MID(SUBSTITUTE(G179,";",REPT(" ",99)),298,99)))+1,99)),IF(TRIM(MID(SUBSTITUTE(G179,";",REPT(" ",99)),397,99))="","",IFERROR(VLOOKUP(--LEFT(TRIM(MID(SUBSTITUTE(G179,";",REPT(" ",99)),397,99)),FIND(":",TRIM(MID(SUBSTITUTE(G179,";",REPT(" ",99)),397,99)))-1),_Lookup!$A:$B,2,FALSE),"?")&amp;"×"&amp;MID(TRIM(MID(SUBSTITUTE(G179,";",REPT(" ",99)),397,99)),FIND(":",TRIM(MID(SUBSTITUTE(G179,";",REPT(" ",99)),397,99)))+1,99))))</f>
        <v/>
      </c>
    </row>
    <row r="180">
      <c r="C180" s="11">
        <f>IFERROR(VLOOKUP(B180,ItemData_Equipment!$A:$B,2,FALSE),"")</f>
        <v/>
      </c>
      <c r="H180" s="11">
        <f>IF(G180="","",TEXTJOIN("; ",TRUE,IF(TRIM(MID(SUBSTITUTE(G180,";",REPT(" ",99)),1,99))="","",IFERROR(VLOOKUP(--LEFT(TRIM(MID(SUBSTITUTE(G180,";",REPT(" ",99)),1,99)),FIND(":",TRIM(MID(SUBSTITUTE(G180,";",REPT(" ",99)),1,99)))-1),_Lookup!$A:$B,2,FALSE),"?")&amp;"×"&amp;MID(TRIM(MID(SUBSTITUTE(G180,";",REPT(" ",99)),1,99)),FIND(":",TRIM(MID(SUBSTITUTE(G180,";",REPT(" ",99)),1,99)))+1,99)),IF(TRIM(MID(SUBSTITUTE(G180,";",REPT(" ",99)),100,99))="","",IFERROR(VLOOKUP(--LEFT(TRIM(MID(SUBSTITUTE(G180,";",REPT(" ",99)),100,99)),FIND(":",TRIM(MID(SUBSTITUTE(G180,";",REPT(" ",99)),100,99)))-1),_Lookup!$A:$B,2,FALSE),"?")&amp;"×"&amp;MID(TRIM(MID(SUBSTITUTE(G180,";",REPT(" ",99)),100,99)),FIND(":",TRIM(MID(SUBSTITUTE(G180,";",REPT(" ",99)),100,99)))+1,99)),IF(TRIM(MID(SUBSTITUTE(G180,";",REPT(" ",99)),199,99))="","",IFERROR(VLOOKUP(--LEFT(TRIM(MID(SUBSTITUTE(G180,";",REPT(" ",99)),199,99)),FIND(":",TRIM(MID(SUBSTITUTE(G180,";",REPT(" ",99)),199,99)))-1),_Lookup!$A:$B,2,FALSE),"?")&amp;"×"&amp;MID(TRIM(MID(SUBSTITUTE(G180,";",REPT(" ",99)),199,99)),FIND(":",TRIM(MID(SUBSTITUTE(G180,";",REPT(" ",99)),199,99)))+1,99)),IF(TRIM(MID(SUBSTITUTE(G180,";",REPT(" ",99)),298,99))="","",IFERROR(VLOOKUP(--LEFT(TRIM(MID(SUBSTITUTE(G180,";",REPT(" ",99)),298,99)),FIND(":",TRIM(MID(SUBSTITUTE(G180,";",REPT(" ",99)),298,99)))-1),_Lookup!$A:$B,2,FALSE),"?")&amp;"×"&amp;MID(TRIM(MID(SUBSTITUTE(G180,";",REPT(" ",99)),298,99)),FIND(":",TRIM(MID(SUBSTITUTE(G180,";",REPT(" ",99)),298,99)))+1,99)),IF(TRIM(MID(SUBSTITUTE(G180,";",REPT(" ",99)),397,99))="","",IFERROR(VLOOKUP(--LEFT(TRIM(MID(SUBSTITUTE(G180,";",REPT(" ",99)),397,99)),FIND(":",TRIM(MID(SUBSTITUTE(G180,";",REPT(" ",99)),397,99)))-1),_Lookup!$A:$B,2,FALSE),"?")&amp;"×"&amp;MID(TRIM(MID(SUBSTITUTE(G180,";",REPT(" ",99)),397,99)),FIND(":",TRIM(MID(SUBSTITUTE(G180,";",REPT(" ",99)),397,99)))+1,99))))</f>
        <v/>
      </c>
    </row>
    <row r="181">
      <c r="C181" s="11">
        <f>IFERROR(VLOOKUP(B181,ItemData_Equipment!$A:$B,2,FALSE),"")</f>
        <v/>
      </c>
      <c r="H181" s="11">
        <f>IF(G181="","",TEXTJOIN("; ",TRUE,IF(TRIM(MID(SUBSTITUTE(G181,";",REPT(" ",99)),1,99))="","",IFERROR(VLOOKUP(--LEFT(TRIM(MID(SUBSTITUTE(G181,";",REPT(" ",99)),1,99)),FIND(":",TRIM(MID(SUBSTITUTE(G181,";",REPT(" ",99)),1,99)))-1),_Lookup!$A:$B,2,FALSE),"?")&amp;"×"&amp;MID(TRIM(MID(SUBSTITUTE(G181,";",REPT(" ",99)),1,99)),FIND(":",TRIM(MID(SUBSTITUTE(G181,";",REPT(" ",99)),1,99)))+1,99)),IF(TRIM(MID(SUBSTITUTE(G181,";",REPT(" ",99)),100,99))="","",IFERROR(VLOOKUP(--LEFT(TRIM(MID(SUBSTITUTE(G181,";",REPT(" ",99)),100,99)),FIND(":",TRIM(MID(SUBSTITUTE(G181,";",REPT(" ",99)),100,99)))-1),_Lookup!$A:$B,2,FALSE),"?")&amp;"×"&amp;MID(TRIM(MID(SUBSTITUTE(G181,";",REPT(" ",99)),100,99)),FIND(":",TRIM(MID(SUBSTITUTE(G181,";",REPT(" ",99)),100,99)))+1,99)),IF(TRIM(MID(SUBSTITUTE(G181,";",REPT(" ",99)),199,99))="","",IFERROR(VLOOKUP(--LEFT(TRIM(MID(SUBSTITUTE(G181,";",REPT(" ",99)),199,99)),FIND(":",TRIM(MID(SUBSTITUTE(G181,";",REPT(" ",99)),199,99)))-1),_Lookup!$A:$B,2,FALSE),"?")&amp;"×"&amp;MID(TRIM(MID(SUBSTITUTE(G181,";",REPT(" ",99)),199,99)),FIND(":",TRIM(MID(SUBSTITUTE(G181,";",REPT(" ",99)),199,99)))+1,99)),IF(TRIM(MID(SUBSTITUTE(G181,";",REPT(" ",99)),298,99))="","",IFERROR(VLOOKUP(--LEFT(TRIM(MID(SUBSTITUTE(G181,";",REPT(" ",99)),298,99)),FIND(":",TRIM(MID(SUBSTITUTE(G181,";",REPT(" ",99)),298,99)))-1),_Lookup!$A:$B,2,FALSE),"?")&amp;"×"&amp;MID(TRIM(MID(SUBSTITUTE(G181,";",REPT(" ",99)),298,99)),FIND(":",TRIM(MID(SUBSTITUTE(G181,";",REPT(" ",99)),298,99)))+1,99)),IF(TRIM(MID(SUBSTITUTE(G181,";",REPT(" ",99)),397,99))="","",IFERROR(VLOOKUP(--LEFT(TRIM(MID(SUBSTITUTE(G181,";",REPT(" ",99)),397,99)),FIND(":",TRIM(MID(SUBSTITUTE(G181,";",REPT(" ",99)),397,99)))-1),_Lookup!$A:$B,2,FALSE),"?")&amp;"×"&amp;MID(TRIM(MID(SUBSTITUTE(G181,";",REPT(" ",99)),397,99)),FIND(":",TRIM(MID(SUBSTITUTE(G181,";",REPT(" ",99)),397,99)))+1,99))))</f>
        <v/>
      </c>
    </row>
    <row r="182">
      <c r="C182" s="11">
        <f>IFERROR(VLOOKUP(B182,ItemData_Equipment!$A:$B,2,FALSE),"")</f>
        <v/>
      </c>
      <c r="H182" s="11">
        <f>IF(G182="","",TEXTJOIN("; ",TRUE,IF(TRIM(MID(SUBSTITUTE(G182,";",REPT(" ",99)),1,99))="","",IFERROR(VLOOKUP(--LEFT(TRIM(MID(SUBSTITUTE(G182,";",REPT(" ",99)),1,99)),FIND(":",TRIM(MID(SUBSTITUTE(G182,";",REPT(" ",99)),1,99)))-1),_Lookup!$A:$B,2,FALSE),"?")&amp;"×"&amp;MID(TRIM(MID(SUBSTITUTE(G182,";",REPT(" ",99)),1,99)),FIND(":",TRIM(MID(SUBSTITUTE(G182,";",REPT(" ",99)),1,99)))+1,99)),IF(TRIM(MID(SUBSTITUTE(G182,";",REPT(" ",99)),100,99))="","",IFERROR(VLOOKUP(--LEFT(TRIM(MID(SUBSTITUTE(G182,";",REPT(" ",99)),100,99)),FIND(":",TRIM(MID(SUBSTITUTE(G182,";",REPT(" ",99)),100,99)))-1),_Lookup!$A:$B,2,FALSE),"?")&amp;"×"&amp;MID(TRIM(MID(SUBSTITUTE(G182,";",REPT(" ",99)),100,99)),FIND(":",TRIM(MID(SUBSTITUTE(G182,";",REPT(" ",99)),100,99)))+1,99)),IF(TRIM(MID(SUBSTITUTE(G182,";",REPT(" ",99)),199,99))="","",IFERROR(VLOOKUP(--LEFT(TRIM(MID(SUBSTITUTE(G182,";",REPT(" ",99)),199,99)),FIND(":",TRIM(MID(SUBSTITUTE(G182,";",REPT(" ",99)),199,99)))-1),_Lookup!$A:$B,2,FALSE),"?")&amp;"×"&amp;MID(TRIM(MID(SUBSTITUTE(G182,";",REPT(" ",99)),199,99)),FIND(":",TRIM(MID(SUBSTITUTE(G182,";",REPT(" ",99)),199,99)))+1,99)),IF(TRIM(MID(SUBSTITUTE(G182,";",REPT(" ",99)),298,99))="","",IFERROR(VLOOKUP(--LEFT(TRIM(MID(SUBSTITUTE(G182,";",REPT(" ",99)),298,99)),FIND(":",TRIM(MID(SUBSTITUTE(G182,";",REPT(" ",99)),298,99)))-1),_Lookup!$A:$B,2,FALSE),"?")&amp;"×"&amp;MID(TRIM(MID(SUBSTITUTE(G182,";",REPT(" ",99)),298,99)),FIND(":",TRIM(MID(SUBSTITUTE(G182,";",REPT(" ",99)),298,99)))+1,99)),IF(TRIM(MID(SUBSTITUTE(G182,";",REPT(" ",99)),397,99))="","",IFERROR(VLOOKUP(--LEFT(TRIM(MID(SUBSTITUTE(G182,";",REPT(" ",99)),397,99)),FIND(":",TRIM(MID(SUBSTITUTE(G182,";",REPT(" ",99)),397,99)))-1),_Lookup!$A:$B,2,FALSE),"?")&amp;"×"&amp;MID(TRIM(MID(SUBSTITUTE(G182,";",REPT(" ",99)),397,99)),FIND(":",TRIM(MID(SUBSTITUTE(G182,";",REPT(" ",99)),397,99)))+1,99))))</f>
        <v/>
      </c>
    </row>
    <row r="183">
      <c r="C183" s="11">
        <f>IFERROR(VLOOKUP(B183,ItemData_Equipment!$A:$B,2,FALSE),"")</f>
        <v/>
      </c>
      <c r="H183" s="11">
        <f>IF(G183="","",TEXTJOIN("; ",TRUE,IF(TRIM(MID(SUBSTITUTE(G183,";",REPT(" ",99)),1,99))="","",IFERROR(VLOOKUP(--LEFT(TRIM(MID(SUBSTITUTE(G183,";",REPT(" ",99)),1,99)),FIND(":",TRIM(MID(SUBSTITUTE(G183,";",REPT(" ",99)),1,99)))-1),_Lookup!$A:$B,2,FALSE),"?")&amp;"×"&amp;MID(TRIM(MID(SUBSTITUTE(G183,";",REPT(" ",99)),1,99)),FIND(":",TRIM(MID(SUBSTITUTE(G183,";",REPT(" ",99)),1,99)))+1,99)),IF(TRIM(MID(SUBSTITUTE(G183,";",REPT(" ",99)),100,99))="","",IFERROR(VLOOKUP(--LEFT(TRIM(MID(SUBSTITUTE(G183,";",REPT(" ",99)),100,99)),FIND(":",TRIM(MID(SUBSTITUTE(G183,";",REPT(" ",99)),100,99)))-1),_Lookup!$A:$B,2,FALSE),"?")&amp;"×"&amp;MID(TRIM(MID(SUBSTITUTE(G183,";",REPT(" ",99)),100,99)),FIND(":",TRIM(MID(SUBSTITUTE(G183,";",REPT(" ",99)),100,99)))+1,99)),IF(TRIM(MID(SUBSTITUTE(G183,";",REPT(" ",99)),199,99))="","",IFERROR(VLOOKUP(--LEFT(TRIM(MID(SUBSTITUTE(G183,";",REPT(" ",99)),199,99)),FIND(":",TRIM(MID(SUBSTITUTE(G183,";",REPT(" ",99)),199,99)))-1),_Lookup!$A:$B,2,FALSE),"?")&amp;"×"&amp;MID(TRIM(MID(SUBSTITUTE(G183,";",REPT(" ",99)),199,99)),FIND(":",TRIM(MID(SUBSTITUTE(G183,";",REPT(" ",99)),199,99)))+1,99)),IF(TRIM(MID(SUBSTITUTE(G183,";",REPT(" ",99)),298,99))="","",IFERROR(VLOOKUP(--LEFT(TRIM(MID(SUBSTITUTE(G183,";",REPT(" ",99)),298,99)),FIND(":",TRIM(MID(SUBSTITUTE(G183,";",REPT(" ",99)),298,99)))-1),_Lookup!$A:$B,2,FALSE),"?")&amp;"×"&amp;MID(TRIM(MID(SUBSTITUTE(G183,";",REPT(" ",99)),298,99)),FIND(":",TRIM(MID(SUBSTITUTE(G183,";",REPT(" ",99)),298,99)))+1,99)),IF(TRIM(MID(SUBSTITUTE(G183,";",REPT(" ",99)),397,99))="","",IFERROR(VLOOKUP(--LEFT(TRIM(MID(SUBSTITUTE(G183,";",REPT(" ",99)),397,99)),FIND(":",TRIM(MID(SUBSTITUTE(G183,";",REPT(" ",99)),397,99)))-1),_Lookup!$A:$B,2,FALSE),"?")&amp;"×"&amp;MID(TRIM(MID(SUBSTITUTE(G183,";",REPT(" ",99)),397,99)),FIND(":",TRIM(MID(SUBSTITUTE(G183,";",REPT(" ",99)),397,99)))+1,99))))</f>
        <v/>
      </c>
    </row>
    <row r="184">
      <c r="C184" s="11">
        <f>IFERROR(VLOOKUP(B184,ItemData_Equipment!$A:$B,2,FALSE),"")</f>
        <v/>
      </c>
      <c r="H184" s="11">
        <f>IF(G184="","",TEXTJOIN("; ",TRUE,IF(TRIM(MID(SUBSTITUTE(G184,";",REPT(" ",99)),1,99))="","",IFERROR(VLOOKUP(--LEFT(TRIM(MID(SUBSTITUTE(G184,";",REPT(" ",99)),1,99)),FIND(":",TRIM(MID(SUBSTITUTE(G184,";",REPT(" ",99)),1,99)))-1),_Lookup!$A:$B,2,FALSE),"?")&amp;"×"&amp;MID(TRIM(MID(SUBSTITUTE(G184,";",REPT(" ",99)),1,99)),FIND(":",TRIM(MID(SUBSTITUTE(G184,";",REPT(" ",99)),1,99)))+1,99)),IF(TRIM(MID(SUBSTITUTE(G184,";",REPT(" ",99)),100,99))="","",IFERROR(VLOOKUP(--LEFT(TRIM(MID(SUBSTITUTE(G184,";",REPT(" ",99)),100,99)),FIND(":",TRIM(MID(SUBSTITUTE(G184,";",REPT(" ",99)),100,99)))-1),_Lookup!$A:$B,2,FALSE),"?")&amp;"×"&amp;MID(TRIM(MID(SUBSTITUTE(G184,";",REPT(" ",99)),100,99)),FIND(":",TRIM(MID(SUBSTITUTE(G184,";",REPT(" ",99)),100,99)))+1,99)),IF(TRIM(MID(SUBSTITUTE(G184,";",REPT(" ",99)),199,99))="","",IFERROR(VLOOKUP(--LEFT(TRIM(MID(SUBSTITUTE(G184,";",REPT(" ",99)),199,99)),FIND(":",TRIM(MID(SUBSTITUTE(G184,";",REPT(" ",99)),199,99)))-1),_Lookup!$A:$B,2,FALSE),"?")&amp;"×"&amp;MID(TRIM(MID(SUBSTITUTE(G184,";",REPT(" ",99)),199,99)),FIND(":",TRIM(MID(SUBSTITUTE(G184,";",REPT(" ",99)),199,99)))+1,99)),IF(TRIM(MID(SUBSTITUTE(G184,";",REPT(" ",99)),298,99))="","",IFERROR(VLOOKUP(--LEFT(TRIM(MID(SUBSTITUTE(G184,";",REPT(" ",99)),298,99)),FIND(":",TRIM(MID(SUBSTITUTE(G184,";",REPT(" ",99)),298,99)))-1),_Lookup!$A:$B,2,FALSE),"?")&amp;"×"&amp;MID(TRIM(MID(SUBSTITUTE(G184,";",REPT(" ",99)),298,99)),FIND(":",TRIM(MID(SUBSTITUTE(G184,";",REPT(" ",99)),298,99)))+1,99)),IF(TRIM(MID(SUBSTITUTE(G184,";",REPT(" ",99)),397,99))="","",IFERROR(VLOOKUP(--LEFT(TRIM(MID(SUBSTITUTE(G184,";",REPT(" ",99)),397,99)),FIND(":",TRIM(MID(SUBSTITUTE(G184,";",REPT(" ",99)),397,99)))-1),_Lookup!$A:$B,2,FALSE),"?")&amp;"×"&amp;MID(TRIM(MID(SUBSTITUTE(G184,";",REPT(" ",99)),397,99)),FIND(":",TRIM(MID(SUBSTITUTE(G184,";",REPT(" ",99)),397,99)))+1,99))))</f>
        <v/>
      </c>
    </row>
    <row r="185">
      <c r="C185" s="11">
        <f>IFERROR(VLOOKUP(B185,ItemData_Equipment!$A:$B,2,FALSE),"")</f>
        <v/>
      </c>
      <c r="H185" s="11">
        <f>IF(G185="","",TEXTJOIN("; ",TRUE,IF(TRIM(MID(SUBSTITUTE(G185,";",REPT(" ",99)),1,99))="","",IFERROR(VLOOKUP(--LEFT(TRIM(MID(SUBSTITUTE(G185,";",REPT(" ",99)),1,99)),FIND(":",TRIM(MID(SUBSTITUTE(G185,";",REPT(" ",99)),1,99)))-1),_Lookup!$A:$B,2,FALSE),"?")&amp;"×"&amp;MID(TRIM(MID(SUBSTITUTE(G185,";",REPT(" ",99)),1,99)),FIND(":",TRIM(MID(SUBSTITUTE(G185,";",REPT(" ",99)),1,99)))+1,99)),IF(TRIM(MID(SUBSTITUTE(G185,";",REPT(" ",99)),100,99))="","",IFERROR(VLOOKUP(--LEFT(TRIM(MID(SUBSTITUTE(G185,";",REPT(" ",99)),100,99)),FIND(":",TRIM(MID(SUBSTITUTE(G185,";",REPT(" ",99)),100,99)))-1),_Lookup!$A:$B,2,FALSE),"?")&amp;"×"&amp;MID(TRIM(MID(SUBSTITUTE(G185,";",REPT(" ",99)),100,99)),FIND(":",TRIM(MID(SUBSTITUTE(G185,";",REPT(" ",99)),100,99)))+1,99)),IF(TRIM(MID(SUBSTITUTE(G185,";",REPT(" ",99)),199,99))="","",IFERROR(VLOOKUP(--LEFT(TRIM(MID(SUBSTITUTE(G185,";",REPT(" ",99)),199,99)),FIND(":",TRIM(MID(SUBSTITUTE(G185,";",REPT(" ",99)),199,99)))-1),_Lookup!$A:$B,2,FALSE),"?")&amp;"×"&amp;MID(TRIM(MID(SUBSTITUTE(G185,";",REPT(" ",99)),199,99)),FIND(":",TRIM(MID(SUBSTITUTE(G185,";",REPT(" ",99)),199,99)))+1,99)),IF(TRIM(MID(SUBSTITUTE(G185,";",REPT(" ",99)),298,99))="","",IFERROR(VLOOKUP(--LEFT(TRIM(MID(SUBSTITUTE(G185,";",REPT(" ",99)),298,99)),FIND(":",TRIM(MID(SUBSTITUTE(G185,";",REPT(" ",99)),298,99)))-1),_Lookup!$A:$B,2,FALSE),"?")&amp;"×"&amp;MID(TRIM(MID(SUBSTITUTE(G185,";",REPT(" ",99)),298,99)),FIND(":",TRIM(MID(SUBSTITUTE(G185,";",REPT(" ",99)),298,99)))+1,99)),IF(TRIM(MID(SUBSTITUTE(G185,";",REPT(" ",99)),397,99))="","",IFERROR(VLOOKUP(--LEFT(TRIM(MID(SUBSTITUTE(G185,";",REPT(" ",99)),397,99)),FIND(":",TRIM(MID(SUBSTITUTE(G185,";",REPT(" ",99)),397,99)))-1),_Lookup!$A:$B,2,FALSE),"?")&amp;"×"&amp;MID(TRIM(MID(SUBSTITUTE(G185,";",REPT(" ",99)),397,99)),FIND(":",TRIM(MID(SUBSTITUTE(G185,";",REPT(" ",99)),397,99)))+1,99))))</f>
        <v/>
      </c>
    </row>
    <row r="186">
      <c r="C186" s="11">
        <f>IFERROR(VLOOKUP(B186,ItemData_Equipment!$A:$B,2,FALSE),"")</f>
        <v/>
      </c>
      <c r="H186" s="11">
        <f>IF(G186="","",TEXTJOIN("; ",TRUE,IF(TRIM(MID(SUBSTITUTE(G186,";",REPT(" ",99)),1,99))="","",IFERROR(VLOOKUP(--LEFT(TRIM(MID(SUBSTITUTE(G186,";",REPT(" ",99)),1,99)),FIND(":",TRIM(MID(SUBSTITUTE(G186,";",REPT(" ",99)),1,99)))-1),_Lookup!$A:$B,2,FALSE),"?")&amp;"×"&amp;MID(TRIM(MID(SUBSTITUTE(G186,";",REPT(" ",99)),1,99)),FIND(":",TRIM(MID(SUBSTITUTE(G186,";",REPT(" ",99)),1,99)))+1,99)),IF(TRIM(MID(SUBSTITUTE(G186,";",REPT(" ",99)),100,99))="","",IFERROR(VLOOKUP(--LEFT(TRIM(MID(SUBSTITUTE(G186,";",REPT(" ",99)),100,99)),FIND(":",TRIM(MID(SUBSTITUTE(G186,";",REPT(" ",99)),100,99)))-1),_Lookup!$A:$B,2,FALSE),"?")&amp;"×"&amp;MID(TRIM(MID(SUBSTITUTE(G186,";",REPT(" ",99)),100,99)),FIND(":",TRIM(MID(SUBSTITUTE(G186,";",REPT(" ",99)),100,99)))+1,99)),IF(TRIM(MID(SUBSTITUTE(G186,";",REPT(" ",99)),199,99))="","",IFERROR(VLOOKUP(--LEFT(TRIM(MID(SUBSTITUTE(G186,";",REPT(" ",99)),199,99)),FIND(":",TRIM(MID(SUBSTITUTE(G186,";",REPT(" ",99)),199,99)))-1),_Lookup!$A:$B,2,FALSE),"?")&amp;"×"&amp;MID(TRIM(MID(SUBSTITUTE(G186,";",REPT(" ",99)),199,99)),FIND(":",TRIM(MID(SUBSTITUTE(G186,";",REPT(" ",99)),199,99)))+1,99)),IF(TRIM(MID(SUBSTITUTE(G186,";",REPT(" ",99)),298,99))="","",IFERROR(VLOOKUP(--LEFT(TRIM(MID(SUBSTITUTE(G186,";",REPT(" ",99)),298,99)),FIND(":",TRIM(MID(SUBSTITUTE(G186,";",REPT(" ",99)),298,99)))-1),_Lookup!$A:$B,2,FALSE),"?")&amp;"×"&amp;MID(TRIM(MID(SUBSTITUTE(G186,";",REPT(" ",99)),298,99)),FIND(":",TRIM(MID(SUBSTITUTE(G186,";",REPT(" ",99)),298,99)))+1,99)),IF(TRIM(MID(SUBSTITUTE(G186,";",REPT(" ",99)),397,99))="","",IFERROR(VLOOKUP(--LEFT(TRIM(MID(SUBSTITUTE(G186,";",REPT(" ",99)),397,99)),FIND(":",TRIM(MID(SUBSTITUTE(G186,";",REPT(" ",99)),397,99)))-1),_Lookup!$A:$B,2,FALSE),"?")&amp;"×"&amp;MID(TRIM(MID(SUBSTITUTE(G186,";",REPT(" ",99)),397,99)),FIND(":",TRIM(MID(SUBSTITUTE(G186,";",REPT(" ",99)),397,99)))+1,99))))</f>
        <v/>
      </c>
    </row>
    <row r="187">
      <c r="C187" s="11">
        <f>IFERROR(VLOOKUP(B187,ItemData_Equipment!$A:$B,2,FALSE),"")</f>
        <v/>
      </c>
      <c r="H187" s="11">
        <f>IF(G187="","",TEXTJOIN("; ",TRUE,IF(TRIM(MID(SUBSTITUTE(G187,";",REPT(" ",99)),1,99))="","",IFERROR(VLOOKUP(--LEFT(TRIM(MID(SUBSTITUTE(G187,";",REPT(" ",99)),1,99)),FIND(":",TRIM(MID(SUBSTITUTE(G187,";",REPT(" ",99)),1,99)))-1),_Lookup!$A:$B,2,FALSE),"?")&amp;"×"&amp;MID(TRIM(MID(SUBSTITUTE(G187,";",REPT(" ",99)),1,99)),FIND(":",TRIM(MID(SUBSTITUTE(G187,";",REPT(" ",99)),1,99)))+1,99)),IF(TRIM(MID(SUBSTITUTE(G187,";",REPT(" ",99)),100,99))="","",IFERROR(VLOOKUP(--LEFT(TRIM(MID(SUBSTITUTE(G187,";",REPT(" ",99)),100,99)),FIND(":",TRIM(MID(SUBSTITUTE(G187,";",REPT(" ",99)),100,99)))-1),_Lookup!$A:$B,2,FALSE),"?")&amp;"×"&amp;MID(TRIM(MID(SUBSTITUTE(G187,";",REPT(" ",99)),100,99)),FIND(":",TRIM(MID(SUBSTITUTE(G187,";",REPT(" ",99)),100,99)))+1,99)),IF(TRIM(MID(SUBSTITUTE(G187,";",REPT(" ",99)),199,99))="","",IFERROR(VLOOKUP(--LEFT(TRIM(MID(SUBSTITUTE(G187,";",REPT(" ",99)),199,99)),FIND(":",TRIM(MID(SUBSTITUTE(G187,";",REPT(" ",99)),199,99)))-1),_Lookup!$A:$B,2,FALSE),"?")&amp;"×"&amp;MID(TRIM(MID(SUBSTITUTE(G187,";",REPT(" ",99)),199,99)),FIND(":",TRIM(MID(SUBSTITUTE(G187,";",REPT(" ",99)),199,99)))+1,99)),IF(TRIM(MID(SUBSTITUTE(G187,";",REPT(" ",99)),298,99))="","",IFERROR(VLOOKUP(--LEFT(TRIM(MID(SUBSTITUTE(G187,";",REPT(" ",99)),298,99)),FIND(":",TRIM(MID(SUBSTITUTE(G187,";",REPT(" ",99)),298,99)))-1),_Lookup!$A:$B,2,FALSE),"?")&amp;"×"&amp;MID(TRIM(MID(SUBSTITUTE(G187,";",REPT(" ",99)),298,99)),FIND(":",TRIM(MID(SUBSTITUTE(G187,";",REPT(" ",99)),298,99)))+1,99)),IF(TRIM(MID(SUBSTITUTE(G187,";",REPT(" ",99)),397,99))="","",IFERROR(VLOOKUP(--LEFT(TRIM(MID(SUBSTITUTE(G187,";",REPT(" ",99)),397,99)),FIND(":",TRIM(MID(SUBSTITUTE(G187,";",REPT(" ",99)),397,99)))-1),_Lookup!$A:$B,2,FALSE),"?")&amp;"×"&amp;MID(TRIM(MID(SUBSTITUTE(G187,";",REPT(" ",99)),397,99)),FIND(":",TRIM(MID(SUBSTITUTE(G187,";",REPT(" ",99)),397,99)))+1,99))))</f>
        <v/>
      </c>
    </row>
    <row r="188">
      <c r="C188" s="11">
        <f>IFERROR(VLOOKUP(B188,ItemData_Equipment!$A:$B,2,FALSE),"")</f>
        <v/>
      </c>
      <c r="H188" s="11">
        <f>IF(G188="","",TEXTJOIN("; ",TRUE,IF(TRIM(MID(SUBSTITUTE(G188,";",REPT(" ",99)),1,99))="","",IFERROR(VLOOKUP(--LEFT(TRIM(MID(SUBSTITUTE(G188,";",REPT(" ",99)),1,99)),FIND(":",TRIM(MID(SUBSTITUTE(G188,";",REPT(" ",99)),1,99)))-1),_Lookup!$A:$B,2,FALSE),"?")&amp;"×"&amp;MID(TRIM(MID(SUBSTITUTE(G188,";",REPT(" ",99)),1,99)),FIND(":",TRIM(MID(SUBSTITUTE(G188,";",REPT(" ",99)),1,99)))+1,99)),IF(TRIM(MID(SUBSTITUTE(G188,";",REPT(" ",99)),100,99))="","",IFERROR(VLOOKUP(--LEFT(TRIM(MID(SUBSTITUTE(G188,";",REPT(" ",99)),100,99)),FIND(":",TRIM(MID(SUBSTITUTE(G188,";",REPT(" ",99)),100,99)))-1),_Lookup!$A:$B,2,FALSE),"?")&amp;"×"&amp;MID(TRIM(MID(SUBSTITUTE(G188,";",REPT(" ",99)),100,99)),FIND(":",TRIM(MID(SUBSTITUTE(G188,";",REPT(" ",99)),100,99)))+1,99)),IF(TRIM(MID(SUBSTITUTE(G188,";",REPT(" ",99)),199,99))="","",IFERROR(VLOOKUP(--LEFT(TRIM(MID(SUBSTITUTE(G188,";",REPT(" ",99)),199,99)),FIND(":",TRIM(MID(SUBSTITUTE(G188,";",REPT(" ",99)),199,99)))-1),_Lookup!$A:$B,2,FALSE),"?")&amp;"×"&amp;MID(TRIM(MID(SUBSTITUTE(G188,";",REPT(" ",99)),199,99)),FIND(":",TRIM(MID(SUBSTITUTE(G188,";",REPT(" ",99)),199,99)))+1,99)),IF(TRIM(MID(SUBSTITUTE(G188,";",REPT(" ",99)),298,99))="","",IFERROR(VLOOKUP(--LEFT(TRIM(MID(SUBSTITUTE(G188,";",REPT(" ",99)),298,99)),FIND(":",TRIM(MID(SUBSTITUTE(G188,";",REPT(" ",99)),298,99)))-1),_Lookup!$A:$B,2,FALSE),"?")&amp;"×"&amp;MID(TRIM(MID(SUBSTITUTE(G188,";",REPT(" ",99)),298,99)),FIND(":",TRIM(MID(SUBSTITUTE(G188,";",REPT(" ",99)),298,99)))+1,99)),IF(TRIM(MID(SUBSTITUTE(G188,";",REPT(" ",99)),397,99))="","",IFERROR(VLOOKUP(--LEFT(TRIM(MID(SUBSTITUTE(G188,";",REPT(" ",99)),397,99)),FIND(":",TRIM(MID(SUBSTITUTE(G188,";",REPT(" ",99)),397,99)))-1),_Lookup!$A:$B,2,FALSE),"?")&amp;"×"&amp;MID(TRIM(MID(SUBSTITUTE(G188,";",REPT(" ",99)),397,99)),FIND(":",TRIM(MID(SUBSTITUTE(G188,";",REPT(" ",99)),397,99)))+1,99))))</f>
        <v/>
      </c>
    </row>
    <row r="189">
      <c r="C189" s="11">
        <f>IFERROR(VLOOKUP(B189,ItemData_Equipment!$A:$B,2,FALSE),"")</f>
        <v/>
      </c>
      <c r="H189" s="11">
        <f>IF(G189="","",TEXTJOIN("; ",TRUE,IF(TRIM(MID(SUBSTITUTE(G189,";",REPT(" ",99)),1,99))="","",IFERROR(VLOOKUP(--LEFT(TRIM(MID(SUBSTITUTE(G189,";",REPT(" ",99)),1,99)),FIND(":",TRIM(MID(SUBSTITUTE(G189,";",REPT(" ",99)),1,99)))-1),_Lookup!$A:$B,2,FALSE),"?")&amp;"×"&amp;MID(TRIM(MID(SUBSTITUTE(G189,";",REPT(" ",99)),1,99)),FIND(":",TRIM(MID(SUBSTITUTE(G189,";",REPT(" ",99)),1,99)))+1,99)),IF(TRIM(MID(SUBSTITUTE(G189,";",REPT(" ",99)),100,99))="","",IFERROR(VLOOKUP(--LEFT(TRIM(MID(SUBSTITUTE(G189,";",REPT(" ",99)),100,99)),FIND(":",TRIM(MID(SUBSTITUTE(G189,";",REPT(" ",99)),100,99)))-1),_Lookup!$A:$B,2,FALSE),"?")&amp;"×"&amp;MID(TRIM(MID(SUBSTITUTE(G189,";",REPT(" ",99)),100,99)),FIND(":",TRIM(MID(SUBSTITUTE(G189,";",REPT(" ",99)),100,99)))+1,99)),IF(TRIM(MID(SUBSTITUTE(G189,";",REPT(" ",99)),199,99))="","",IFERROR(VLOOKUP(--LEFT(TRIM(MID(SUBSTITUTE(G189,";",REPT(" ",99)),199,99)),FIND(":",TRIM(MID(SUBSTITUTE(G189,";",REPT(" ",99)),199,99)))-1),_Lookup!$A:$B,2,FALSE),"?")&amp;"×"&amp;MID(TRIM(MID(SUBSTITUTE(G189,";",REPT(" ",99)),199,99)),FIND(":",TRIM(MID(SUBSTITUTE(G189,";",REPT(" ",99)),199,99)))+1,99)),IF(TRIM(MID(SUBSTITUTE(G189,";",REPT(" ",99)),298,99))="","",IFERROR(VLOOKUP(--LEFT(TRIM(MID(SUBSTITUTE(G189,";",REPT(" ",99)),298,99)),FIND(":",TRIM(MID(SUBSTITUTE(G189,";",REPT(" ",99)),298,99)))-1),_Lookup!$A:$B,2,FALSE),"?")&amp;"×"&amp;MID(TRIM(MID(SUBSTITUTE(G189,";",REPT(" ",99)),298,99)),FIND(":",TRIM(MID(SUBSTITUTE(G189,";",REPT(" ",99)),298,99)))+1,99)),IF(TRIM(MID(SUBSTITUTE(G189,";",REPT(" ",99)),397,99))="","",IFERROR(VLOOKUP(--LEFT(TRIM(MID(SUBSTITUTE(G189,";",REPT(" ",99)),397,99)),FIND(":",TRIM(MID(SUBSTITUTE(G189,";",REPT(" ",99)),397,99)))-1),_Lookup!$A:$B,2,FALSE),"?")&amp;"×"&amp;MID(TRIM(MID(SUBSTITUTE(G189,";",REPT(" ",99)),397,99)),FIND(":",TRIM(MID(SUBSTITUTE(G189,";",REPT(" ",99)),397,99)))+1,99))))</f>
        <v/>
      </c>
    </row>
    <row r="190">
      <c r="C190" s="11">
        <f>IFERROR(VLOOKUP(B190,ItemData_Equipment!$A:$B,2,FALSE),"")</f>
        <v/>
      </c>
      <c r="H190" s="11">
        <f>IF(G190="","",TEXTJOIN("; ",TRUE,IF(TRIM(MID(SUBSTITUTE(G190,";",REPT(" ",99)),1,99))="","",IFERROR(VLOOKUP(--LEFT(TRIM(MID(SUBSTITUTE(G190,";",REPT(" ",99)),1,99)),FIND(":",TRIM(MID(SUBSTITUTE(G190,";",REPT(" ",99)),1,99)))-1),_Lookup!$A:$B,2,FALSE),"?")&amp;"×"&amp;MID(TRIM(MID(SUBSTITUTE(G190,";",REPT(" ",99)),1,99)),FIND(":",TRIM(MID(SUBSTITUTE(G190,";",REPT(" ",99)),1,99)))+1,99)),IF(TRIM(MID(SUBSTITUTE(G190,";",REPT(" ",99)),100,99))="","",IFERROR(VLOOKUP(--LEFT(TRIM(MID(SUBSTITUTE(G190,";",REPT(" ",99)),100,99)),FIND(":",TRIM(MID(SUBSTITUTE(G190,";",REPT(" ",99)),100,99)))-1),_Lookup!$A:$B,2,FALSE),"?")&amp;"×"&amp;MID(TRIM(MID(SUBSTITUTE(G190,";",REPT(" ",99)),100,99)),FIND(":",TRIM(MID(SUBSTITUTE(G190,";",REPT(" ",99)),100,99)))+1,99)),IF(TRIM(MID(SUBSTITUTE(G190,";",REPT(" ",99)),199,99))="","",IFERROR(VLOOKUP(--LEFT(TRIM(MID(SUBSTITUTE(G190,";",REPT(" ",99)),199,99)),FIND(":",TRIM(MID(SUBSTITUTE(G190,";",REPT(" ",99)),199,99)))-1),_Lookup!$A:$B,2,FALSE),"?")&amp;"×"&amp;MID(TRIM(MID(SUBSTITUTE(G190,";",REPT(" ",99)),199,99)),FIND(":",TRIM(MID(SUBSTITUTE(G190,";",REPT(" ",99)),199,99)))+1,99)),IF(TRIM(MID(SUBSTITUTE(G190,";",REPT(" ",99)),298,99))="","",IFERROR(VLOOKUP(--LEFT(TRIM(MID(SUBSTITUTE(G190,";",REPT(" ",99)),298,99)),FIND(":",TRIM(MID(SUBSTITUTE(G190,";",REPT(" ",99)),298,99)))-1),_Lookup!$A:$B,2,FALSE),"?")&amp;"×"&amp;MID(TRIM(MID(SUBSTITUTE(G190,";",REPT(" ",99)),298,99)),FIND(":",TRIM(MID(SUBSTITUTE(G190,";",REPT(" ",99)),298,99)))+1,99)),IF(TRIM(MID(SUBSTITUTE(G190,";",REPT(" ",99)),397,99))="","",IFERROR(VLOOKUP(--LEFT(TRIM(MID(SUBSTITUTE(G190,";",REPT(" ",99)),397,99)),FIND(":",TRIM(MID(SUBSTITUTE(G190,";",REPT(" ",99)),397,99)))-1),_Lookup!$A:$B,2,FALSE),"?")&amp;"×"&amp;MID(TRIM(MID(SUBSTITUTE(G190,";",REPT(" ",99)),397,99)),FIND(":",TRIM(MID(SUBSTITUTE(G190,";",REPT(" ",99)),397,99)))+1,99))))</f>
        <v/>
      </c>
    </row>
    <row r="191">
      <c r="C191" s="11">
        <f>IFERROR(VLOOKUP(B191,ItemData_Equipment!$A:$B,2,FALSE),"")</f>
        <v/>
      </c>
      <c r="H191" s="11">
        <f>IF(G191="","",TEXTJOIN("; ",TRUE,IF(TRIM(MID(SUBSTITUTE(G191,";",REPT(" ",99)),1,99))="","",IFERROR(VLOOKUP(--LEFT(TRIM(MID(SUBSTITUTE(G191,";",REPT(" ",99)),1,99)),FIND(":",TRIM(MID(SUBSTITUTE(G191,";",REPT(" ",99)),1,99)))-1),_Lookup!$A:$B,2,FALSE),"?")&amp;"×"&amp;MID(TRIM(MID(SUBSTITUTE(G191,";",REPT(" ",99)),1,99)),FIND(":",TRIM(MID(SUBSTITUTE(G191,";",REPT(" ",99)),1,99)))+1,99)),IF(TRIM(MID(SUBSTITUTE(G191,";",REPT(" ",99)),100,99))="","",IFERROR(VLOOKUP(--LEFT(TRIM(MID(SUBSTITUTE(G191,";",REPT(" ",99)),100,99)),FIND(":",TRIM(MID(SUBSTITUTE(G191,";",REPT(" ",99)),100,99)))-1),_Lookup!$A:$B,2,FALSE),"?")&amp;"×"&amp;MID(TRIM(MID(SUBSTITUTE(G191,";",REPT(" ",99)),100,99)),FIND(":",TRIM(MID(SUBSTITUTE(G191,";",REPT(" ",99)),100,99)))+1,99)),IF(TRIM(MID(SUBSTITUTE(G191,";",REPT(" ",99)),199,99))="","",IFERROR(VLOOKUP(--LEFT(TRIM(MID(SUBSTITUTE(G191,";",REPT(" ",99)),199,99)),FIND(":",TRIM(MID(SUBSTITUTE(G191,";",REPT(" ",99)),199,99)))-1),_Lookup!$A:$B,2,FALSE),"?")&amp;"×"&amp;MID(TRIM(MID(SUBSTITUTE(G191,";",REPT(" ",99)),199,99)),FIND(":",TRIM(MID(SUBSTITUTE(G191,";",REPT(" ",99)),199,99)))+1,99)),IF(TRIM(MID(SUBSTITUTE(G191,";",REPT(" ",99)),298,99))="","",IFERROR(VLOOKUP(--LEFT(TRIM(MID(SUBSTITUTE(G191,";",REPT(" ",99)),298,99)),FIND(":",TRIM(MID(SUBSTITUTE(G191,";",REPT(" ",99)),298,99)))-1),_Lookup!$A:$B,2,FALSE),"?")&amp;"×"&amp;MID(TRIM(MID(SUBSTITUTE(G191,";",REPT(" ",99)),298,99)),FIND(":",TRIM(MID(SUBSTITUTE(G191,";",REPT(" ",99)),298,99)))+1,99)),IF(TRIM(MID(SUBSTITUTE(G191,";",REPT(" ",99)),397,99))="","",IFERROR(VLOOKUP(--LEFT(TRIM(MID(SUBSTITUTE(G191,";",REPT(" ",99)),397,99)),FIND(":",TRIM(MID(SUBSTITUTE(G191,";",REPT(" ",99)),397,99)))-1),_Lookup!$A:$B,2,FALSE),"?")&amp;"×"&amp;MID(TRIM(MID(SUBSTITUTE(G191,";",REPT(" ",99)),397,99)),FIND(":",TRIM(MID(SUBSTITUTE(G191,";",REPT(" ",99)),397,99)))+1,99))))</f>
        <v/>
      </c>
    </row>
    <row r="192">
      <c r="C192" s="11">
        <f>IFERROR(VLOOKUP(B192,ItemData_Equipment!$A:$B,2,FALSE),"")</f>
        <v/>
      </c>
      <c r="H192" s="11">
        <f>IF(G192="","",TEXTJOIN("; ",TRUE,IF(TRIM(MID(SUBSTITUTE(G192,";",REPT(" ",99)),1,99))="","",IFERROR(VLOOKUP(--LEFT(TRIM(MID(SUBSTITUTE(G192,";",REPT(" ",99)),1,99)),FIND(":",TRIM(MID(SUBSTITUTE(G192,";",REPT(" ",99)),1,99)))-1),_Lookup!$A:$B,2,FALSE),"?")&amp;"×"&amp;MID(TRIM(MID(SUBSTITUTE(G192,";",REPT(" ",99)),1,99)),FIND(":",TRIM(MID(SUBSTITUTE(G192,";",REPT(" ",99)),1,99)))+1,99)),IF(TRIM(MID(SUBSTITUTE(G192,";",REPT(" ",99)),100,99))="","",IFERROR(VLOOKUP(--LEFT(TRIM(MID(SUBSTITUTE(G192,";",REPT(" ",99)),100,99)),FIND(":",TRIM(MID(SUBSTITUTE(G192,";",REPT(" ",99)),100,99)))-1),_Lookup!$A:$B,2,FALSE),"?")&amp;"×"&amp;MID(TRIM(MID(SUBSTITUTE(G192,";",REPT(" ",99)),100,99)),FIND(":",TRIM(MID(SUBSTITUTE(G192,";",REPT(" ",99)),100,99)))+1,99)),IF(TRIM(MID(SUBSTITUTE(G192,";",REPT(" ",99)),199,99))="","",IFERROR(VLOOKUP(--LEFT(TRIM(MID(SUBSTITUTE(G192,";",REPT(" ",99)),199,99)),FIND(":",TRIM(MID(SUBSTITUTE(G192,";",REPT(" ",99)),199,99)))-1),_Lookup!$A:$B,2,FALSE),"?")&amp;"×"&amp;MID(TRIM(MID(SUBSTITUTE(G192,";",REPT(" ",99)),199,99)),FIND(":",TRIM(MID(SUBSTITUTE(G192,";",REPT(" ",99)),199,99)))+1,99)),IF(TRIM(MID(SUBSTITUTE(G192,";",REPT(" ",99)),298,99))="","",IFERROR(VLOOKUP(--LEFT(TRIM(MID(SUBSTITUTE(G192,";",REPT(" ",99)),298,99)),FIND(":",TRIM(MID(SUBSTITUTE(G192,";",REPT(" ",99)),298,99)))-1),_Lookup!$A:$B,2,FALSE),"?")&amp;"×"&amp;MID(TRIM(MID(SUBSTITUTE(G192,";",REPT(" ",99)),298,99)),FIND(":",TRIM(MID(SUBSTITUTE(G192,";",REPT(" ",99)),298,99)))+1,99)),IF(TRIM(MID(SUBSTITUTE(G192,";",REPT(" ",99)),397,99))="","",IFERROR(VLOOKUP(--LEFT(TRIM(MID(SUBSTITUTE(G192,";",REPT(" ",99)),397,99)),FIND(":",TRIM(MID(SUBSTITUTE(G192,";",REPT(" ",99)),397,99)))-1),_Lookup!$A:$B,2,FALSE),"?")&amp;"×"&amp;MID(TRIM(MID(SUBSTITUTE(G192,";",REPT(" ",99)),397,99)),FIND(":",TRIM(MID(SUBSTITUTE(G192,";",REPT(" ",99)),397,99)))+1,99))))</f>
        <v/>
      </c>
    </row>
    <row r="193">
      <c r="C193" s="11">
        <f>IFERROR(VLOOKUP(B193,ItemData_Equipment!$A:$B,2,FALSE),"")</f>
        <v/>
      </c>
      <c r="H193" s="11">
        <f>IF(G193="","",TEXTJOIN("; ",TRUE,IF(TRIM(MID(SUBSTITUTE(G193,";",REPT(" ",99)),1,99))="","",IFERROR(VLOOKUP(--LEFT(TRIM(MID(SUBSTITUTE(G193,";",REPT(" ",99)),1,99)),FIND(":",TRIM(MID(SUBSTITUTE(G193,";",REPT(" ",99)),1,99)))-1),_Lookup!$A:$B,2,FALSE),"?")&amp;"×"&amp;MID(TRIM(MID(SUBSTITUTE(G193,";",REPT(" ",99)),1,99)),FIND(":",TRIM(MID(SUBSTITUTE(G193,";",REPT(" ",99)),1,99)))+1,99)),IF(TRIM(MID(SUBSTITUTE(G193,";",REPT(" ",99)),100,99))="","",IFERROR(VLOOKUP(--LEFT(TRIM(MID(SUBSTITUTE(G193,";",REPT(" ",99)),100,99)),FIND(":",TRIM(MID(SUBSTITUTE(G193,";",REPT(" ",99)),100,99)))-1),_Lookup!$A:$B,2,FALSE),"?")&amp;"×"&amp;MID(TRIM(MID(SUBSTITUTE(G193,";",REPT(" ",99)),100,99)),FIND(":",TRIM(MID(SUBSTITUTE(G193,";",REPT(" ",99)),100,99)))+1,99)),IF(TRIM(MID(SUBSTITUTE(G193,";",REPT(" ",99)),199,99))="","",IFERROR(VLOOKUP(--LEFT(TRIM(MID(SUBSTITUTE(G193,";",REPT(" ",99)),199,99)),FIND(":",TRIM(MID(SUBSTITUTE(G193,";",REPT(" ",99)),199,99)))-1),_Lookup!$A:$B,2,FALSE),"?")&amp;"×"&amp;MID(TRIM(MID(SUBSTITUTE(G193,";",REPT(" ",99)),199,99)),FIND(":",TRIM(MID(SUBSTITUTE(G193,";",REPT(" ",99)),199,99)))+1,99)),IF(TRIM(MID(SUBSTITUTE(G193,";",REPT(" ",99)),298,99))="","",IFERROR(VLOOKUP(--LEFT(TRIM(MID(SUBSTITUTE(G193,";",REPT(" ",99)),298,99)),FIND(":",TRIM(MID(SUBSTITUTE(G193,";",REPT(" ",99)),298,99)))-1),_Lookup!$A:$B,2,FALSE),"?")&amp;"×"&amp;MID(TRIM(MID(SUBSTITUTE(G193,";",REPT(" ",99)),298,99)),FIND(":",TRIM(MID(SUBSTITUTE(G193,";",REPT(" ",99)),298,99)))+1,99)),IF(TRIM(MID(SUBSTITUTE(G193,";",REPT(" ",99)),397,99))="","",IFERROR(VLOOKUP(--LEFT(TRIM(MID(SUBSTITUTE(G193,";",REPT(" ",99)),397,99)),FIND(":",TRIM(MID(SUBSTITUTE(G193,";",REPT(" ",99)),397,99)))-1),_Lookup!$A:$B,2,FALSE),"?")&amp;"×"&amp;MID(TRIM(MID(SUBSTITUTE(G193,";",REPT(" ",99)),397,99)),FIND(":",TRIM(MID(SUBSTITUTE(G193,";",REPT(" ",99)),397,99)))+1,99))))</f>
        <v/>
      </c>
    </row>
    <row r="194">
      <c r="C194" s="11">
        <f>IFERROR(VLOOKUP(B194,ItemData_Equipment!$A:$B,2,FALSE),"")</f>
        <v/>
      </c>
      <c r="H194" s="11">
        <f>IF(G194="","",TEXTJOIN("; ",TRUE,IF(TRIM(MID(SUBSTITUTE(G194,";",REPT(" ",99)),1,99))="","",IFERROR(VLOOKUP(--LEFT(TRIM(MID(SUBSTITUTE(G194,";",REPT(" ",99)),1,99)),FIND(":",TRIM(MID(SUBSTITUTE(G194,";",REPT(" ",99)),1,99)))-1),_Lookup!$A:$B,2,FALSE),"?")&amp;"×"&amp;MID(TRIM(MID(SUBSTITUTE(G194,";",REPT(" ",99)),1,99)),FIND(":",TRIM(MID(SUBSTITUTE(G194,";",REPT(" ",99)),1,99)))+1,99)),IF(TRIM(MID(SUBSTITUTE(G194,";",REPT(" ",99)),100,99))="","",IFERROR(VLOOKUP(--LEFT(TRIM(MID(SUBSTITUTE(G194,";",REPT(" ",99)),100,99)),FIND(":",TRIM(MID(SUBSTITUTE(G194,";",REPT(" ",99)),100,99)))-1),_Lookup!$A:$B,2,FALSE),"?")&amp;"×"&amp;MID(TRIM(MID(SUBSTITUTE(G194,";",REPT(" ",99)),100,99)),FIND(":",TRIM(MID(SUBSTITUTE(G194,";",REPT(" ",99)),100,99)))+1,99)),IF(TRIM(MID(SUBSTITUTE(G194,";",REPT(" ",99)),199,99))="","",IFERROR(VLOOKUP(--LEFT(TRIM(MID(SUBSTITUTE(G194,";",REPT(" ",99)),199,99)),FIND(":",TRIM(MID(SUBSTITUTE(G194,";",REPT(" ",99)),199,99)))-1),_Lookup!$A:$B,2,FALSE),"?")&amp;"×"&amp;MID(TRIM(MID(SUBSTITUTE(G194,";",REPT(" ",99)),199,99)),FIND(":",TRIM(MID(SUBSTITUTE(G194,";",REPT(" ",99)),199,99)))+1,99)),IF(TRIM(MID(SUBSTITUTE(G194,";",REPT(" ",99)),298,99))="","",IFERROR(VLOOKUP(--LEFT(TRIM(MID(SUBSTITUTE(G194,";",REPT(" ",99)),298,99)),FIND(":",TRIM(MID(SUBSTITUTE(G194,";",REPT(" ",99)),298,99)))-1),_Lookup!$A:$B,2,FALSE),"?")&amp;"×"&amp;MID(TRIM(MID(SUBSTITUTE(G194,";",REPT(" ",99)),298,99)),FIND(":",TRIM(MID(SUBSTITUTE(G194,";",REPT(" ",99)),298,99)))+1,99)),IF(TRIM(MID(SUBSTITUTE(G194,";",REPT(" ",99)),397,99))="","",IFERROR(VLOOKUP(--LEFT(TRIM(MID(SUBSTITUTE(G194,";",REPT(" ",99)),397,99)),FIND(":",TRIM(MID(SUBSTITUTE(G194,";",REPT(" ",99)),397,99)))-1),_Lookup!$A:$B,2,FALSE),"?")&amp;"×"&amp;MID(TRIM(MID(SUBSTITUTE(G194,";",REPT(" ",99)),397,99)),FIND(":",TRIM(MID(SUBSTITUTE(G194,";",REPT(" ",99)),397,99)))+1,99))))</f>
        <v/>
      </c>
    </row>
    <row r="195">
      <c r="C195" s="11">
        <f>IFERROR(VLOOKUP(B195,ItemData_Equipment!$A:$B,2,FALSE),"")</f>
        <v/>
      </c>
      <c r="H195" s="11">
        <f>IF(G195="","",TEXTJOIN("; ",TRUE,IF(TRIM(MID(SUBSTITUTE(G195,";",REPT(" ",99)),1,99))="","",IFERROR(VLOOKUP(--LEFT(TRIM(MID(SUBSTITUTE(G195,";",REPT(" ",99)),1,99)),FIND(":",TRIM(MID(SUBSTITUTE(G195,";",REPT(" ",99)),1,99)))-1),_Lookup!$A:$B,2,FALSE),"?")&amp;"×"&amp;MID(TRIM(MID(SUBSTITUTE(G195,";",REPT(" ",99)),1,99)),FIND(":",TRIM(MID(SUBSTITUTE(G195,";",REPT(" ",99)),1,99)))+1,99)),IF(TRIM(MID(SUBSTITUTE(G195,";",REPT(" ",99)),100,99))="","",IFERROR(VLOOKUP(--LEFT(TRIM(MID(SUBSTITUTE(G195,";",REPT(" ",99)),100,99)),FIND(":",TRIM(MID(SUBSTITUTE(G195,";",REPT(" ",99)),100,99)))-1),_Lookup!$A:$B,2,FALSE),"?")&amp;"×"&amp;MID(TRIM(MID(SUBSTITUTE(G195,";",REPT(" ",99)),100,99)),FIND(":",TRIM(MID(SUBSTITUTE(G195,";",REPT(" ",99)),100,99)))+1,99)),IF(TRIM(MID(SUBSTITUTE(G195,";",REPT(" ",99)),199,99))="","",IFERROR(VLOOKUP(--LEFT(TRIM(MID(SUBSTITUTE(G195,";",REPT(" ",99)),199,99)),FIND(":",TRIM(MID(SUBSTITUTE(G195,";",REPT(" ",99)),199,99)))-1),_Lookup!$A:$B,2,FALSE),"?")&amp;"×"&amp;MID(TRIM(MID(SUBSTITUTE(G195,";",REPT(" ",99)),199,99)),FIND(":",TRIM(MID(SUBSTITUTE(G195,";",REPT(" ",99)),199,99)))+1,99)),IF(TRIM(MID(SUBSTITUTE(G195,";",REPT(" ",99)),298,99))="","",IFERROR(VLOOKUP(--LEFT(TRIM(MID(SUBSTITUTE(G195,";",REPT(" ",99)),298,99)),FIND(":",TRIM(MID(SUBSTITUTE(G195,";",REPT(" ",99)),298,99)))-1),_Lookup!$A:$B,2,FALSE),"?")&amp;"×"&amp;MID(TRIM(MID(SUBSTITUTE(G195,";",REPT(" ",99)),298,99)),FIND(":",TRIM(MID(SUBSTITUTE(G195,";",REPT(" ",99)),298,99)))+1,99)),IF(TRIM(MID(SUBSTITUTE(G195,";",REPT(" ",99)),397,99))="","",IFERROR(VLOOKUP(--LEFT(TRIM(MID(SUBSTITUTE(G195,";",REPT(" ",99)),397,99)),FIND(":",TRIM(MID(SUBSTITUTE(G195,";",REPT(" ",99)),397,99)))-1),_Lookup!$A:$B,2,FALSE),"?")&amp;"×"&amp;MID(TRIM(MID(SUBSTITUTE(G195,";",REPT(" ",99)),397,99)),FIND(":",TRIM(MID(SUBSTITUTE(G195,";",REPT(" ",99)),397,99)))+1,99))))</f>
        <v/>
      </c>
    </row>
    <row r="196">
      <c r="C196" s="11">
        <f>IFERROR(VLOOKUP(B196,ItemData_Equipment!$A:$B,2,FALSE),"")</f>
        <v/>
      </c>
      <c r="H196" s="11">
        <f>IF(G196="","",TEXTJOIN("; ",TRUE,IF(TRIM(MID(SUBSTITUTE(G196,";",REPT(" ",99)),1,99))="","",IFERROR(VLOOKUP(--LEFT(TRIM(MID(SUBSTITUTE(G196,";",REPT(" ",99)),1,99)),FIND(":",TRIM(MID(SUBSTITUTE(G196,";",REPT(" ",99)),1,99)))-1),_Lookup!$A:$B,2,FALSE),"?")&amp;"×"&amp;MID(TRIM(MID(SUBSTITUTE(G196,";",REPT(" ",99)),1,99)),FIND(":",TRIM(MID(SUBSTITUTE(G196,";",REPT(" ",99)),1,99)))+1,99)),IF(TRIM(MID(SUBSTITUTE(G196,";",REPT(" ",99)),100,99))="","",IFERROR(VLOOKUP(--LEFT(TRIM(MID(SUBSTITUTE(G196,";",REPT(" ",99)),100,99)),FIND(":",TRIM(MID(SUBSTITUTE(G196,";",REPT(" ",99)),100,99)))-1),_Lookup!$A:$B,2,FALSE),"?")&amp;"×"&amp;MID(TRIM(MID(SUBSTITUTE(G196,";",REPT(" ",99)),100,99)),FIND(":",TRIM(MID(SUBSTITUTE(G196,";",REPT(" ",99)),100,99)))+1,99)),IF(TRIM(MID(SUBSTITUTE(G196,";",REPT(" ",99)),199,99))="","",IFERROR(VLOOKUP(--LEFT(TRIM(MID(SUBSTITUTE(G196,";",REPT(" ",99)),199,99)),FIND(":",TRIM(MID(SUBSTITUTE(G196,";",REPT(" ",99)),199,99)))-1),_Lookup!$A:$B,2,FALSE),"?")&amp;"×"&amp;MID(TRIM(MID(SUBSTITUTE(G196,";",REPT(" ",99)),199,99)),FIND(":",TRIM(MID(SUBSTITUTE(G196,";",REPT(" ",99)),199,99)))+1,99)),IF(TRIM(MID(SUBSTITUTE(G196,";",REPT(" ",99)),298,99))="","",IFERROR(VLOOKUP(--LEFT(TRIM(MID(SUBSTITUTE(G196,";",REPT(" ",99)),298,99)),FIND(":",TRIM(MID(SUBSTITUTE(G196,";",REPT(" ",99)),298,99)))-1),_Lookup!$A:$B,2,FALSE),"?")&amp;"×"&amp;MID(TRIM(MID(SUBSTITUTE(G196,";",REPT(" ",99)),298,99)),FIND(":",TRIM(MID(SUBSTITUTE(G196,";",REPT(" ",99)),298,99)))+1,99)),IF(TRIM(MID(SUBSTITUTE(G196,";",REPT(" ",99)),397,99))="","",IFERROR(VLOOKUP(--LEFT(TRIM(MID(SUBSTITUTE(G196,";",REPT(" ",99)),397,99)),FIND(":",TRIM(MID(SUBSTITUTE(G196,";",REPT(" ",99)),397,99)))-1),_Lookup!$A:$B,2,FALSE),"?")&amp;"×"&amp;MID(TRIM(MID(SUBSTITUTE(G196,";",REPT(" ",99)),397,99)),FIND(":",TRIM(MID(SUBSTITUTE(G196,";",REPT(" ",99)),397,99)))+1,99))))</f>
        <v/>
      </c>
    </row>
    <row r="197">
      <c r="C197" s="11">
        <f>IFERROR(VLOOKUP(B197,ItemData_Equipment!$A:$B,2,FALSE),"")</f>
        <v/>
      </c>
      <c r="H197" s="11">
        <f>IF(G197="","",TEXTJOIN("; ",TRUE,IF(TRIM(MID(SUBSTITUTE(G197,";",REPT(" ",99)),1,99))="","",IFERROR(VLOOKUP(--LEFT(TRIM(MID(SUBSTITUTE(G197,";",REPT(" ",99)),1,99)),FIND(":",TRIM(MID(SUBSTITUTE(G197,";",REPT(" ",99)),1,99)))-1),_Lookup!$A:$B,2,FALSE),"?")&amp;"×"&amp;MID(TRIM(MID(SUBSTITUTE(G197,";",REPT(" ",99)),1,99)),FIND(":",TRIM(MID(SUBSTITUTE(G197,";",REPT(" ",99)),1,99)))+1,99)),IF(TRIM(MID(SUBSTITUTE(G197,";",REPT(" ",99)),100,99))="","",IFERROR(VLOOKUP(--LEFT(TRIM(MID(SUBSTITUTE(G197,";",REPT(" ",99)),100,99)),FIND(":",TRIM(MID(SUBSTITUTE(G197,";",REPT(" ",99)),100,99)))-1),_Lookup!$A:$B,2,FALSE),"?")&amp;"×"&amp;MID(TRIM(MID(SUBSTITUTE(G197,";",REPT(" ",99)),100,99)),FIND(":",TRIM(MID(SUBSTITUTE(G197,";",REPT(" ",99)),100,99)))+1,99)),IF(TRIM(MID(SUBSTITUTE(G197,";",REPT(" ",99)),199,99))="","",IFERROR(VLOOKUP(--LEFT(TRIM(MID(SUBSTITUTE(G197,";",REPT(" ",99)),199,99)),FIND(":",TRIM(MID(SUBSTITUTE(G197,";",REPT(" ",99)),199,99)))-1),_Lookup!$A:$B,2,FALSE),"?")&amp;"×"&amp;MID(TRIM(MID(SUBSTITUTE(G197,";",REPT(" ",99)),199,99)),FIND(":",TRIM(MID(SUBSTITUTE(G197,";",REPT(" ",99)),199,99)))+1,99)),IF(TRIM(MID(SUBSTITUTE(G197,";",REPT(" ",99)),298,99))="","",IFERROR(VLOOKUP(--LEFT(TRIM(MID(SUBSTITUTE(G197,";",REPT(" ",99)),298,99)),FIND(":",TRIM(MID(SUBSTITUTE(G197,";",REPT(" ",99)),298,99)))-1),_Lookup!$A:$B,2,FALSE),"?")&amp;"×"&amp;MID(TRIM(MID(SUBSTITUTE(G197,";",REPT(" ",99)),298,99)),FIND(":",TRIM(MID(SUBSTITUTE(G197,";",REPT(" ",99)),298,99)))+1,99)),IF(TRIM(MID(SUBSTITUTE(G197,";",REPT(" ",99)),397,99))="","",IFERROR(VLOOKUP(--LEFT(TRIM(MID(SUBSTITUTE(G197,";",REPT(" ",99)),397,99)),FIND(":",TRIM(MID(SUBSTITUTE(G197,";",REPT(" ",99)),397,99)))-1),_Lookup!$A:$B,2,FALSE),"?")&amp;"×"&amp;MID(TRIM(MID(SUBSTITUTE(G197,";",REPT(" ",99)),397,99)),FIND(":",TRIM(MID(SUBSTITUTE(G197,";",REPT(" ",99)),397,99)))+1,99))))</f>
        <v/>
      </c>
    </row>
    <row r="198">
      <c r="C198" s="11">
        <f>IFERROR(VLOOKUP(B198,ItemData_Equipment!$A:$B,2,FALSE),"")</f>
        <v/>
      </c>
      <c r="H198" s="11">
        <f>IF(G198="","",TEXTJOIN("; ",TRUE,IF(TRIM(MID(SUBSTITUTE(G198,";",REPT(" ",99)),1,99))="","",IFERROR(VLOOKUP(--LEFT(TRIM(MID(SUBSTITUTE(G198,";",REPT(" ",99)),1,99)),FIND(":",TRIM(MID(SUBSTITUTE(G198,";",REPT(" ",99)),1,99)))-1),_Lookup!$A:$B,2,FALSE),"?")&amp;"×"&amp;MID(TRIM(MID(SUBSTITUTE(G198,";",REPT(" ",99)),1,99)),FIND(":",TRIM(MID(SUBSTITUTE(G198,";",REPT(" ",99)),1,99)))+1,99)),IF(TRIM(MID(SUBSTITUTE(G198,";",REPT(" ",99)),100,99))="","",IFERROR(VLOOKUP(--LEFT(TRIM(MID(SUBSTITUTE(G198,";",REPT(" ",99)),100,99)),FIND(":",TRIM(MID(SUBSTITUTE(G198,";",REPT(" ",99)),100,99)))-1),_Lookup!$A:$B,2,FALSE),"?")&amp;"×"&amp;MID(TRIM(MID(SUBSTITUTE(G198,";",REPT(" ",99)),100,99)),FIND(":",TRIM(MID(SUBSTITUTE(G198,";",REPT(" ",99)),100,99)))+1,99)),IF(TRIM(MID(SUBSTITUTE(G198,";",REPT(" ",99)),199,99))="","",IFERROR(VLOOKUP(--LEFT(TRIM(MID(SUBSTITUTE(G198,";",REPT(" ",99)),199,99)),FIND(":",TRIM(MID(SUBSTITUTE(G198,";",REPT(" ",99)),199,99)))-1),_Lookup!$A:$B,2,FALSE),"?")&amp;"×"&amp;MID(TRIM(MID(SUBSTITUTE(G198,";",REPT(" ",99)),199,99)),FIND(":",TRIM(MID(SUBSTITUTE(G198,";",REPT(" ",99)),199,99)))+1,99)),IF(TRIM(MID(SUBSTITUTE(G198,";",REPT(" ",99)),298,99))="","",IFERROR(VLOOKUP(--LEFT(TRIM(MID(SUBSTITUTE(G198,";",REPT(" ",99)),298,99)),FIND(":",TRIM(MID(SUBSTITUTE(G198,";",REPT(" ",99)),298,99)))-1),_Lookup!$A:$B,2,FALSE),"?")&amp;"×"&amp;MID(TRIM(MID(SUBSTITUTE(G198,";",REPT(" ",99)),298,99)),FIND(":",TRIM(MID(SUBSTITUTE(G198,";",REPT(" ",99)),298,99)))+1,99)),IF(TRIM(MID(SUBSTITUTE(G198,";",REPT(" ",99)),397,99))="","",IFERROR(VLOOKUP(--LEFT(TRIM(MID(SUBSTITUTE(G198,";",REPT(" ",99)),397,99)),FIND(":",TRIM(MID(SUBSTITUTE(G198,";",REPT(" ",99)),397,99)))-1),_Lookup!$A:$B,2,FALSE),"?")&amp;"×"&amp;MID(TRIM(MID(SUBSTITUTE(G198,";",REPT(" ",99)),397,99)),FIND(":",TRIM(MID(SUBSTITUTE(G198,";",REPT(" ",99)),397,99)))+1,99))))</f>
        <v/>
      </c>
    </row>
    <row r="199">
      <c r="C199" s="11">
        <f>IFERROR(VLOOKUP(B199,ItemData_Equipment!$A:$B,2,FALSE),"")</f>
        <v/>
      </c>
      <c r="H199" s="11">
        <f>IF(G199="","",TEXTJOIN("; ",TRUE,IF(TRIM(MID(SUBSTITUTE(G199,";",REPT(" ",99)),1,99))="","",IFERROR(VLOOKUP(--LEFT(TRIM(MID(SUBSTITUTE(G199,";",REPT(" ",99)),1,99)),FIND(":",TRIM(MID(SUBSTITUTE(G199,";",REPT(" ",99)),1,99)))-1),_Lookup!$A:$B,2,FALSE),"?")&amp;"×"&amp;MID(TRIM(MID(SUBSTITUTE(G199,";",REPT(" ",99)),1,99)),FIND(":",TRIM(MID(SUBSTITUTE(G199,";",REPT(" ",99)),1,99)))+1,99)),IF(TRIM(MID(SUBSTITUTE(G199,";",REPT(" ",99)),100,99))="","",IFERROR(VLOOKUP(--LEFT(TRIM(MID(SUBSTITUTE(G199,";",REPT(" ",99)),100,99)),FIND(":",TRIM(MID(SUBSTITUTE(G199,";",REPT(" ",99)),100,99)))-1),_Lookup!$A:$B,2,FALSE),"?")&amp;"×"&amp;MID(TRIM(MID(SUBSTITUTE(G199,";",REPT(" ",99)),100,99)),FIND(":",TRIM(MID(SUBSTITUTE(G199,";",REPT(" ",99)),100,99)))+1,99)),IF(TRIM(MID(SUBSTITUTE(G199,";",REPT(" ",99)),199,99))="","",IFERROR(VLOOKUP(--LEFT(TRIM(MID(SUBSTITUTE(G199,";",REPT(" ",99)),199,99)),FIND(":",TRIM(MID(SUBSTITUTE(G199,";",REPT(" ",99)),199,99)))-1),_Lookup!$A:$B,2,FALSE),"?")&amp;"×"&amp;MID(TRIM(MID(SUBSTITUTE(G199,";",REPT(" ",99)),199,99)),FIND(":",TRIM(MID(SUBSTITUTE(G199,";",REPT(" ",99)),199,99)))+1,99)),IF(TRIM(MID(SUBSTITUTE(G199,";",REPT(" ",99)),298,99))="","",IFERROR(VLOOKUP(--LEFT(TRIM(MID(SUBSTITUTE(G199,";",REPT(" ",99)),298,99)),FIND(":",TRIM(MID(SUBSTITUTE(G199,";",REPT(" ",99)),298,99)))-1),_Lookup!$A:$B,2,FALSE),"?")&amp;"×"&amp;MID(TRIM(MID(SUBSTITUTE(G199,";",REPT(" ",99)),298,99)),FIND(":",TRIM(MID(SUBSTITUTE(G199,";",REPT(" ",99)),298,99)))+1,99)),IF(TRIM(MID(SUBSTITUTE(G199,";",REPT(" ",99)),397,99))="","",IFERROR(VLOOKUP(--LEFT(TRIM(MID(SUBSTITUTE(G199,";",REPT(" ",99)),397,99)),FIND(":",TRIM(MID(SUBSTITUTE(G199,";",REPT(" ",99)),397,99)))-1),_Lookup!$A:$B,2,FALSE),"?")&amp;"×"&amp;MID(TRIM(MID(SUBSTITUTE(G199,";",REPT(" ",99)),397,99)),FIND(":",TRIM(MID(SUBSTITUTE(G199,";",REPT(" ",99)),397,99)))+1,99))))</f>
        <v/>
      </c>
    </row>
    <row r="200">
      <c r="C200" s="11">
        <f>IFERROR(VLOOKUP(B200,ItemData_Equipment!$A:$B,2,FALSE),"")</f>
        <v/>
      </c>
      <c r="H200" s="11">
        <f>IF(G200="","",TEXTJOIN("; ",TRUE,IF(TRIM(MID(SUBSTITUTE(G200,";",REPT(" ",99)),1,99))="","",IFERROR(VLOOKUP(--LEFT(TRIM(MID(SUBSTITUTE(G200,";",REPT(" ",99)),1,99)),FIND(":",TRIM(MID(SUBSTITUTE(G200,";",REPT(" ",99)),1,99)))-1),_Lookup!$A:$B,2,FALSE),"?")&amp;"×"&amp;MID(TRIM(MID(SUBSTITUTE(G200,";",REPT(" ",99)),1,99)),FIND(":",TRIM(MID(SUBSTITUTE(G200,";",REPT(" ",99)),1,99)))+1,99)),IF(TRIM(MID(SUBSTITUTE(G200,";",REPT(" ",99)),100,99))="","",IFERROR(VLOOKUP(--LEFT(TRIM(MID(SUBSTITUTE(G200,";",REPT(" ",99)),100,99)),FIND(":",TRIM(MID(SUBSTITUTE(G200,";",REPT(" ",99)),100,99)))-1),_Lookup!$A:$B,2,FALSE),"?")&amp;"×"&amp;MID(TRIM(MID(SUBSTITUTE(G200,";",REPT(" ",99)),100,99)),FIND(":",TRIM(MID(SUBSTITUTE(G200,";",REPT(" ",99)),100,99)))+1,99)),IF(TRIM(MID(SUBSTITUTE(G200,";",REPT(" ",99)),199,99))="","",IFERROR(VLOOKUP(--LEFT(TRIM(MID(SUBSTITUTE(G200,";",REPT(" ",99)),199,99)),FIND(":",TRIM(MID(SUBSTITUTE(G200,";",REPT(" ",99)),199,99)))-1),_Lookup!$A:$B,2,FALSE),"?")&amp;"×"&amp;MID(TRIM(MID(SUBSTITUTE(G200,";",REPT(" ",99)),199,99)),FIND(":",TRIM(MID(SUBSTITUTE(G200,";",REPT(" ",99)),199,99)))+1,99)),IF(TRIM(MID(SUBSTITUTE(G200,";",REPT(" ",99)),298,99))="","",IFERROR(VLOOKUP(--LEFT(TRIM(MID(SUBSTITUTE(G200,";",REPT(" ",99)),298,99)),FIND(":",TRIM(MID(SUBSTITUTE(G200,";",REPT(" ",99)),298,99)))-1),_Lookup!$A:$B,2,FALSE),"?")&amp;"×"&amp;MID(TRIM(MID(SUBSTITUTE(G200,";",REPT(" ",99)),298,99)),FIND(":",TRIM(MID(SUBSTITUTE(G200,";",REPT(" ",99)),298,99)))+1,99)),IF(TRIM(MID(SUBSTITUTE(G200,";",REPT(" ",99)),397,99))="","",IFERROR(VLOOKUP(--LEFT(TRIM(MID(SUBSTITUTE(G200,";",REPT(" ",99)),397,99)),FIND(":",TRIM(MID(SUBSTITUTE(G200,";",REPT(" ",99)),397,99)))-1),_Lookup!$A:$B,2,FALSE),"?")&amp;"×"&amp;MID(TRIM(MID(SUBSTITUTE(G200,";",REPT(" ",99)),397,99)),FIND(":",TRIM(MID(SUBSTITUTE(G200,";",REPT(" ",99)),397,99)))+1,99))))</f>
        <v/>
      </c>
    </row>
    <row r="201">
      <c r="C201" s="11">
        <f>IFERROR(VLOOKUP(B201,ItemData_Equipment!$A:$B,2,FALSE),"")</f>
        <v/>
      </c>
      <c r="H201" s="11">
        <f>IF(G201="","",TEXTJOIN("; ",TRUE,IF(TRIM(MID(SUBSTITUTE(G201,";",REPT(" ",99)),1,99))="","",IFERROR(VLOOKUP(--LEFT(TRIM(MID(SUBSTITUTE(G201,";",REPT(" ",99)),1,99)),FIND(":",TRIM(MID(SUBSTITUTE(G201,";",REPT(" ",99)),1,99)))-1),_Lookup!$A:$B,2,FALSE),"?")&amp;"×"&amp;MID(TRIM(MID(SUBSTITUTE(G201,";",REPT(" ",99)),1,99)),FIND(":",TRIM(MID(SUBSTITUTE(G201,";",REPT(" ",99)),1,99)))+1,99)),IF(TRIM(MID(SUBSTITUTE(G201,";",REPT(" ",99)),100,99))="","",IFERROR(VLOOKUP(--LEFT(TRIM(MID(SUBSTITUTE(G201,";",REPT(" ",99)),100,99)),FIND(":",TRIM(MID(SUBSTITUTE(G201,";",REPT(" ",99)),100,99)))-1),_Lookup!$A:$B,2,FALSE),"?")&amp;"×"&amp;MID(TRIM(MID(SUBSTITUTE(G201,";",REPT(" ",99)),100,99)),FIND(":",TRIM(MID(SUBSTITUTE(G201,";",REPT(" ",99)),100,99)))+1,99)),IF(TRIM(MID(SUBSTITUTE(G201,";",REPT(" ",99)),199,99))="","",IFERROR(VLOOKUP(--LEFT(TRIM(MID(SUBSTITUTE(G201,";",REPT(" ",99)),199,99)),FIND(":",TRIM(MID(SUBSTITUTE(G201,";",REPT(" ",99)),199,99)))-1),_Lookup!$A:$B,2,FALSE),"?")&amp;"×"&amp;MID(TRIM(MID(SUBSTITUTE(G201,";",REPT(" ",99)),199,99)),FIND(":",TRIM(MID(SUBSTITUTE(G201,";",REPT(" ",99)),199,99)))+1,99)),IF(TRIM(MID(SUBSTITUTE(G201,";",REPT(" ",99)),298,99))="","",IFERROR(VLOOKUP(--LEFT(TRIM(MID(SUBSTITUTE(G201,";",REPT(" ",99)),298,99)),FIND(":",TRIM(MID(SUBSTITUTE(G201,";",REPT(" ",99)),298,99)))-1),_Lookup!$A:$B,2,FALSE),"?")&amp;"×"&amp;MID(TRIM(MID(SUBSTITUTE(G201,";",REPT(" ",99)),298,99)),FIND(":",TRIM(MID(SUBSTITUTE(G201,";",REPT(" ",99)),298,99)))+1,99)),IF(TRIM(MID(SUBSTITUTE(G201,";",REPT(" ",99)),397,99))="","",IFERROR(VLOOKUP(--LEFT(TRIM(MID(SUBSTITUTE(G201,";",REPT(" ",99)),397,99)),FIND(":",TRIM(MID(SUBSTITUTE(G201,";",REPT(" ",99)),397,99)))-1),_Lookup!$A:$B,2,FALSE),"?")&amp;"×"&amp;MID(TRIM(MID(SUBSTITUTE(G201,";",REPT(" ",99)),397,99)),FIND(":",TRIM(MID(SUBSTITUTE(G201,";",REPT(" ",99)),397,99)))+1,99))))</f>
        <v/>
      </c>
    </row>
    <row r="202">
      <c r="C202" s="11">
        <f>IFERROR(VLOOKUP(B202,ItemData_Equipment!$A:$B,2,FALSE),"")</f>
        <v/>
      </c>
      <c r="H202" s="11">
        <f>IF(G202="","",TEXTJOIN("; ",TRUE,IF(TRIM(MID(SUBSTITUTE(G202,";",REPT(" ",99)),1,99))="","",IFERROR(VLOOKUP(--LEFT(TRIM(MID(SUBSTITUTE(G202,";",REPT(" ",99)),1,99)),FIND(":",TRIM(MID(SUBSTITUTE(G202,";",REPT(" ",99)),1,99)))-1),_Lookup!$A:$B,2,FALSE),"?")&amp;"×"&amp;MID(TRIM(MID(SUBSTITUTE(G202,";",REPT(" ",99)),1,99)),FIND(":",TRIM(MID(SUBSTITUTE(G202,";",REPT(" ",99)),1,99)))+1,99)),IF(TRIM(MID(SUBSTITUTE(G202,";",REPT(" ",99)),100,99))="","",IFERROR(VLOOKUP(--LEFT(TRIM(MID(SUBSTITUTE(G202,";",REPT(" ",99)),100,99)),FIND(":",TRIM(MID(SUBSTITUTE(G202,";",REPT(" ",99)),100,99)))-1),_Lookup!$A:$B,2,FALSE),"?")&amp;"×"&amp;MID(TRIM(MID(SUBSTITUTE(G202,";",REPT(" ",99)),100,99)),FIND(":",TRIM(MID(SUBSTITUTE(G202,";",REPT(" ",99)),100,99)))+1,99)),IF(TRIM(MID(SUBSTITUTE(G202,";",REPT(" ",99)),199,99))="","",IFERROR(VLOOKUP(--LEFT(TRIM(MID(SUBSTITUTE(G202,";",REPT(" ",99)),199,99)),FIND(":",TRIM(MID(SUBSTITUTE(G202,";",REPT(" ",99)),199,99)))-1),_Lookup!$A:$B,2,FALSE),"?")&amp;"×"&amp;MID(TRIM(MID(SUBSTITUTE(G202,";",REPT(" ",99)),199,99)),FIND(":",TRIM(MID(SUBSTITUTE(G202,";",REPT(" ",99)),199,99)))+1,99)),IF(TRIM(MID(SUBSTITUTE(G202,";",REPT(" ",99)),298,99))="","",IFERROR(VLOOKUP(--LEFT(TRIM(MID(SUBSTITUTE(G202,";",REPT(" ",99)),298,99)),FIND(":",TRIM(MID(SUBSTITUTE(G202,";",REPT(" ",99)),298,99)))-1),_Lookup!$A:$B,2,FALSE),"?")&amp;"×"&amp;MID(TRIM(MID(SUBSTITUTE(G202,";",REPT(" ",99)),298,99)),FIND(":",TRIM(MID(SUBSTITUTE(G202,";",REPT(" ",99)),298,99)))+1,99)),IF(TRIM(MID(SUBSTITUTE(G202,";",REPT(" ",99)),397,99))="","",IFERROR(VLOOKUP(--LEFT(TRIM(MID(SUBSTITUTE(G202,";",REPT(" ",99)),397,99)),FIND(":",TRIM(MID(SUBSTITUTE(G202,";",REPT(" ",99)),397,99)))-1),_Lookup!$A:$B,2,FALSE),"?")&amp;"×"&amp;MID(TRIM(MID(SUBSTITUTE(G202,";",REPT(" ",99)),397,99)),FIND(":",TRIM(MID(SUBSTITUTE(G202,";",REPT(" ",99)),397,99)))+1,99))))</f>
        <v/>
      </c>
    </row>
    <row r="203">
      <c r="C203" s="11">
        <f>IFERROR(VLOOKUP(B203,ItemData_Equipment!$A:$B,2,FALSE),"")</f>
        <v/>
      </c>
      <c r="H203" s="11">
        <f>IF(G203="","",TEXTJOIN("; ",TRUE,IF(TRIM(MID(SUBSTITUTE(G203,";",REPT(" ",99)),1,99))="","",IFERROR(VLOOKUP(--LEFT(TRIM(MID(SUBSTITUTE(G203,";",REPT(" ",99)),1,99)),FIND(":",TRIM(MID(SUBSTITUTE(G203,";",REPT(" ",99)),1,99)))-1),_Lookup!$A:$B,2,FALSE),"?")&amp;"×"&amp;MID(TRIM(MID(SUBSTITUTE(G203,";",REPT(" ",99)),1,99)),FIND(":",TRIM(MID(SUBSTITUTE(G203,";",REPT(" ",99)),1,99)))+1,99)),IF(TRIM(MID(SUBSTITUTE(G203,";",REPT(" ",99)),100,99))="","",IFERROR(VLOOKUP(--LEFT(TRIM(MID(SUBSTITUTE(G203,";",REPT(" ",99)),100,99)),FIND(":",TRIM(MID(SUBSTITUTE(G203,";",REPT(" ",99)),100,99)))-1),_Lookup!$A:$B,2,FALSE),"?")&amp;"×"&amp;MID(TRIM(MID(SUBSTITUTE(G203,";",REPT(" ",99)),100,99)),FIND(":",TRIM(MID(SUBSTITUTE(G203,";",REPT(" ",99)),100,99)))+1,99)),IF(TRIM(MID(SUBSTITUTE(G203,";",REPT(" ",99)),199,99))="","",IFERROR(VLOOKUP(--LEFT(TRIM(MID(SUBSTITUTE(G203,";",REPT(" ",99)),199,99)),FIND(":",TRIM(MID(SUBSTITUTE(G203,";",REPT(" ",99)),199,99)))-1),_Lookup!$A:$B,2,FALSE),"?")&amp;"×"&amp;MID(TRIM(MID(SUBSTITUTE(G203,";",REPT(" ",99)),199,99)),FIND(":",TRIM(MID(SUBSTITUTE(G203,";",REPT(" ",99)),199,99)))+1,99)),IF(TRIM(MID(SUBSTITUTE(G203,";",REPT(" ",99)),298,99))="","",IFERROR(VLOOKUP(--LEFT(TRIM(MID(SUBSTITUTE(G203,";",REPT(" ",99)),298,99)),FIND(":",TRIM(MID(SUBSTITUTE(G203,";",REPT(" ",99)),298,99)))-1),_Lookup!$A:$B,2,FALSE),"?")&amp;"×"&amp;MID(TRIM(MID(SUBSTITUTE(G203,";",REPT(" ",99)),298,99)),FIND(":",TRIM(MID(SUBSTITUTE(G203,";",REPT(" ",99)),298,99)))+1,99)),IF(TRIM(MID(SUBSTITUTE(G203,";",REPT(" ",99)),397,99))="","",IFERROR(VLOOKUP(--LEFT(TRIM(MID(SUBSTITUTE(G203,";",REPT(" ",99)),397,99)),FIND(":",TRIM(MID(SUBSTITUTE(G203,";",REPT(" ",99)),397,99)))-1),_Lookup!$A:$B,2,FALSE),"?")&amp;"×"&amp;MID(TRIM(MID(SUBSTITUTE(G203,";",REPT(" ",99)),397,99)),FIND(":",TRIM(MID(SUBSTITUTE(G203,";",REPT(" ",99)),397,99)))+1,99))))</f>
        <v/>
      </c>
    </row>
    <row r="204">
      <c r="C204" s="11">
        <f>IFERROR(VLOOKUP(B204,ItemData_Equipment!$A:$B,2,FALSE),"")</f>
        <v/>
      </c>
      <c r="H204" s="11">
        <f>IF(G204="","",TEXTJOIN("; ",TRUE,IF(TRIM(MID(SUBSTITUTE(G204,";",REPT(" ",99)),1,99))="","",IFERROR(VLOOKUP(--LEFT(TRIM(MID(SUBSTITUTE(G204,";",REPT(" ",99)),1,99)),FIND(":",TRIM(MID(SUBSTITUTE(G204,";",REPT(" ",99)),1,99)))-1),_Lookup!$A:$B,2,FALSE),"?")&amp;"×"&amp;MID(TRIM(MID(SUBSTITUTE(G204,";",REPT(" ",99)),1,99)),FIND(":",TRIM(MID(SUBSTITUTE(G204,";",REPT(" ",99)),1,99)))+1,99)),IF(TRIM(MID(SUBSTITUTE(G204,";",REPT(" ",99)),100,99))="","",IFERROR(VLOOKUP(--LEFT(TRIM(MID(SUBSTITUTE(G204,";",REPT(" ",99)),100,99)),FIND(":",TRIM(MID(SUBSTITUTE(G204,";",REPT(" ",99)),100,99)))-1),_Lookup!$A:$B,2,FALSE),"?")&amp;"×"&amp;MID(TRIM(MID(SUBSTITUTE(G204,";",REPT(" ",99)),100,99)),FIND(":",TRIM(MID(SUBSTITUTE(G204,";",REPT(" ",99)),100,99)))+1,99)),IF(TRIM(MID(SUBSTITUTE(G204,";",REPT(" ",99)),199,99))="","",IFERROR(VLOOKUP(--LEFT(TRIM(MID(SUBSTITUTE(G204,";",REPT(" ",99)),199,99)),FIND(":",TRIM(MID(SUBSTITUTE(G204,";",REPT(" ",99)),199,99)))-1),_Lookup!$A:$B,2,FALSE),"?")&amp;"×"&amp;MID(TRIM(MID(SUBSTITUTE(G204,";",REPT(" ",99)),199,99)),FIND(":",TRIM(MID(SUBSTITUTE(G204,";",REPT(" ",99)),199,99)))+1,99)),IF(TRIM(MID(SUBSTITUTE(G204,";",REPT(" ",99)),298,99))="","",IFERROR(VLOOKUP(--LEFT(TRIM(MID(SUBSTITUTE(G204,";",REPT(" ",99)),298,99)),FIND(":",TRIM(MID(SUBSTITUTE(G204,";",REPT(" ",99)),298,99)))-1),_Lookup!$A:$B,2,FALSE),"?")&amp;"×"&amp;MID(TRIM(MID(SUBSTITUTE(G204,";",REPT(" ",99)),298,99)),FIND(":",TRIM(MID(SUBSTITUTE(G204,";",REPT(" ",99)),298,99)))+1,99)),IF(TRIM(MID(SUBSTITUTE(G204,";",REPT(" ",99)),397,99))="","",IFERROR(VLOOKUP(--LEFT(TRIM(MID(SUBSTITUTE(G204,";",REPT(" ",99)),397,99)),FIND(":",TRIM(MID(SUBSTITUTE(G204,";",REPT(" ",99)),397,99)))-1),_Lookup!$A:$B,2,FALSE),"?")&amp;"×"&amp;MID(TRIM(MID(SUBSTITUTE(G204,";",REPT(" ",99)),397,99)),FIND(":",TRIM(MID(SUBSTITUTE(G204,";",REPT(" ",99)),397,99)))+1,99))))</f>
        <v/>
      </c>
    </row>
    <row r="205">
      <c r="C205" s="11">
        <f>IFERROR(VLOOKUP(B205,ItemData_Equipment!$A:$B,2,FALSE),"")</f>
        <v/>
      </c>
      <c r="H205" s="11">
        <f>IF(G205="","",TEXTJOIN("; ",TRUE,IF(TRIM(MID(SUBSTITUTE(G205,";",REPT(" ",99)),1,99))="","",IFERROR(VLOOKUP(--LEFT(TRIM(MID(SUBSTITUTE(G205,";",REPT(" ",99)),1,99)),FIND(":",TRIM(MID(SUBSTITUTE(G205,";",REPT(" ",99)),1,99)))-1),_Lookup!$A:$B,2,FALSE),"?")&amp;"×"&amp;MID(TRIM(MID(SUBSTITUTE(G205,";",REPT(" ",99)),1,99)),FIND(":",TRIM(MID(SUBSTITUTE(G205,";",REPT(" ",99)),1,99)))+1,99)),IF(TRIM(MID(SUBSTITUTE(G205,";",REPT(" ",99)),100,99))="","",IFERROR(VLOOKUP(--LEFT(TRIM(MID(SUBSTITUTE(G205,";",REPT(" ",99)),100,99)),FIND(":",TRIM(MID(SUBSTITUTE(G205,";",REPT(" ",99)),100,99)))-1),_Lookup!$A:$B,2,FALSE),"?")&amp;"×"&amp;MID(TRIM(MID(SUBSTITUTE(G205,";",REPT(" ",99)),100,99)),FIND(":",TRIM(MID(SUBSTITUTE(G205,";",REPT(" ",99)),100,99)))+1,99)),IF(TRIM(MID(SUBSTITUTE(G205,";",REPT(" ",99)),199,99))="","",IFERROR(VLOOKUP(--LEFT(TRIM(MID(SUBSTITUTE(G205,";",REPT(" ",99)),199,99)),FIND(":",TRIM(MID(SUBSTITUTE(G205,";",REPT(" ",99)),199,99)))-1),_Lookup!$A:$B,2,FALSE),"?")&amp;"×"&amp;MID(TRIM(MID(SUBSTITUTE(G205,";",REPT(" ",99)),199,99)),FIND(":",TRIM(MID(SUBSTITUTE(G205,";",REPT(" ",99)),199,99)))+1,99)),IF(TRIM(MID(SUBSTITUTE(G205,";",REPT(" ",99)),298,99))="","",IFERROR(VLOOKUP(--LEFT(TRIM(MID(SUBSTITUTE(G205,";",REPT(" ",99)),298,99)),FIND(":",TRIM(MID(SUBSTITUTE(G205,";",REPT(" ",99)),298,99)))-1),_Lookup!$A:$B,2,FALSE),"?")&amp;"×"&amp;MID(TRIM(MID(SUBSTITUTE(G205,";",REPT(" ",99)),298,99)),FIND(":",TRIM(MID(SUBSTITUTE(G205,";",REPT(" ",99)),298,99)))+1,99)),IF(TRIM(MID(SUBSTITUTE(G205,";",REPT(" ",99)),397,99))="","",IFERROR(VLOOKUP(--LEFT(TRIM(MID(SUBSTITUTE(G205,";",REPT(" ",99)),397,99)),FIND(":",TRIM(MID(SUBSTITUTE(G205,";",REPT(" ",99)),397,99)))-1),_Lookup!$A:$B,2,FALSE),"?")&amp;"×"&amp;MID(TRIM(MID(SUBSTITUTE(G205,";",REPT(" ",99)),397,99)),FIND(":",TRIM(MID(SUBSTITUTE(G205,";",REPT(" ",99)),397,99)))+1,99))))</f>
        <v/>
      </c>
    </row>
    <row r="206">
      <c r="C206" s="11">
        <f>IFERROR(VLOOKUP(B206,ItemData_Equipment!$A:$B,2,FALSE),"")</f>
        <v/>
      </c>
      <c r="H206" s="11">
        <f>IF(G206="","",TEXTJOIN("; ",TRUE,IF(TRIM(MID(SUBSTITUTE(G206,";",REPT(" ",99)),1,99))="","",IFERROR(VLOOKUP(--LEFT(TRIM(MID(SUBSTITUTE(G206,";",REPT(" ",99)),1,99)),FIND(":",TRIM(MID(SUBSTITUTE(G206,";",REPT(" ",99)),1,99)))-1),_Lookup!$A:$B,2,FALSE),"?")&amp;"×"&amp;MID(TRIM(MID(SUBSTITUTE(G206,";",REPT(" ",99)),1,99)),FIND(":",TRIM(MID(SUBSTITUTE(G206,";",REPT(" ",99)),1,99)))+1,99)),IF(TRIM(MID(SUBSTITUTE(G206,";",REPT(" ",99)),100,99))="","",IFERROR(VLOOKUP(--LEFT(TRIM(MID(SUBSTITUTE(G206,";",REPT(" ",99)),100,99)),FIND(":",TRIM(MID(SUBSTITUTE(G206,";",REPT(" ",99)),100,99)))-1),_Lookup!$A:$B,2,FALSE),"?")&amp;"×"&amp;MID(TRIM(MID(SUBSTITUTE(G206,";",REPT(" ",99)),100,99)),FIND(":",TRIM(MID(SUBSTITUTE(G206,";",REPT(" ",99)),100,99)))+1,99)),IF(TRIM(MID(SUBSTITUTE(G206,";",REPT(" ",99)),199,99))="","",IFERROR(VLOOKUP(--LEFT(TRIM(MID(SUBSTITUTE(G206,";",REPT(" ",99)),199,99)),FIND(":",TRIM(MID(SUBSTITUTE(G206,";",REPT(" ",99)),199,99)))-1),_Lookup!$A:$B,2,FALSE),"?")&amp;"×"&amp;MID(TRIM(MID(SUBSTITUTE(G206,";",REPT(" ",99)),199,99)),FIND(":",TRIM(MID(SUBSTITUTE(G206,";",REPT(" ",99)),199,99)))+1,99)),IF(TRIM(MID(SUBSTITUTE(G206,";",REPT(" ",99)),298,99))="","",IFERROR(VLOOKUP(--LEFT(TRIM(MID(SUBSTITUTE(G206,";",REPT(" ",99)),298,99)),FIND(":",TRIM(MID(SUBSTITUTE(G206,";",REPT(" ",99)),298,99)))-1),_Lookup!$A:$B,2,FALSE),"?")&amp;"×"&amp;MID(TRIM(MID(SUBSTITUTE(G206,";",REPT(" ",99)),298,99)),FIND(":",TRIM(MID(SUBSTITUTE(G206,";",REPT(" ",99)),298,99)))+1,99)),IF(TRIM(MID(SUBSTITUTE(G206,";",REPT(" ",99)),397,99))="","",IFERROR(VLOOKUP(--LEFT(TRIM(MID(SUBSTITUTE(G206,";",REPT(" ",99)),397,99)),FIND(":",TRIM(MID(SUBSTITUTE(G206,";",REPT(" ",99)),397,99)))-1),_Lookup!$A:$B,2,FALSE),"?")&amp;"×"&amp;MID(TRIM(MID(SUBSTITUTE(G206,";",REPT(" ",99)),397,99)),FIND(":",TRIM(MID(SUBSTITUTE(G206,";",REPT(" ",99)),397,99)))+1,99))))</f>
        <v/>
      </c>
    </row>
    <row r="207">
      <c r="C207" s="11">
        <f>IFERROR(VLOOKUP(B207,ItemData_Equipment!$A:$B,2,FALSE),"")</f>
        <v/>
      </c>
      <c r="H207" s="11">
        <f>IF(G207="","",TEXTJOIN("; ",TRUE,IF(TRIM(MID(SUBSTITUTE(G207,";",REPT(" ",99)),1,99))="","",IFERROR(VLOOKUP(--LEFT(TRIM(MID(SUBSTITUTE(G207,";",REPT(" ",99)),1,99)),FIND(":",TRIM(MID(SUBSTITUTE(G207,";",REPT(" ",99)),1,99)))-1),_Lookup!$A:$B,2,FALSE),"?")&amp;"×"&amp;MID(TRIM(MID(SUBSTITUTE(G207,";",REPT(" ",99)),1,99)),FIND(":",TRIM(MID(SUBSTITUTE(G207,";",REPT(" ",99)),1,99)))+1,99)),IF(TRIM(MID(SUBSTITUTE(G207,";",REPT(" ",99)),100,99))="","",IFERROR(VLOOKUP(--LEFT(TRIM(MID(SUBSTITUTE(G207,";",REPT(" ",99)),100,99)),FIND(":",TRIM(MID(SUBSTITUTE(G207,";",REPT(" ",99)),100,99)))-1),_Lookup!$A:$B,2,FALSE),"?")&amp;"×"&amp;MID(TRIM(MID(SUBSTITUTE(G207,";",REPT(" ",99)),100,99)),FIND(":",TRIM(MID(SUBSTITUTE(G207,";",REPT(" ",99)),100,99)))+1,99)),IF(TRIM(MID(SUBSTITUTE(G207,";",REPT(" ",99)),199,99))="","",IFERROR(VLOOKUP(--LEFT(TRIM(MID(SUBSTITUTE(G207,";",REPT(" ",99)),199,99)),FIND(":",TRIM(MID(SUBSTITUTE(G207,";",REPT(" ",99)),199,99)))-1),_Lookup!$A:$B,2,FALSE),"?")&amp;"×"&amp;MID(TRIM(MID(SUBSTITUTE(G207,";",REPT(" ",99)),199,99)),FIND(":",TRIM(MID(SUBSTITUTE(G207,";",REPT(" ",99)),199,99)))+1,99)),IF(TRIM(MID(SUBSTITUTE(G207,";",REPT(" ",99)),298,99))="","",IFERROR(VLOOKUP(--LEFT(TRIM(MID(SUBSTITUTE(G207,";",REPT(" ",99)),298,99)),FIND(":",TRIM(MID(SUBSTITUTE(G207,";",REPT(" ",99)),298,99)))-1),_Lookup!$A:$B,2,FALSE),"?")&amp;"×"&amp;MID(TRIM(MID(SUBSTITUTE(G207,";",REPT(" ",99)),298,99)),FIND(":",TRIM(MID(SUBSTITUTE(G207,";",REPT(" ",99)),298,99)))+1,99)),IF(TRIM(MID(SUBSTITUTE(G207,";",REPT(" ",99)),397,99))="","",IFERROR(VLOOKUP(--LEFT(TRIM(MID(SUBSTITUTE(G207,";",REPT(" ",99)),397,99)),FIND(":",TRIM(MID(SUBSTITUTE(G207,";",REPT(" ",99)),397,99)))-1),_Lookup!$A:$B,2,FALSE),"?")&amp;"×"&amp;MID(TRIM(MID(SUBSTITUTE(G207,";",REPT(" ",99)),397,99)),FIND(":",TRIM(MID(SUBSTITUTE(G207,";",REPT(" ",99)),397,99)))+1,99))))</f>
        <v/>
      </c>
    </row>
    <row r="208">
      <c r="C208" s="11">
        <f>IFERROR(VLOOKUP(B208,ItemData_Equipment!$A:$B,2,FALSE),"")</f>
        <v/>
      </c>
      <c r="H208" s="11">
        <f>IF(G208="","",TEXTJOIN("; ",TRUE,IF(TRIM(MID(SUBSTITUTE(G208,";",REPT(" ",99)),1,99))="","",IFERROR(VLOOKUP(--LEFT(TRIM(MID(SUBSTITUTE(G208,";",REPT(" ",99)),1,99)),FIND(":",TRIM(MID(SUBSTITUTE(G208,";",REPT(" ",99)),1,99)))-1),_Lookup!$A:$B,2,FALSE),"?")&amp;"×"&amp;MID(TRIM(MID(SUBSTITUTE(G208,";",REPT(" ",99)),1,99)),FIND(":",TRIM(MID(SUBSTITUTE(G208,";",REPT(" ",99)),1,99)))+1,99)),IF(TRIM(MID(SUBSTITUTE(G208,";",REPT(" ",99)),100,99))="","",IFERROR(VLOOKUP(--LEFT(TRIM(MID(SUBSTITUTE(G208,";",REPT(" ",99)),100,99)),FIND(":",TRIM(MID(SUBSTITUTE(G208,";",REPT(" ",99)),100,99)))-1),_Lookup!$A:$B,2,FALSE),"?")&amp;"×"&amp;MID(TRIM(MID(SUBSTITUTE(G208,";",REPT(" ",99)),100,99)),FIND(":",TRIM(MID(SUBSTITUTE(G208,";",REPT(" ",99)),100,99)))+1,99)),IF(TRIM(MID(SUBSTITUTE(G208,";",REPT(" ",99)),199,99))="","",IFERROR(VLOOKUP(--LEFT(TRIM(MID(SUBSTITUTE(G208,";",REPT(" ",99)),199,99)),FIND(":",TRIM(MID(SUBSTITUTE(G208,";",REPT(" ",99)),199,99)))-1),_Lookup!$A:$B,2,FALSE),"?")&amp;"×"&amp;MID(TRIM(MID(SUBSTITUTE(G208,";",REPT(" ",99)),199,99)),FIND(":",TRIM(MID(SUBSTITUTE(G208,";",REPT(" ",99)),199,99)))+1,99)),IF(TRIM(MID(SUBSTITUTE(G208,";",REPT(" ",99)),298,99))="","",IFERROR(VLOOKUP(--LEFT(TRIM(MID(SUBSTITUTE(G208,";",REPT(" ",99)),298,99)),FIND(":",TRIM(MID(SUBSTITUTE(G208,";",REPT(" ",99)),298,99)))-1),_Lookup!$A:$B,2,FALSE),"?")&amp;"×"&amp;MID(TRIM(MID(SUBSTITUTE(G208,";",REPT(" ",99)),298,99)),FIND(":",TRIM(MID(SUBSTITUTE(G208,";",REPT(" ",99)),298,99)))+1,99)),IF(TRIM(MID(SUBSTITUTE(G208,";",REPT(" ",99)),397,99))="","",IFERROR(VLOOKUP(--LEFT(TRIM(MID(SUBSTITUTE(G208,";",REPT(" ",99)),397,99)),FIND(":",TRIM(MID(SUBSTITUTE(G208,";",REPT(" ",99)),397,99)))-1),_Lookup!$A:$B,2,FALSE),"?")&amp;"×"&amp;MID(TRIM(MID(SUBSTITUTE(G208,";",REPT(" ",99)),397,99)),FIND(":",TRIM(MID(SUBSTITUTE(G208,";",REPT(" ",99)),397,99)))+1,99))))</f>
        <v/>
      </c>
    </row>
    <row r="209">
      <c r="C209" s="11">
        <f>IFERROR(VLOOKUP(B209,ItemData_Equipment!$A:$B,2,FALSE),"")</f>
        <v/>
      </c>
      <c r="H209" s="11">
        <f>IF(G209="","",TEXTJOIN("; ",TRUE,IF(TRIM(MID(SUBSTITUTE(G209,";",REPT(" ",99)),1,99))="","",IFERROR(VLOOKUP(--LEFT(TRIM(MID(SUBSTITUTE(G209,";",REPT(" ",99)),1,99)),FIND(":",TRIM(MID(SUBSTITUTE(G209,";",REPT(" ",99)),1,99)))-1),_Lookup!$A:$B,2,FALSE),"?")&amp;"×"&amp;MID(TRIM(MID(SUBSTITUTE(G209,";",REPT(" ",99)),1,99)),FIND(":",TRIM(MID(SUBSTITUTE(G209,";",REPT(" ",99)),1,99)))+1,99)),IF(TRIM(MID(SUBSTITUTE(G209,";",REPT(" ",99)),100,99))="","",IFERROR(VLOOKUP(--LEFT(TRIM(MID(SUBSTITUTE(G209,";",REPT(" ",99)),100,99)),FIND(":",TRIM(MID(SUBSTITUTE(G209,";",REPT(" ",99)),100,99)))-1),_Lookup!$A:$B,2,FALSE),"?")&amp;"×"&amp;MID(TRIM(MID(SUBSTITUTE(G209,";",REPT(" ",99)),100,99)),FIND(":",TRIM(MID(SUBSTITUTE(G209,";",REPT(" ",99)),100,99)))+1,99)),IF(TRIM(MID(SUBSTITUTE(G209,";",REPT(" ",99)),199,99))="","",IFERROR(VLOOKUP(--LEFT(TRIM(MID(SUBSTITUTE(G209,";",REPT(" ",99)),199,99)),FIND(":",TRIM(MID(SUBSTITUTE(G209,";",REPT(" ",99)),199,99)))-1),_Lookup!$A:$B,2,FALSE),"?")&amp;"×"&amp;MID(TRIM(MID(SUBSTITUTE(G209,";",REPT(" ",99)),199,99)),FIND(":",TRIM(MID(SUBSTITUTE(G209,";",REPT(" ",99)),199,99)))+1,99)),IF(TRIM(MID(SUBSTITUTE(G209,";",REPT(" ",99)),298,99))="","",IFERROR(VLOOKUP(--LEFT(TRIM(MID(SUBSTITUTE(G209,";",REPT(" ",99)),298,99)),FIND(":",TRIM(MID(SUBSTITUTE(G209,";",REPT(" ",99)),298,99)))-1),_Lookup!$A:$B,2,FALSE),"?")&amp;"×"&amp;MID(TRIM(MID(SUBSTITUTE(G209,";",REPT(" ",99)),298,99)),FIND(":",TRIM(MID(SUBSTITUTE(G209,";",REPT(" ",99)),298,99)))+1,99)),IF(TRIM(MID(SUBSTITUTE(G209,";",REPT(" ",99)),397,99))="","",IFERROR(VLOOKUP(--LEFT(TRIM(MID(SUBSTITUTE(G209,";",REPT(" ",99)),397,99)),FIND(":",TRIM(MID(SUBSTITUTE(G209,";",REPT(" ",99)),397,99)))-1),_Lookup!$A:$B,2,FALSE),"?")&amp;"×"&amp;MID(TRIM(MID(SUBSTITUTE(G209,";",REPT(" ",99)),397,99)),FIND(":",TRIM(MID(SUBSTITUTE(G209,";",REPT(" ",99)),397,99)))+1,99))))</f>
        <v/>
      </c>
    </row>
    <row r="210">
      <c r="C210" s="11">
        <f>IFERROR(VLOOKUP(B210,ItemData_Equipment!$A:$B,2,FALSE),"")</f>
        <v/>
      </c>
      <c r="H210" s="11">
        <f>IF(G210="","",TEXTJOIN("; ",TRUE,IF(TRIM(MID(SUBSTITUTE(G210,";",REPT(" ",99)),1,99))="","",IFERROR(VLOOKUP(--LEFT(TRIM(MID(SUBSTITUTE(G210,";",REPT(" ",99)),1,99)),FIND(":",TRIM(MID(SUBSTITUTE(G210,";",REPT(" ",99)),1,99)))-1),_Lookup!$A:$B,2,FALSE),"?")&amp;"×"&amp;MID(TRIM(MID(SUBSTITUTE(G210,";",REPT(" ",99)),1,99)),FIND(":",TRIM(MID(SUBSTITUTE(G210,";",REPT(" ",99)),1,99)))+1,99)),IF(TRIM(MID(SUBSTITUTE(G210,";",REPT(" ",99)),100,99))="","",IFERROR(VLOOKUP(--LEFT(TRIM(MID(SUBSTITUTE(G210,";",REPT(" ",99)),100,99)),FIND(":",TRIM(MID(SUBSTITUTE(G210,";",REPT(" ",99)),100,99)))-1),_Lookup!$A:$B,2,FALSE),"?")&amp;"×"&amp;MID(TRIM(MID(SUBSTITUTE(G210,";",REPT(" ",99)),100,99)),FIND(":",TRIM(MID(SUBSTITUTE(G210,";",REPT(" ",99)),100,99)))+1,99)),IF(TRIM(MID(SUBSTITUTE(G210,";",REPT(" ",99)),199,99))="","",IFERROR(VLOOKUP(--LEFT(TRIM(MID(SUBSTITUTE(G210,";",REPT(" ",99)),199,99)),FIND(":",TRIM(MID(SUBSTITUTE(G210,";",REPT(" ",99)),199,99)))-1),_Lookup!$A:$B,2,FALSE),"?")&amp;"×"&amp;MID(TRIM(MID(SUBSTITUTE(G210,";",REPT(" ",99)),199,99)),FIND(":",TRIM(MID(SUBSTITUTE(G210,";",REPT(" ",99)),199,99)))+1,99)),IF(TRIM(MID(SUBSTITUTE(G210,";",REPT(" ",99)),298,99))="","",IFERROR(VLOOKUP(--LEFT(TRIM(MID(SUBSTITUTE(G210,";",REPT(" ",99)),298,99)),FIND(":",TRIM(MID(SUBSTITUTE(G210,";",REPT(" ",99)),298,99)))-1),_Lookup!$A:$B,2,FALSE),"?")&amp;"×"&amp;MID(TRIM(MID(SUBSTITUTE(G210,";",REPT(" ",99)),298,99)),FIND(":",TRIM(MID(SUBSTITUTE(G210,";",REPT(" ",99)),298,99)))+1,99)),IF(TRIM(MID(SUBSTITUTE(G210,";",REPT(" ",99)),397,99))="","",IFERROR(VLOOKUP(--LEFT(TRIM(MID(SUBSTITUTE(G210,";",REPT(" ",99)),397,99)),FIND(":",TRIM(MID(SUBSTITUTE(G210,";",REPT(" ",99)),397,99)))-1),_Lookup!$A:$B,2,FALSE),"?")&amp;"×"&amp;MID(TRIM(MID(SUBSTITUTE(G210,";",REPT(" ",99)),397,99)),FIND(":",TRIM(MID(SUBSTITUTE(G210,";",REPT(" ",99)),397,99)))+1,99))))</f>
        <v/>
      </c>
    </row>
    <row r="211">
      <c r="C211" s="11">
        <f>IFERROR(VLOOKUP(B211,ItemData_Equipment!$A:$B,2,FALSE),"")</f>
        <v/>
      </c>
      <c r="H211" s="11">
        <f>IF(G211="","",TEXTJOIN("; ",TRUE,IF(TRIM(MID(SUBSTITUTE(G211,";",REPT(" ",99)),1,99))="","",IFERROR(VLOOKUP(--LEFT(TRIM(MID(SUBSTITUTE(G211,";",REPT(" ",99)),1,99)),FIND(":",TRIM(MID(SUBSTITUTE(G211,";",REPT(" ",99)),1,99)))-1),_Lookup!$A:$B,2,FALSE),"?")&amp;"×"&amp;MID(TRIM(MID(SUBSTITUTE(G211,";",REPT(" ",99)),1,99)),FIND(":",TRIM(MID(SUBSTITUTE(G211,";",REPT(" ",99)),1,99)))+1,99)),IF(TRIM(MID(SUBSTITUTE(G211,";",REPT(" ",99)),100,99))="","",IFERROR(VLOOKUP(--LEFT(TRIM(MID(SUBSTITUTE(G211,";",REPT(" ",99)),100,99)),FIND(":",TRIM(MID(SUBSTITUTE(G211,";",REPT(" ",99)),100,99)))-1),_Lookup!$A:$B,2,FALSE),"?")&amp;"×"&amp;MID(TRIM(MID(SUBSTITUTE(G211,";",REPT(" ",99)),100,99)),FIND(":",TRIM(MID(SUBSTITUTE(G211,";",REPT(" ",99)),100,99)))+1,99)),IF(TRIM(MID(SUBSTITUTE(G211,";",REPT(" ",99)),199,99))="","",IFERROR(VLOOKUP(--LEFT(TRIM(MID(SUBSTITUTE(G211,";",REPT(" ",99)),199,99)),FIND(":",TRIM(MID(SUBSTITUTE(G211,";",REPT(" ",99)),199,99)))-1),_Lookup!$A:$B,2,FALSE),"?")&amp;"×"&amp;MID(TRIM(MID(SUBSTITUTE(G211,";",REPT(" ",99)),199,99)),FIND(":",TRIM(MID(SUBSTITUTE(G211,";",REPT(" ",99)),199,99)))+1,99)),IF(TRIM(MID(SUBSTITUTE(G211,";",REPT(" ",99)),298,99))="","",IFERROR(VLOOKUP(--LEFT(TRIM(MID(SUBSTITUTE(G211,";",REPT(" ",99)),298,99)),FIND(":",TRIM(MID(SUBSTITUTE(G211,";",REPT(" ",99)),298,99)))-1),_Lookup!$A:$B,2,FALSE),"?")&amp;"×"&amp;MID(TRIM(MID(SUBSTITUTE(G211,";",REPT(" ",99)),298,99)),FIND(":",TRIM(MID(SUBSTITUTE(G211,";",REPT(" ",99)),298,99)))+1,99)),IF(TRIM(MID(SUBSTITUTE(G211,";",REPT(" ",99)),397,99))="","",IFERROR(VLOOKUP(--LEFT(TRIM(MID(SUBSTITUTE(G211,";",REPT(" ",99)),397,99)),FIND(":",TRIM(MID(SUBSTITUTE(G211,";",REPT(" ",99)),397,99)))-1),_Lookup!$A:$B,2,FALSE),"?")&amp;"×"&amp;MID(TRIM(MID(SUBSTITUTE(G211,";",REPT(" ",99)),397,99)),FIND(":",TRIM(MID(SUBSTITUTE(G211,";",REPT(" ",99)),397,99)))+1,99))))</f>
        <v/>
      </c>
    </row>
    <row r="212">
      <c r="C212" s="11">
        <f>IFERROR(VLOOKUP(B212,ItemData_Equipment!$A:$B,2,FALSE),"")</f>
        <v/>
      </c>
      <c r="H212" s="11">
        <f>IF(G212="","",TEXTJOIN("; ",TRUE,IF(TRIM(MID(SUBSTITUTE(G212,";",REPT(" ",99)),1,99))="","",IFERROR(VLOOKUP(--LEFT(TRIM(MID(SUBSTITUTE(G212,";",REPT(" ",99)),1,99)),FIND(":",TRIM(MID(SUBSTITUTE(G212,";",REPT(" ",99)),1,99)))-1),_Lookup!$A:$B,2,FALSE),"?")&amp;"×"&amp;MID(TRIM(MID(SUBSTITUTE(G212,";",REPT(" ",99)),1,99)),FIND(":",TRIM(MID(SUBSTITUTE(G212,";",REPT(" ",99)),1,99)))+1,99)),IF(TRIM(MID(SUBSTITUTE(G212,";",REPT(" ",99)),100,99))="","",IFERROR(VLOOKUP(--LEFT(TRIM(MID(SUBSTITUTE(G212,";",REPT(" ",99)),100,99)),FIND(":",TRIM(MID(SUBSTITUTE(G212,";",REPT(" ",99)),100,99)))-1),_Lookup!$A:$B,2,FALSE),"?")&amp;"×"&amp;MID(TRIM(MID(SUBSTITUTE(G212,";",REPT(" ",99)),100,99)),FIND(":",TRIM(MID(SUBSTITUTE(G212,";",REPT(" ",99)),100,99)))+1,99)),IF(TRIM(MID(SUBSTITUTE(G212,";",REPT(" ",99)),199,99))="","",IFERROR(VLOOKUP(--LEFT(TRIM(MID(SUBSTITUTE(G212,";",REPT(" ",99)),199,99)),FIND(":",TRIM(MID(SUBSTITUTE(G212,";",REPT(" ",99)),199,99)))-1),_Lookup!$A:$B,2,FALSE),"?")&amp;"×"&amp;MID(TRIM(MID(SUBSTITUTE(G212,";",REPT(" ",99)),199,99)),FIND(":",TRIM(MID(SUBSTITUTE(G212,";",REPT(" ",99)),199,99)))+1,99)),IF(TRIM(MID(SUBSTITUTE(G212,";",REPT(" ",99)),298,99))="","",IFERROR(VLOOKUP(--LEFT(TRIM(MID(SUBSTITUTE(G212,";",REPT(" ",99)),298,99)),FIND(":",TRIM(MID(SUBSTITUTE(G212,";",REPT(" ",99)),298,99)))-1),_Lookup!$A:$B,2,FALSE),"?")&amp;"×"&amp;MID(TRIM(MID(SUBSTITUTE(G212,";",REPT(" ",99)),298,99)),FIND(":",TRIM(MID(SUBSTITUTE(G212,";",REPT(" ",99)),298,99)))+1,99)),IF(TRIM(MID(SUBSTITUTE(G212,";",REPT(" ",99)),397,99))="","",IFERROR(VLOOKUP(--LEFT(TRIM(MID(SUBSTITUTE(G212,";",REPT(" ",99)),397,99)),FIND(":",TRIM(MID(SUBSTITUTE(G212,";",REPT(" ",99)),397,99)))-1),_Lookup!$A:$B,2,FALSE),"?")&amp;"×"&amp;MID(TRIM(MID(SUBSTITUTE(G212,";",REPT(" ",99)),397,99)),FIND(":",TRIM(MID(SUBSTITUTE(G212,";",REPT(" ",99)),397,99)))+1,99))))</f>
        <v/>
      </c>
    </row>
    <row r="213">
      <c r="C213" s="11">
        <f>IFERROR(VLOOKUP(B213,ItemData_Equipment!$A:$B,2,FALSE),"")</f>
        <v/>
      </c>
      <c r="H213" s="11">
        <f>IF(G213="","",TEXTJOIN("; ",TRUE,IF(TRIM(MID(SUBSTITUTE(G213,";",REPT(" ",99)),1,99))="","",IFERROR(VLOOKUP(--LEFT(TRIM(MID(SUBSTITUTE(G213,";",REPT(" ",99)),1,99)),FIND(":",TRIM(MID(SUBSTITUTE(G213,";",REPT(" ",99)),1,99)))-1),_Lookup!$A:$B,2,FALSE),"?")&amp;"×"&amp;MID(TRIM(MID(SUBSTITUTE(G213,";",REPT(" ",99)),1,99)),FIND(":",TRIM(MID(SUBSTITUTE(G213,";",REPT(" ",99)),1,99)))+1,99)),IF(TRIM(MID(SUBSTITUTE(G213,";",REPT(" ",99)),100,99))="","",IFERROR(VLOOKUP(--LEFT(TRIM(MID(SUBSTITUTE(G213,";",REPT(" ",99)),100,99)),FIND(":",TRIM(MID(SUBSTITUTE(G213,";",REPT(" ",99)),100,99)))-1),_Lookup!$A:$B,2,FALSE),"?")&amp;"×"&amp;MID(TRIM(MID(SUBSTITUTE(G213,";",REPT(" ",99)),100,99)),FIND(":",TRIM(MID(SUBSTITUTE(G213,";",REPT(" ",99)),100,99)))+1,99)),IF(TRIM(MID(SUBSTITUTE(G213,";",REPT(" ",99)),199,99))="","",IFERROR(VLOOKUP(--LEFT(TRIM(MID(SUBSTITUTE(G213,";",REPT(" ",99)),199,99)),FIND(":",TRIM(MID(SUBSTITUTE(G213,";",REPT(" ",99)),199,99)))-1),_Lookup!$A:$B,2,FALSE),"?")&amp;"×"&amp;MID(TRIM(MID(SUBSTITUTE(G213,";",REPT(" ",99)),199,99)),FIND(":",TRIM(MID(SUBSTITUTE(G213,";",REPT(" ",99)),199,99)))+1,99)),IF(TRIM(MID(SUBSTITUTE(G213,";",REPT(" ",99)),298,99))="","",IFERROR(VLOOKUP(--LEFT(TRIM(MID(SUBSTITUTE(G213,";",REPT(" ",99)),298,99)),FIND(":",TRIM(MID(SUBSTITUTE(G213,";",REPT(" ",99)),298,99)))-1),_Lookup!$A:$B,2,FALSE),"?")&amp;"×"&amp;MID(TRIM(MID(SUBSTITUTE(G213,";",REPT(" ",99)),298,99)),FIND(":",TRIM(MID(SUBSTITUTE(G213,";",REPT(" ",99)),298,99)))+1,99)),IF(TRIM(MID(SUBSTITUTE(G213,";",REPT(" ",99)),397,99))="","",IFERROR(VLOOKUP(--LEFT(TRIM(MID(SUBSTITUTE(G213,";",REPT(" ",99)),397,99)),FIND(":",TRIM(MID(SUBSTITUTE(G213,";",REPT(" ",99)),397,99)))-1),_Lookup!$A:$B,2,FALSE),"?")&amp;"×"&amp;MID(TRIM(MID(SUBSTITUTE(G213,";",REPT(" ",99)),397,99)),FIND(":",TRIM(MID(SUBSTITUTE(G213,";",REPT(" ",99)),397,99)))+1,99))))</f>
        <v/>
      </c>
    </row>
    <row r="214">
      <c r="C214" s="11">
        <f>IFERROR(VLOOKUP(B214,ItemData_Equipment!$A:$B,2,FALSE),"")</f>
        <v/>
      </c>
      <c r="H214" s="11">
        <f>IF(G214="","",TEXTJOIN("; ",TRUE,IF(TRIM(MID(SUBSTITUTE(G214,";",REPT(" ",99)),1,99))="","",IFERROR(VLOOKUP(--LEFT(TRIM(MID(SUBSTITUTE(G214,";",REPT(" ",99)),1,99)),FIND(":",TRIM(MID(SUBSTITUTE(G214,";",REPT(" ",99)),1,99)))-1),_Lookup!$A:$B,2,FALSE),"?")&amp;"×"&amp;MID(TRIM(MID(SUBSTITUTE(G214,";",REPT(" ",99)),1,99)),FIND(":",TRIM(MID(SUBSTITUTE(G214,";",REPT(" ",99)),1,99)))+1,99)),IF(TRIM(MID(SUBSTITUTE(G214,";",REPT(" ",99)),100,99))="","",IFERROR(VLOOKUP(--LEFT(TRIM(MID(SUBSTITUTE(G214,";",REPT(" ",99)),100,99)),FIND(":",TRIM(MID(SUBSTITUTE(G214,";",REPT(" ",99)),100,99)))-1),_Lookup!$A:$B,2,FALSE),"?")&amp;"×"&amp;MID(TRIM(MID(SUBSTITUTE(G214,";",REPT(" ",99)),100,99)),FIND(":",TRIM(MID(SUBSTITUTE(G214,";",REPT(" ",99)),100,99)))+1,99)),IF(TRIM(MID(SUBSTITUTE(G214,";",REPT(" ",99)),199,99))="","",IFERROR(VLOOKUP(--LEFT(TRIM(MID(SUBSTITUTE(G214,";",REPT(" ",99)),199,99)),FIND(":",TRIM(MID(SUBSTITUTE(G214,";",REPT(" ",99)),199,99)))-1),_Lookup!$A:$B,2,FALSE),"?")&amp;"×"&amp;MID(TRIM(MID(SUBSTITUTE(G214,";",REPT(" ",99)),199,99)),FIND(":",TRIM(MID(SUBSTITUTE(G214,";",REPT(" ",99)),199,99)))+1,99)),IF(TRIM(MID(SUBSTITUTE(G214,";",REPT(" ",99)),298,99))="","",IFERROR(VLOOKUP(--LEFT(TRIM(MID(SUBSTITUTE(G214,";",REPT(" ",99)),298,99)),FIND(":",TRIM(MID(SUBSTITUTE(G214,";",REPT(" ",99)),298,99)))-1),_Lookup!$A:$B,2,FALSE),"?")&amp;"×"&amp;MID(TRIM(MID(SUBSTITUTE(G214,";",REPT(" ",99)),298,99)),FIND(":",TRIM(MID(SUBSTITUTE(G214,";",REPT(" ",99)),298,99)))+1,99)),IF(TRIM(MID(SUBSTITUTE(G214,";",REPT(" ",99)),397,99))="","",IFERROR(VLOOKUP(--LEFT(TRIM(MID(SUBSTITUTE(G214,";",REPT(" ",99)),397,99)),FIND(":",TRIM(MID(SUBSTITUTE(G214,";",REPT(" ",99)),397,99)))-1),_Lookup!$A:$B,2,FALSE),"?")&amp;"×"&amp;MID(TRIM(MID(SUBSTITUTE(G214,";",REPT(" ",99)),397,99)),FIND(":",TRIM(MID(SUBSTITUTE(G214,";",REPT(" ",99)),397,99)))+1,99))))</f>
        <v/>
      </c>
    </row>
    <row r="215">
      <c r="C215" s="11">
        <f>IFERROR(VLOOKUP(B215,ItemData_Equipment!$A:$B,2,FALSE),"")</f>
        <v/>
      </c>
      <c r="H215" s="11">
        <f>IF(G215="","",TEXTJOIN("; ",TRUE,IF(TRIM(MID(SUBSTITUTE(G215,";",REPT(" ",99)),1,99))="","",IFERROR(VLOOKUP(--LEFT(TRIM(MID(SUBSTITUTE(G215,";",REPT(" ",99)),1,99)),FIND(":",TRIM(MID(SUBSTITUTE(G215,";",REPT(" ",99)),1,99)))-1),_Lookup!$A:$B,2,FALSE),"?")&amp;"×"&amp;MID(TRIM(MID(SUBSTITUTE(G215,";",REPT(" ",99)),1,99)),FIND(":",TRIM(MID(SUBSTITUTE(G215,";",REPT(" ",99)),1,99)))+1,99)),IF(TRIM(MID(SUBSTITUTE(G215,";",REPT(" ",99)),100,99))="","",IFERROR(VLOOKUP(--LEFT(TRIM(MID(SUBSTITUTE(G215,";",REPT(" ",99)),100,99)),FIND(":",TRIM(MID(SUBSTITUTE(G215,";",REPT(" ",99)),100,99)))-1),_Lookup!$A:$B,2,FALSE),"?")&amp;"×"&amp;MID(TRIM(MID(SUBSTITUTE(G215,";",REPT(" ",99)),100,99)),FIND(":",TRIM(MID(SUBSTITUTE(G215,";",REPT(" ",99)),100,99)))+1,99)),IF(TRIM(MID(SUBSTITUTE(G215,";",REPT(" ",99)),199,99))="","",IFERROR(VLOOKUP(--LEFT(TRIM(MID(SUBSTITUTE(G215,";",REPT(" ",99)),199,99)),FIND(":",TRIM(MID(SUBSTITUTE(G215,";",REPT(" ",99)),199,99)))-1),_Lookup!$A:$B,2,FALSE),"?")&amp;"×"&amp;MID(TRIM(MID(SUBSTITUTE(G215,";",REPT(" ",99)),199,99)),FIND(":",TRIM(MID(SUBSTITUTE(G215,";",REPT(" ",99)),199,99)))+1,99)),IF(TRIM(MID(SUBSTITUTE(G215,";",REPT(" ",99)),298,99))="","",IFERROR(VLOOKUP(--LEFT(TRIM(MID(SUBSTITUTE(G215,";",REPT(" ",99)),298,99)),FIND(":",TRIM(MID(SUBSTITUTE(G215,";",REPT(" ",99)),298,99)))-1),_Lookup!$A:$B,2,FALSE),"?")&amp;"×"&amp;MID(TRIM(MID(SUBSTITUTE(G215,";",REPT(" ",99)),298,99)),FIND(":",TRIM(MID(SUBSTITUTE(G215,";",REPT(" ",99)),298,99)))+1,99)),IF(TRIM(MID(SUBSTITUTE(G215,";",REPT(" ",99)),397,99))="","",IFERROR(VLOOKUP(--LEFT(TRIM(MID(SUBSTITUTE(G215,";",REPT(" ",99)),397,99)),FIND(":",TRIM(MID(SUBSTITUTE(G215,";",REPT(" ",99)),397,99)))-1),_Lookup!$A:$B,2,FALSE),"?")&amp;"×"&amp;MID(TRIM(MID(SUBSTITUTE(G215,";",REPT(" ",99)),397,99)),FIND(":",TRIM(MID(SUBSTITUTE(G215,";",REPT(" ",99)),397,99)))+1,99))))</f>
        <v/>
      </c>
    </row>
    <row r="216">
      <c r="C216" s="11">
        <f>IFERROR(VLOOKUP(B216,ItemData_Equipment!$A:$B,2,FALSE),"")</f>
        <v/>
      </c>
      <c r="H216" s="11">
        <f>IF(G216="","",TEXTJOIN("; ",TRUE,IF(TRIM(MID(SUBSTITUTE(G216,";",REPT(" ",99)),1,99))="","",IFERROR(VLOOKUP(--LEFT(TRIM(MID(SUBSTITUTE(G216,";",REPT(" ",99)),1,99)),FIND(":",TRIM(MID(SUBSTITUTE(G216,";",REPT(" ",99)),1,99)))-1),_Lookup!$A:$B,2,FALSE),"?")&amp;"×"&amp;MID(TRIM(MID(SUBSTITUTE(G216,";",REPT(" ",99)),1,99)),FIND(":",TRIM(MID(SUBSTITUTE(G216,";",REPT(" ",99)),1,99)))+1,99)),IF(TRIM(MID(SUBSTITUTE(G216,";",REPT(" ",99)),100,99))="","",IFERROR(VLOOKUP(--LEFT(TRIM(MID(SUBSTITUTE(G216,";",REPT(" ",99)),100,99)),FIND(":",TRIM(MID(SUBSTITUTE(G216,";",REPT(" ",99)),100,99)))-1),_Lookup!$A:$B,2,FALSE),"?")&amp;"×"&amp;MID(TRIM(MID(SUBSTITUTE(G216,";",REPT(" ",99)),100,99)),FIND(":",TRIM(MID(SUBSTITUTE(G216,";",REPT(" ",99)),100,99)))+1,99)),IF(TRIM(MID(SUBSTITUTE(G216,";",REPT(" ",99)),199,99))="","",IFERROR(VLOOKUP(--LEFT(TRIM(MID(SUBSTITUTE(G216,";",REPT(" ",99)),199,99)),FIND(":",TRIM(MID(SUBSTITUTE(G216,";",REPT(" ",99)),199,99)))-1),_Lookup!$A:$B,2,FALSE),"?")&amp;"×"&amp;MID(TRIM(MID(SUBSTITUTE(G216,";",REPT(" ",99)),199,99)),FIND(":",TRIM(MID(SUBSTITUTE(G216,";",REPT(" ",99)),199,99)))+1,99)),IF(TRIM(MID(SUBSTITUTE(G216,";",REPT(" ",99)),298,99))="","",IFERROR(VLOOKUP(--LEFT(TRIM(MID(SUBSTITUTE(G216,";",REPT(" ",99)),298,99)),FIND(":",TRIM(MID(SUBSTITUTE(G216,";",REPT(" ",99)),298,99)))-1),_Lookup!$A:$B,2,FALSE),"?")&amp;"×"&amp;MID(TRIM(MID(SUBSTITUTE(G216,";",REPT(" ",99)),298,99)),FIND(":",TRIM(MID(SUBSTITUTE(G216,";",REPT(" ",99)),298,99)))+1,99)),IF(TRIM(MID(SUBSTITUTE(G216,";",REPT(" ",99)),397,99))="","",IFERROR(VLOOKUP(--LEFT(TRIM(MID(SUBSTITUTE(G216,";",REPT(" ",99)),397,99)),FIND(":",TRIM(MID(SUBSTITUTE(G216,";",REPT(" ",99)),397,99)))-1),_Lookup!$A:$B,2,FALSE),"?")&amp;"×"&amp;MID(TRIM(MID(SUBSTITUTE(G216,";",REPT(" ",99)),397,99)),FIND(":",TRIM(MID(SUBSTITUTE(G216,";",REPT(" ",99)),397,99)))+1,99))))</f>
        <v/>
      </c>
    </row>
    <row r="217">
      <c r="C217" s="11">
        <f>IFERROR(VLOOKUP(B217,ItemData_Equipment!$A:$B,2,FALSE),"")</f>
        <v/>
      </c>
      <c r="H217" s="11">
        <f>IF(G217="","",TEXTJOIN("; ",TRUE,IF(TRIM(MID(SUBSTITUTE(G217,";",REPT(" ",99)),1,99))="","",IFERROR(VLOOKUP(--LEFT(TRIM(MID(SUBSTITUTE(G217,";",REPT(" ",99)),1,99)),FIND(":",TRIM(MID(SUBSTITUTE(G217,";",REPT(" ",99)),1,99)))-1),_Lookup!$A:$B,2,FALSE),"?")&amp;"×"&amp;MID(TRIM(MID(SUBSTITUTE(G217,";",REPT(" ",99)),1,99)),FIND(":",TRIM(MID(SUBSTITUTE(G217,";",REPT(" ",99)),1,99)))+1,99)),IF(TRIM(MID(SUBSTITUTE(G217,";",REPT(" ",99)),100,99))="","",IFERROR(VLOOKUP(--LEFT(TRIM(MID(SUBSTITUTE(G217,";",REPT(" ",99)),100,99)),FIND(":",TRIM(MID(SUBSTITUTE(G217,";",REPT(" ",99)),100,99)))-1),_Lookup!$A:$B,2,FALSE),"?")&amp;"×"&amp;MID(TRIM(MID(SUBSTITUTE(G217,";",REPT(" ",99)),100,99)),FIND(":",TRIM(MID(SUBSTITUTE(G217,";",REPT(" ",99)),100,99)))+1,99)),IF(TRIM(MID(SUBSTITUTE(G217,";",REPT(" ",99)),199,99))="","",IFERROR(VLOOKUP(--LEFT(TRIM(MID(SUBSTITUTE(G217,";",REPT(" ",99)),199,99)),FIND(":",TRIM(MID(SUBSTITUTE(G217,";",REPT(" ",99)),199,99)))-1),_Lookup!$A:$B,2,FALSE),"?")&amp;"×"&amp;MID(TRIM(MID(SUBSTITUTE(G217,";",REPT(" ",99)),199,99)),FIND(":",TRIM(MID(SUBSTITUTE(G217,";",REPT(" ",99)),199,99)))+1,99)),IF(TRIM(MID(SUBSTITUTE(G217,";",REPT(" ",99)),298,99))="","",IFERROR(VLOOKUP(--LEFT(TRIM(MID(SUBSTITUTE(G217,";",REPT(" ",99)),298,99)),FIND(":",TRIM(MID(SUBSTITUTE(G217,";",REPT(" ",99)),298,99)))-1),_Lookup!$A:$B,2,FALSE),"?")&amp;"×"&amp;MID(TRIM(MID(SUBSTITUTE(G217,";",REPT(" ",99)),298,99)),FIND(":",TRIM(MID(SUBSTITUTE(G217,";",REPT(" ",99)),298,99)))+1,99)),IF(TRIM(MID(SUBSTITUTE(G217,";",REPT(" ",99)),397,99))="","",IFERROR(VLOOKUP(--LEFT(TRIM(MID(SUBSTITUTE(G217,";",REPT(" ",99)),397,99)),FIND(":",TRIM(MID(SUBSTITUTE(G217,";",REPT(" ",99)),397,99)))-1),_Lookup!$A:$B,2,FALSE),"?")&amp;"×"&amp;MID(TRIM(MID(SUBSTITUTE(G217,";",REPT(" ",99)),397,99)),FIND(":",TRIM(MID(SUBSTITUTE(G217,";",REPT(" ",99)),397,99)))+1,99))))</f>
        <v/>
      </c>
    </row>
    <row r="218">
      <c r="C218" s="11">
        <f>IFERROR(VLOOKUP(B218,ItemData_Equipment!$A:$B,2,FALSE),"")</f>
        <v/>
      </c>
      <c r="H218" s="11">
        <f>IF(G218="","",TEXTJOIN("; ",TRUE,IF(TRIM(MID(SUBSTITUTE(G218,";",REPT(" ",99)),1,99))="","",IFERROR(VLOOKUP(--LEFT(TRIM(MID(SUBSTITUTE(G218,";",REPT(" ",99)),1,99)),FIND(":",TRIM(MID(SUBSTITUTE(G218,";",REPT(" ",99)),1,99)))-1),_Lookup!$A:$B,2,FALSE),"?")&amp;"×"&amp;MID(TRIM(MID(SUBSTITUTE(G218,";",REPT(" ",99)),1,99)),FIND(":",TRIM(MID(SUBSTITUTE(G218,";",REPT(" ",99)),1,99)))+1,99)),IF(TRIM(MID(SUBSTITUTE(G218,";",REPT(" ",99)),100,99))="","",IFERROR(VLOOKUP(--LEFT(TRIM(MID(SUBSTITUTE(G218,";",REPT(" ",99)),100,99)),FIND(":",TRIM(MID(SUBSTITUTE(G218,";",REPT(" ",99)),100,99)))-1),_Lookup!$A:$B,2,FALSE),"?")&amp;"×"&amp;MID(TRIM(MID(SUBSTITUTE(G218,";",REPT(" ",99)),100,99)),FIND(":",TRIM(MID(SUBSTITUTE(G218,";",REPT(" ",99)),100,99)))+1,99)),IF(TRIM(MID(SUBSTITUTE(G218,";",REPT(" ",99)),199,99))="","",IFERROR(VLOOKUP(--LEFT(TRIM(MID(SUBSTITUTE(G218,";",REPT(" ",99)),199,99)),FIND(":",TRIM(MID(SUBSTITUTE(G218,";",REPT(" ",99)),199,99)))-1),_Lookup!$A:$B,2,FALSE),"?")&amp;"×"&amp;MID(TRIM(MID(SUBSTITUTE(G218,";",REPT(" ",99)),199,99)),FIND(":",TRIM(MID(SUBSTITUTE(G218,";",REPT(" ",99)),199,99)))+1,99)),IF(TRIM(MID(SUBSTITUTE(G218,";",REPT(" ",99)),298,99))="","",IFERROR(VLOOKUP(--LEFT(TRIM(MID(SUBSTITUTE(G218,";",REPT(" ",99)),298,99)),FIND(":",TRIM(MID(SUBSTITUTE(G218,";",REPT(" ",99)),298,99)))-1),_Lookup!$A:$B,2,FALSE),"?")&amp;"×"&amp;MID(TRIM(MID(SUBSTITUTE(G218,";",REPT(" ",99)),298,99)),FIND(":",TRIM(MID(SUBSTITUTE(G218,";",REPT(" ",99)),298,99)))+1,99)),IF(TRIM(MID(SUBSTITUTE(G218,";",REPT(" ",99)),397,99))="","",IFERROR(VLOOKUP(--LEFT(TRIM(MID(SUBSTITUTE(G218,";",REPT(" ",99)),397,99)),FIND(":",TRIM(MID(SUBSTITUTE(G218,";",REPT(" ",99)),397,99)))-1),_Lookup!$A:$B,2,FALSE),"?")&amp;"×"&amp;MID(TRIM(MID(SUBSTITUTE(G218,";",REPT(" ",99)),397,99)),FIND(":",TRIM(MID(SUBSTITUTE(G218,";",REPT(" ",99)),397,99)))+1,99))))</f>
        <v/>
      </c>
    </row>
    <row r="219">
      <c r="C219" s="11">
        <f>IFERROR(VLOOKUP(B219,ItemData_Equipment!$A:$B,2,FALSE),"")</f>
        <v/>
      </c>
      <c r="H219" s="11">
        <f>IF(G219="","",TEXTJOIN("; ",TRUE,IF(TRIM(MID(SUBSTITUTE(G219,";",REPT(" ",99)),1,99))="","",IFERROR(VLOOKUP(--LEFT(TRIM(MID(SUBSTITUTE(G219,";",REPT(" ",99)),1,99)),FIND(":",TRIM(MID(SUBSTITUTE(G219,";",REPT(" ",99)),1,99)))-1),_Lookup!$A:$B,2,FALSE),"?")&amp;"×"&amp;MID(TRIM(MID(SUBSTITUTE(G219,";",REPT(" ",99)),1,99)),FIND(":",TRIM(MID(SUBSTITUTE(G219,";",REPT(" ",99)),1,99)))+1,99)),IF(TRIM(MID(SUBSTITUTE(G219,";",REPT(" ",99)),100,99))="","",IFERROR(VLOOKUP(--LEFT(TRIM(MID(SUBSTITUTE(G219,";",REPT(" ",99)),100,99)),FIND(":",TRIM(MID(SUBSTITUTE(G219,";",REPT(" ",99)),100,99)))-1),_Lookup!$A:$B,2,FALSE),"?")&amp;"×"&amp;MID(TRIM(MID(SUBSTITUTE(G219,";",REPT(" ",99)),100,99)),FIND(":",TRIM(MID(SUBSTITUTE(G219,";",REPT(" ",99)),100,99)))+1,99)),IF(TRIM(MID(SUBSTITUTE(G219,";",REPT(" ",99)),199,99))="","",IFERROR(VLOOKUP(--LEFT(TRIM(MID(SUBSTITUTE(G219,";",REPT(" ",99)),199,99)),FIND(":",TRIM(MID(SUBSTITUTE(G219,";",REPT(" ",99)),199,99)))-1),_Lookup!$A:$B,2,FALSE),"?")&amp;"×"&amp;MID(TRIM(MID(SUBSTITUTE(G219,";",REPT(" ",99)),199,99)),FIND(":",TRIM(MID(SUBSTITUTE(G219,";",REPT(" ",99)),199,99)))+1,99)),IF(TRIM(MID(SUBSTITUTE(G219,";",REPT(" ",99)),298,99))="","",IFERROR(VLOOKUP(--LEFT(TRIM(MID(SUBSTITUTE(G219,";",REPT(" ",99)),298,99)),FIND(":",TRIM(MID(SUBSTITUTE(G219,";",REPT(" ",99)),298,99)))-1),_Lookup!$A:$B,2,FALSE),"?")&amp;"×"&amp;MID(TRIM(MID(SUBSTITUTE(G219,";",REPT(" ",99)),298,99)),FIND(":",TRIM(MID(SUBSTITUTE(G219,";",REPT(" ",99)),298,99)))+1,99)),IF(TRIM(MID(SUBSTITUTE(G219,";",REPT(" ",99)),397,99))="","",IFERROR(VLOOKUP(--LEFT(TRIM(MID(SUBSTITUTE(G219,";",REPT(" ",99)),397,99)),FIND(":",TRIM(MID(SUBSTITUTE(G219,";",REPT(" ",99)),397,99)))-1),_Lookup!$A:$B,2,FALSE),"?")&amp;"×"&amp;MID(TRIM(MID(SUBSTITUTE(G219,";",REPT(" ",99)),397,99)),FIND(":",TRIM(MID(SUBSTITUTE(G219,";",REPT(" ",99)),397,99)))+1,99))))</f>
        <v/>
      </c>
    </row>
    <row r="220">
      <c r="C220" s="11">
        <f>IFERROR(VLOOKUP(B220,ItemData_Equipment!$A:$B,2,FALSE),"")</f>
        <v/>
      </c>
      <c r="H220" s="11">
        <f>IF(G220="","",TEXTJOIN("; ",TRUE,IF(TRIM(MID(SUBSTITUTE(G220,";",REPT(" ",99)),1,99))="","",IFERROR(VLOOKUP(--LEFT(TRIM(MID(SUBSTITUTE(G220,";",REPT(" ",99)),1,99)),FIND(":",TRIM(MID(SUBSTITUTE(G220,";",REPT(" ",99)),1,99)))-1),_Lookup!$A:$B,2,FALSE),"?")&amp;"×"&amp;MID(TRIM(MID(SUBSTITUTE(G220,";",REPT(" ",99)),1,99)),FIND(":",TRIM(MID(SUBSTITUTE(G220,";",REPT(" ",99)),1,99)))+1,99)),IF(TRIM(MID(SUBSTITUTE(G220,";",REPT(" ",99)),100,99))="","",IFERROR(VLOOKUP(--LEFT(TRIM(MID(SUBSTITUTE(G220,";",REPT(" ",99)),100,99)),FIND(":",TRIM(MID(SUBSTITUTE(G220,";",REPT(" ",99)),100,99)))-1),_Lookup!$A:$B,2,FALSE),"?")&amp;"×"&amp;MID(TRIM(MID(SUBSTITUTE(G220,";",REPT(" ",99)),100,99)),FIND(":",TRIM(MID(SUBSTITUTE(G220,";",REPT(" ",99)),100,99)))+1,99)),IF(TRIM(MID(SUBSTITUTE(G220,";",REPT(" ",99)),199,99))="","",IFERROR(VLOOKUP(--LEFT(TRIM(MID(SUBSTITUTE(G220,";",REPT(" ",99)),199,99)),FIND(":",TRIM(MID(SUBSTITUTE(G220,";",REPT(" ",99)),199,99)))-1),_Lookup!$A:$B,2,FALSE),"?")&amp;"×"&amp;MID(TRIM(MID(SUBSTITUTE(G220,";",REPT(" ",99)),199,99)),FIND(":",TRIM(MID(SUBSTITUTE(G220,";",REPT(" ",99)),199,99)))+1,99)),IF(TRIM(MID(SUBSTITUTE(G220,";",REPT(" ",99)),298,99))="","",IFERROR(VLOOKUP(--LEFT(TRIM(MID(SUBSTITUTE(G220,";",REPT(" ",99)),298,99)),FIND(":",TRIM(MID(SUBSTITUTE(G220,";",REPT(" ",99)),298,99)))-1),_Lookup!$A:$B,2,FALSE),"?")&amp;"×"&amp;MID(TRIM(MID(SUBSTITUTE(G220,";",REPT(" ",99)),298,99)),FIND(":",TRIM(MID(SUBSTITUTE(G220,";",REPT(" ",99)),298,99)))+1,99)),IF(TRIM(MID(SUBSTITUTE(G220,";",REPT(" ",99)),397,99))="","",IFERROR(VLOOKUP(--LEFT(TRIM(MID(SUBSTITUTE(G220,";",REPT(" ",99)),397,99)),FIND(":",TRIM(MID(SUBSTITUTE(G220,";",REPT(" ",99)),397,99)))-1),_Lookup!$A:$B,2,FALSE),"?")&amp;"×"&amp;MID(TRIM(MID(SUBSTITUTE(G220,";",REPT(" ",99)),397,99)),FIND(":",TRIM(MID(SUBSTITUTE(G220,";",REPT(" ",99)),397,99)))+1,99))))</f>
        <v/>
      </c>
    </row>
    <row r="221">
      <c r="C221" s="11">
        <f>IFERROR(VLOOKUP(B221,ItemData_Equipment!$A:$B,2,FALSE),"")</f>
        <v/>
      </c>
      <c r="H221" s="11">
        <f>IF(G221="","",TEXTJOIN("; ",TRUE,IF(TRIM(MID(SUBSTITUTE(G221,";",REPT(" ",99)),1,99))="","",IFERROR(VLOOKUP(--LEFT(TRIM(MID(SUBSTITUTE(G221,";",REPT(" ",99)),1,99)),FIND(":",TRIM(MID(SUBSTITUTE(G221,";",REPT(" ",99)),1,99)))-1),_Lookup!$A:$B,2,FALSE),"?")&amp;"×"&amp;MID(TRIM(MID(SUBSTITUTE(G221,";",REPT(" ",99)),1,99)),FIND(":",TRIM(MID(SUBSTITUTE(G221,";",REPT(" ",99)),1,99)))+1,99)),IF(TRIM(MID(SUBSTITUTE(G221,";",REPT(" ",99)),100,99))="","",IFERROR(VLOOKUP(--LEFT(TRIM(MID(SUBSTITUTE(G221,";",REPT(" ",99)),100,99)),FIND(":",TRIM(MID(SUBSTITUTE(G221,";",REPT(" ",99)),100,99)))-1),_Lookup!$A:$B,2,FALSE),"?")&amp;"×"&amp;MID(TRIM(MID(SUBSTITUTE(G221,";",REPT(" ",99)),100,99)),FIND(":",TRIM(MID(SUBSTITUTE(G221,";",REPT(" ",99)),100,99)))+1,99)),IF(TRIM(MID(SUBSTITUTE(G221,";",REPT(" ",99)),199,99))="","",IFERROR(VLOOKUP(--LEFT(TRIM(MID(SUBSTITUTE(G221,";",REPT(" ",99)),199,99)),FIND(":",TRIM(MID(SUBSTITUTE(G221,";",REPT(" ",99)),199,99)))-1),_Lookup!$A:$B,2,FALSE),"?")&amp;"×"&amp;MID(TRIM(MID(SUBSTITUTE(G221,";",REPT(" ",99)),199,99)),FIND(":",TRIM(MID(SUBSTITUTE(G221,";",REPT(" ",99)),199,99)))+1,99)),IF(TRIM(MID(SUBSTITUTE(G221,";",REPT(" ",99)),298,99))="","",IFERROR(VLOOKUP(--LEFT(TRIM(MID(SUBSTITUTE(G221,";",REPT(" ",99)),298,99)),FIND(":",TRIM(MID(SUBSTITUTE(G221,";",REPT(" ",99)),298,99)))-1),_Lookup!$A:$B,2,FALSE),"?")&amp;"×"&amp;MID(TRIM(MID(SUBSTITUTE(G221,";",REPT(" ",99)),298,99)),FIND(":",TRIM(MID(SUBSTITUTE(G221,";",REPT(" ",99)),298,99)))+1,99)),IF(TRIM(MID(SUBSTITUTE(G221,";",REPT(" ",99)),397,99))="","",IFERROR(VLOOKUP(--LEFT(TRIM(MID(SUBSTITUTE(G221,";",REPT(" ",99)),397,99)),FIND(":",TRIM(MID(SUBSTITUTE(G221,";",REPT(" ",99)),397,99)))-1),_Lookup!$A:$B,2,FALSE),"?")&amp;"×"&amp;MID(TRIM(MID(SUBSTITUTE(G221,";",REPT(" ",99)),397,99)),FIND(":",TRIM(MID(SUBSTITUTE(G221,";",REPT(" ",99)),397,99)))+1,99))))</f>
        <v/>
      </c>
    </row>
    <row r="222">
      <c r="C222" s="11">
        <f>IFERROR(VLOOKUP(B222,ItemData_Equipment!$A:$B,2,FALSE),"")</f>
        <v/>
      </c>
      <c r="H222" s="11">
        <f>IF(G222="","",TEXTJOIN("; ",TRUE,IF(TRIM(MID(SUBSTITUTE(G222,";",REPT(" ",99)),1,99))="","",IFERROR(VLOOKUP(--LEFT(TRIM(MID(SUBSTITUTE(G222,";",REPT(" ",99)),1,99)),FIND(":",TRIM(MID(SUBSTITUTE(G222,";",REPT(" ",99)),1,99)))-1),_Lookup!$A:$B,2,FALSE),"?")&amp;"×"&amp;MID(TRIM(MID(SUBSTITUTE(G222,";",REPT(" ",99)),1,99)),FIND(":",TRIM(MID(SUBSTITUTE(G222,";",REPT(" ",99)),1,99)))+1,99)),IF(TRIM(MID(SUBSTITUTE(G222,";",REPT(" ",99)),100,99))="","",IFERROR(VLOOKUP(--LEFT(TRIM(MID(SUBSTITUTE(G222,";",REPT(" ",99)),100,99)),FIND(":",TRIM(MID(SUBSTITUTE(G222,";",REPT(" ",99)),100,99)))-1),_Lookup!$A:$B,2,FALSE),"?")&amp;"×"&amp;MID(TRIM(MID(SUBSTITUTE(G222,";",REPT(" ",99)),100,99)),FIND(":",TRIM(MID(SUBSTITUTE(G222,";",REPT(" ",99)),100,99)))+1,99)),IF(TRIM(MID(SUBSTITUTE(G222,";",REPT(" ",99)),199,99))="","",IFERROR(VLOOKUP(--LEFT(TRIM(MID(SUBSTITUTE(G222,";",REPT(" ",99)),199,99)),FIND(":",TRIM(MID(SUBSTITUTE(G222,";",REPT(" ",99)),199,99)))-1),_Lookup!$A:$B,2,FALSE),"?")&amp;"×"&amp;MID(TRIM(MID(SUBSTITUTE(G222,";",REPT(" ",99)),199,99)),FIND(":",TRIM(MID(SUBSTITUTE(G222,";",REPT(" ",99)),199,99)))+1,99)),IF(TRIM(MID(SUBSTITUTE(G222,";",REPT(" ",99)),298,99))="","",IFERROR(VLOOKUP(--LEFT(TRIM(MID(SUBSTITUTE(G222,";",REPT(" ",99)),298,99)),FIND(":",TRIM(MID(SUBSTITUTE(G222,";",REPT(" ",99)),298,99)))-1),_Lookup!$A:$B,2,FALSE),"?")&amp;"×"&amp;MID(TRIM(MID(SUBSTITUTE(G222,";",REPT(" ",99)),298,99)),FIND(":",TRIM(MID(SUBSTITUTE(G222,";",REPT(" ",99)),298,99)))+1,99)),IF(TRIM(MID(SUBSTITUTE(G222,";",REPT(" ",99)),397,99))="","",IFERROR(VLOOKUP(--LEFT(TRIM(MID(SUBSTITUTE(G222,";",REPT(" ",99)),397,99)),FIND(":",TRIM(MID(SUBSTITUTE(G222,";",REPT(" ",99)),397,99)))-1),_Lookup!$A:$B,2,FALSE),"?")&amp;"×"&amp;MID(TRIM(MID(SUBSTITUTE(G222,";",REPT(" ",99)),397,99)),FIND(":",TRIM(MID(SUBSTITUTE(G222,";",REPT(" ",99)),397,99)))+1,99))))</f>
        <v/>
      </c>
    </row>
    <row r="223">
      <c r="C223" s="11">
        <f>IFERROR(VLOOKUP(B223,ItemData_Equipment!$A:$B,2,FALSE),"")</f>
        <v/>
      </c>
      <c r="H223" s="11">
        <f>IF(G223="","",TEXTJOIN("; ",TRUE,IF(TRIM(MID(SUBSTITUTE(G223,";",REPT(" ",99)),1,99))="","",IFERROR(VLOOKUP(--LEFT(TRIM(MID(SUBSTITUTE(G223,";",REPT(" ",99)),1,99)),FIND(":",TRIM(MID(SUBSTITUTE(G223,";",REPT(" ",99)),1,99)))-1),_Lookup!$A:$B,2,FALSE),"?")&amp;"×"&amp;MID(TRIM(MID(SUBSTITUTE(G223,";",REPT(" ",99)),1,99)),FIND(":",TRIM(MID(SUBSTITUTE(G223,";",REPT(" ",99)),1,99)))+1,99)),IF(TRIM(MID(SUBSTITUTE(G223,";",REPT(" ",99)),100,99))="","",IFERROR(VLOOKUP(--LEFT(TRIM(MID(SUBSTITUTE(G223,";",REPT(" ",99)),100,99)),FIND(":",TRIM(MID(SUBSTITUTE(G223,";",REPT(" ",99)),100,99)))-1),_Lookup!$A:$B,2,FALSE),"?")&amp;"×"&amp;MID(TRIM(MID(SUBSTITUTE(G223,";",REPT(" ",99)),100,99)),FIND(":",TRIM(MID(SUBSTITUTE(G223,";",REPT(" ",99)),100,99)))+1,99)),IF(TRIM(MID(SUBSTITUTE(G223,";",REPT(" ",99)),199,99))="","",IFERROR(VLOOKUP(--LEFT(TRIM(MID(SUBSTITUTE(G223,";",REPT(" ",99)),199,99)),FIND(":",TRIM(MID(SUBSTITUTE(G223,";",REPT(" ",99)),199,99)))-1),_Lookup!$A:$B,2,FALSE),"?")&amp;"×"&amp;MID(TRIM(MID(SUBSTITUTE(G223,";",REPT(" ",99)),199,99)),FIND(":",TRIM(MID(SUBSTITUTE(G223,";",REPT(" ",99)),199,99)))+1,99)),IF(TRIM(MID(SUBSTITUTE(G223,";",REPT(" ",99)),298,99))="","",IFERROR(VLOOKUP(--LEFT(TRIM(MID(SUBSTITUTE(G223,";",REPT(" ",99)),298,99)),FIND(":",TRIM(MID(SUBSTITUTE(G223,";",REPT(" ",99)),298,99)))-1),_Lookup!$A:$B,2,FALSE),"?")&amp;"×"&amp;MID(TRIM(MID(SUBSTITUTE(G223,";",REPT(" ",99)),298,99)),FIND(":",TRIM(MID(SUBSTITUTE(G223,";",REPT(" ",99)),298,99)))+1,99)),IF(TRIM(MID(SUBSTITUTE(G223,";",REPT(" ",99)),397,99))="","",IFERROR(VLOOKUP(--LEFT(TRIM(MID(SUBSTITUTE(G223,";",REPT(" ",99)),397,99)),FIND(":",TRIM(MID(SUBSTITUTE(G223,";",REPT(" ",99)),397,99)))-1),_Lookup!$A:$B,2,FALSE),"?")&amp;"×"&amp;MID(TRIM(MID(SUBSTITUTE(G223,";",REPT(" ",99)),397,99)),FIND(":",TRIM(MID(SUBSTITUTE(G223,";",REPT(" ",99)),397,99)))+1,99))))</f>
        <v/>
      </c>
    </row>
    <row r="224">
      <c r="C224" s="11">
        <f>IFERROR(VLOOKUP(B224,ItemData_Equipment!$A:$B,2,FALSE),"")</f>
        <v/>
      </c>
      <c r="H224" s="11">
        <f>IF(G224="","",TEXTJOIN("; ",TRUE,IF(TRIM(MID(SUBSTITUTE(G224,";",REPT(" ",99)),1,99))="","",IFERROR(VLOOKUP(--LEFT(TRIM(MID(SUBSTITUTE(G224,";",REPT(" ",99)),1,99)),FIND(":",TRIM(MID(SUBSTITUTE(G224,";",REPT(" ",99)),1,99)))-1),_Lookup!$A:$B,2,FALSE),"?")&amp;"×"&amp;MID(TRIM(MID(SUBSTITUTE(G224,";",REPT(" ",99)),1,99)),FIND(":",TRIM(MID(SUBSTITUTE(G224,";",REPT(" ",99)),1,99)))+1,99)),IF(TRIM(MID(SUBSTITUTE(G224,";",REPT(" ",99)),100,99))="","",IFERROR(VLOOKUP(--LEFT(TRIM(MID(SUBSTITUTE(G224,";",REPT(" ",99)),100,99)),FIND(":",TRIM(MID(SUBSTITUTE(G224,";",REPT(" ",99)),100,99)))-1),_Lookup!$A:$B,2,FALSE),"?")&amp;"×"&amp;MID(TRIM(MID(SUBSTITUTE(G224,";",REPT(" ",99)),100,99)),FIND(":",TRIM(MID(SUBSTITUTE(G224,";",REPT(" ",99)),100,99)))+1,99)),IF(TRIM(MID(SUBSTITUTE(G224,";",REPT(" ",99)),199,99))="","",IFERROR(VLOOKUP(--LEFT(TRIM(MID(SUBSTITUTE(G224,";",REPT(" ",99)),199,99)),FIND(":",TRIM(MID(SUBSTITUTE(G224,";",REPT(" ",99)),199,99)))-1),_Lookup!$A:$B,2,FALSE),"?")&amp;"×"&amp;MID(TRIM(MID(SUBSTITUTE(G224,";",REPT(" ",99)),199,99)),FIND(":",TRIM(MID(SUBSTITUTE(G224,";",REPT(" ",99)),199,99)))+1,99)),IF(TRIM(MID(SUBSTITUTE(G224,";",REPT(" ",99)),298,99))="","",IFERROR(VLOOKUP(--LEFT(TRIM(MID(SUBSTITUTE(G224,";",REPT(" ",99)),298,99)),FIND(":",TRIM(MID(SUBSTITUTE(G224,";",REPT(" ",99)),298,99)))-1),_Lookup!$A:$B,2,FALSE),"?")&amp;"×"&amp;MID(TRIM(MID(SUBSTITUTE(G224,";",REPT(" ",99)),298,99)),FIND(":",TRIM(MID(SUBSTITUTE(G224,";",REPT(" ",99)),298,99)))+1,99)),IF(TRIM(MID(SUBSTITUTE(G224,";",REPT(" ",99)),397,99))="","",IFERROR(VLOOKUP(--LEFT(TRIM(MID(SUBSTITUTE(G224,";",REPT(" ",99)),397,99)),FIND(":",TRIM(MID(SUBSTITUTE(G224,";",REPT(" ",99)),397,99)))-1),_Lookup!$A:$B,2,FALSE),"?")&amp;"×"&amp;MID(TRIM(MID(SUBSTITUTE(G224,";",REPT(" ",99)),397,99)),FIND(":",TRIM(MID(SUBSTITUTE(G224,";",REPT(" ",99)),397,99)))+1,99))))</f>
        <v/>
      </c>
    </row>
    <row r="225">
      <c r="C225" s="11">
        <f>IFERROR(VLOOKUP(B225,ItemData_Equipment!$A:$B,2,FALSE),"")</f>
        <v/>
      </c>
      <c r="H225" s="11">
        <f>IF(G225="","",TEXTJOIN("; ",TRUE,IF(TRIM(MID(SUBSTITUTE(G225,";",REPT(" ",99)),1,99))="","",IFERROR(VLOOKUP(--LEFT(TRIM(MID(SUBSTITUTE(G225,";",REPT(" ",99)),1,99)),FIND(":",TRIM(MID(SUBSTITUTE(G225,";",REPT(" ",99)),1,99)))-1),_Lookup!$A:$B,2,FALSE),"?")&amp;"×"&amp;MID(TRIM(MID(SUBSTITUTE(G225,";",REPT(" ",99)),1,99)),FIND(":",TRIM(MID(SUBSTITUTE(G225,";",REPT(" ",99)),1,99)))+1,99)),IF(TRIM(MID(SUBSTITUTE(G225,";",REPT(" ",99)),100,99))="","",IFERROR(VLOOKUP(--LEFT(TRIM(MID(SUBSTITUTE(G225,";",REPT(" ",99)),100,99)),FIND(":",TRIM(MID(SUBSTITUTE(G225,";",REPT(" ",99)),100,99)))-1),_Lookup!$A:$B,2,FALSE),"?")&amp;"×"&amp;MID(TRIM(MID(SUBSTITUTE(G225,";",REPT(" ",99)),100,99)),FIND(":",TRIM(MID(SUBSTITUTE(G225,";",REPT(" ",99)),100,99)))+1,99)),IF(TRIM(MID(SUBSTITUTE(G225,";",REPT(" ",99)),199,99))="","",IFERROR(VLOOKUP(--LEFT(TRIM(MID(SUBSTITUTE(G225,";",REPT(" ",99)),199,99)),FIND(":",TRIM(MID(SUBSTITUTE(G225,";",REPT(" ",99)),199,99)))-1),_Lookup!$A:$B,2,FALSE),"?")&amp;"×"&amp;MID(TRIM(MID(SUBSTITUTE(G225,";",REPT(" ",99)),199,99)),FIND(":",TRIM(MID(SUBSTITUTE(G225,";",REPT(" ",99)),199,99)))+1,99)),IF(TRIM(MID(SUBSTITUTE(G225,";",REPT(" ",99)),298,99))="","",IFERROR(VLOOKUP(--LEFT(TRIM(MID(SUBSTITUTE(G225,";",REPT(" ",99)),298,99)),FIND(":",TRIM(MID(SUBSTITUTE(G225,";",REPT(" ",99)),298,99)))-1),_Lookup!$A:$B,2,FALSE),"?")&amp;"×"&amp;MID(TRIM(MID(SUBSTITUTE(G225,";",REPT(" ",99)),298,99)),FIND(":",TRIM(MID(SUBSTITUTE(G225,";",REPT(" ",99)),298,99)))+1,99)),IF(TRIM(MID(SUBSTITUTE(G225,";",REPT(" ",99)),397,99))="","",IFERROR(VLOOKUP(--LEFT(TRIM(MID(SUBSTITUTE(G225,";",REPT(" ",99)),397,99)),FIND(":",TRIM(MID(SUBSTITUTE(G225,";",REPT(" ",99)),397,99)))-1),_Lookup!$A:$B,2,FALSE),"?")&amp;"×"&amp;MID(TRIM(MID(SUBSTITUTE(G225,";",REPT(" ",99)),397,99)),FIND(":",TRIM(MID(SUBSTITUTE(G225,";",REPT(" ",99)),397,99)))+1,99))))</f>
        <v/>
      </c>
    </row>
    <row r="226">
      <c r="C226" s="11">
        <f>IFERROR(VLOOKUP(B226,ItemData_Equipment!$A:$B,2,FALSE),"")</f>
        <v/>
      </c>
      <c r="H226" s="11">
        <f>IF(G226="","",TEXTJOIN("; ",TRUE,IF(TRIM(MID(SUBSTITUTE(G226,";",REPT(" ",99)),1,99))="","",IFERROR(VLOOKUP(--LEFT(TRIM(MID(SUBSTITUTE(G226,";",REPT(" ",99)),1,99)),FIND(":",TRIM(MID(SUBSTITUTE(G226,";",REPT(" ",99)),1,99)))-1),_Lookup!$A:$B,2,FALSE),"?")&amp;"×"&amp;MID(TRIM(MID(SUBSTITUTE(G226,";",REPT(" ",99)),1,99)),FIND(":",TRIM(MID(SUBSTITUTE(G226,";",REPT(" ",99)),1,99)))+1,99)),IF(TRIM(MID(SUBSTITUTE(G226,";",REPT(" ",99)),100,99))="","",IFERROR(VLOOKUP(--LEFT(TRIM(MID(SUBSTITUTE(G226,";",REPT(" ",99)),100,99)),FIND(":",TRIM(MID(SUBSTITUTE(G226,";",REPT(" ",99)),100,99)))-1),_Lookup!$A:$B,2,FALSE),"?")&amp;"×"&amp;MID(TRIM(MID(SUBSTITUTE(G226,";",REPT(" ",99)),100,99)),FIND(":",TRIM(MID(SUBSTITUTE(G226,";",REPT(" ",99)),100,99)))+1,99)),IF(TRIM(MID(SUBSTITUTE(G226,";",REPT(" ",99)),199,99))="","",IFERROR(VLOOKUP(--LEFT(TRIM(MID(SUBSTITUTE(G226,";",REPT(" ",99)),199,99)),FIND(":",TRIM(MID(SUBSTITUTE(G226,";",REPT(" ",99)),199,99)))-1),_Lookup!$A:$B,2,FALSE),"?")&amp;"×"&amp;MID(TRIM(MID(SUBSTITUTE(G226,";",REPT(" ",99)),199,99)),FIND(":",TRIM(MID(SUBSTITUTE(G226,";",REPT(" ",99)),199,99)))+1,99)),IF(TRIM(MID(SUBSTITUTE(G226,";",REPT(" ",99)),298,99))="","",IFERROR(VLOOKUP(--LEFT(TRIM(MID(SUBSTITUTE(G226,";",REPT(" ",99)),298,99)),FIND(":",TRIM(MID(SUBSTITUTE(G226,";",REPT(" ",99)),298,99)))-1),_Lookup!$A:$B,2,FALSE),"?")&amp;"×"&amp;MID(TRIM(MID(SUBSTITUTE(G226,";",REPT(" ",99)),298,99)),FIND(":",TRIM(MID(SUBSTITUTE(G226,";",REPT(" ",99)),298,99)))+1,99)),IF(TRIM(MID(SUBSTITUTE(G226,";",REPT(" ",99)),397,99))="","",IFERROR(VLOOKUP(--LEFT(TRIM(MID(SUBSTITUTE(G226,";",REPT(" ",99)),397,99)),FIND(":",TRIM(MID(SUBSTITUTE(G226,";",REPT(" ",99)),397,99)))-1),_Lookup!$A:$B,2,FALSE),"?")&amp;"×"&amp;MID(TRIM(MID(SUBSTITUTE(G226,";",REPT(" ",99)),397,99)),FIND(":",TRIM(MID(SUBSTITUTE(G226,";",REPT(" ",99)),397,99)))+1,99))))</f>
        <v/>
      </c>
    </row>
    <row r="227">
      <c r="C227" s="11">
        <f>IFERROR(VLOOKUP(B227,ItemData_Equipment!$A:$B,2,FALSE),"")</f>
        <v/>
      </c>
      <c r="H227" s="11">
        <f>IF(G227="","",TEXTJOIN("; ",TRUE,IF(TRIM(MID(SUBSTITUTE(G227,";",REPT(" ",99)),1,99))="","",IFERROR(VLOOKUP(--LEFT(TRIM(MID(SUBSTITUTE(G227,";",REPT(" ",99)),1,99)),FIND(":",TRIM(MID(SUBSTITUTE(G227,";",REPT(" ",99)),1,99)))-1),_Lookup!$A:$B,2,FALSE),"?")&amp;"×"&amp;MID(TRIM(MID(SUBSTITUTE(G227,";",REPT(" ",99)),1,99)),FIND(":",TRIM(MID(SUBSTITUTE(G227,";",REPT(" ",99)),1,99)))+1,99)),IF(TRIM(MID(SUBSTITUTE(G227,";",REPT(" ",99)),100,99))="","",IFERROR(VLOOKUP(--LEFT(TRIM(MID(SUBSTITUTE(G227,";",REPT(" ",99)),100,99)),FIND(":",TRIM(MID(SUBSTITUTE(G227,";",REPT(" ",99)),100,99)))-1),_Lookup!$A:$B,2,FALSE),"?")&amp;"×"&amp;MID(TRIM(MID(SUBSTITUTE(G227,";",REPT(" ",99)),100,99)),FIND(":",TRIM(MID(SUBSTITUTE(G227,";",REPT(" ",99)),100,99)))+1,99)),IF(TRIM(MID(SUBSTITUTE(G227,";",REPT(" ",99)),199,99))="","",IFERROR(VLOOKUP(--LEFT(TRIM(MID(SUBSTITUTE(G227,";",REPT(" ",99)),199,99)),FIND(":",TRIM(MID(SUBSTITUTE(G227,";",REPT(" ",99)),199,99)))-1),_Lookup!$A:$B,2,FALSE),"?")&amp;"×"&amp;MID(TRIM(MID(SUBSTITUTE(G227,";",REPT(" ",99)),199,99)),FIND(":",TRIM(MID(SUBSTITUTE(G227,";",REPT(" ",99)),199,99)))+1,99)),IF(TRIM(MID(SUBSTITUTE(G227,";",REPT(" ",99)),298,99))="","",IFERROR(VLOOKUP(--LEFT(TRIM(MID(SUBSTITUTE(G227,";",REPT(" ",99)),298,99)),FIND(":",TRIM(MID(SUBSTITUTE(G227,";",REPT(" ",99)),298,99)))-1),_Lookup!$A:$B,2,FALSE),"?")&amp;"×"&amp;MID(TRIM(MID(SUBSTITUTE(G227,";",REPT(" ",99)),298,99)),FIND(":",TRIM(MID(SUBSTITUTE(G227,";",REPT(" ",99)),298,99)))+1,99)),IF(TRIM(MID(SUBSTITUTE(G227,";",REPT(" ",99)),397,99))="","",IFERROR(VLOOKUP(--LEFT(TRIM(MID(SUBSTITUTE(G227,";",REPT(" ",99)),397,99)),FIND(":",TRIM(MID(SUBSTITUTE(G227,";",REPT(" ",99)),397,99)))-1),_Lookup!$A:$B,2,FALSE),"?")&amp;"×"&amp;MID(TRIM(MID(SUBSTITUTE(G227,";",REPT(" ",99)),397,99)),FIND(":",TRIM(MID(SUBSTITUTE(G227,";",REPT(" ",99)),397,99)))+1,99))))</f>
        <v/>
      </c>
    </row>
    <row r="228">
      <c r="C228" s="11">
        <f>IFERROR(VLOOKUP(B228,ItemData_Equipment!$A:$B,2,FALSE),"")</f>
        <v/>
      </c>
      <c r="H228" s="11">
        <f>IF(G228="","",TEXTJOIN("; ",TRUE,IF(TRIM(MID(SUBSTITUTE(G228,";",REPT(" ",99)),1,99))="","",IFERROR(VLOOKUP(--LEFT(TRIM(MID(SUBSTITUTE(G228,";",REPT(" ",99)),1,99)),FIND(":",TRIM(MID(SUBSTITUTE(G228,";",REPT(" ",99)),1,99)))-1),_Lookup!$A:$B,2,FALSE),"?")&amp;"×"&amp;MID(TRIM(MID(SUBSTITUTE(G228,";",REPT(" ",99)),1,99)),FIND(":",TRIM(MID(SUBSTITUTE(G228,";",REPT(" ",99)),1,99)))+1,99)),IF(TRIM(MID(SUBSTITUTE(G228,";",REPT(" ",99)),100,99))="","",IFERROR(VLOOKUP(--LEFT(TRIM(MID(SUBSTITUTE(G228,";",REPT(" ",99)),100,99)),FIND(":",TRIM(MID(SUBSTITUTE(G228,";",REPT(" ",99)),100,99)))-1),_Lookup!$A:$B,2,FALSE),"?")&amp;"×"&amp;MID(TRIM(MID(SUBSTITUTE(G228,";",REPT(" ",99)),100,99)),FIND(":",TRIM(MID(SUBSTITUTE(G228,";",REPT(" ",99)),100,99)))+1,99)),IF(TRIM(MID(SUBSTITUTE(G228,";",REPT(" ",99)),199,99))="","",IFERROR(VLOOKUP(--LEFT(TRIM(MID(SUBSTITUTE(G228,";",REPT(" ",99)),199,99)),FIND(":",TRIM(MID(SUBSTITUTE(G228,";",REPT(" ",99)),199,99)))-1),_Lookup!$A:$B,2,FALSE),"?")&amp;"×"&amp;MID(TRIM(MID(SUBSTITUTE(G228,";",REPT(" ",99)),199,99)),FIND(":",TRIM(MID(SUBSTITUTE(G228,";",REPT(" ",99)),199,99)))+1,99)),IF(TRIM(MID(SUBSTITUTE(G228,";",REPT(" ",99)),298,99))="","",IFERROR(VLOOKUP(--LEFT(TRIM(MID(SUBSTITUTE(G228,";",REPT(" ",99)),298,99)),FIND(":",TRIM(MID(SUBSTITUTE(G228,";",REPT(" ",99)),298,99)))-1),_Lookup!$A:$B,2,FALSE),"?")&amp;"×"&amp;MID(TRIM(MID(SUBSTITUTE(G228,";",REPT(" ",99)),298,99)),FIND(":",TRIM(MID(SUBSTITUTE(G228,";",REPT(" ",99)),298,99)))+1,99)),IF(TRIM(MID(SUBSTITUTE(G228,";",REPT(" ",99)),397,99))="","",IFERROR(VLOOKUP(--LEFT(TRIM(MID(SUBSTITUTE(G228,";",REPT(" ",99)),397,99)),FIND(":",TRIM(MID(SUBSTITUTE(G228,";",REPT(" ",99)),397,99)))-1),_Lookup!$A:$B,2,FALSE),"?")&amp;"×"&amp;MID(TRIM(MID(SUBSTITUTE(G228,";",REPT(" ",99)),397,99)),FIND(":",TRIM(MID(SUBSTITUTE(G228,";",REPT(" ",99)),397,99)))+1,99))))</f>
        <v/>
      </c>
    </row>
    <row r="229">
      <c r="C229" s="11">
        <f>IFERROR(VLOOKUP(B229,ItemData_Equipment!$A:$B,2,FALSE),"")</f>
        <v/>
      </c>
      <c r="H229" s="11">
        <f>IF(G229="","",TEXTJOIN("; ",TRUE,IF(TRIM(MID(SUBSTITUTE(G229,";",REPT(" ",99)),1,99))="","",IFERROR(VLOOKUP(--LEFT(TRIM(MID(SUBSTITUTE(G229,";",REPT(" ",99)),1,99)),FIND(":",TRIM(MID(SUBSTITUTE(G229,";",REPT(" ",99)),1,99)))-1),_Lookup!$A:$B,2,FALSE),"?")&amp;"×"&amp;MID(TRIM(MID(SUBSTITUTE(G229,";",REPT(" ",99)),1,99)),FIND(":",TRIM(MID(SUBSTITUTE(G229,";",REPT(" ",99)),1,99)))+1,99)),IF(TRIM(MID(SUBSTITUTE(G229,";",REPT(" ",99)),100,99))="","",IFERROR(VLOOKUP(--LEFT(TRIM(MID(SUBSTITUTE(G229,";",REPT(" ",99)),100,99)),FIND(":",TRIM(MID(SUBSTITUTE(G229,";",REPT(" ",99)),100,99)))-1),_Lookup!$A:$B,2,FALSE),"?")&amp;"×"&amp;MID(TRIM(MID(SUBSTITUTE(G229,";",REPT(" ",99)),100,99)),FIND(":",TRIM(MID(SUBSTITUTE(G229,";",REPT(" ",99)),100,99)))+1,99)),IF(TRIM(MID(SUBSTITUTE(G229,";",REPT(" ",99)),199,99))="","",IFERROR(VLOOKUP(--LEFT(TRIM(MID(SUBSTITUTE(G229,";",REPT(" ",99)),199,99)),FIND(":",TRIM(MID(SUBSTITUTE(G229,";",REPT(" ",99)),199,99)))-1),_Lookup!$A:$B,2,FALSE),"?")&amp;"×"&amp;MID(TRIM(MID(SUBSTITUTE(G229,";",REPT(" ",99)),199,99)),FIND(":",TRIM(MID(SUBSTITUTE(G229,";",REPT(" ",99)),199,99)))+1,99)),IF(TRIM(MID(SUBSTITUTE(G229,";",REPT(" ",99)),298,99))="","",IFERROR(VLOOKUP(--LEFT(TRIM(MID(SUBSTITUTE(G229,";",REPT(" ",99)),298,99)),FIND(":",TRIM(MID(SUBSTITUTE(G229,";",REPT(" ",99)),298,99)))-1),_Lookup!$A:$B,2,FALSE),"?")&amp;"×"&amp;MID(TRIM(MID(SUBSTITUTE(G229,";",REPT(" ",99)),298,99)),FIND(":",TRIM(MID(SUBSTITUTE(G229,";",REPT(" ",99)),298,99)))+1,99)),IF(TRIM(MID(SUBSTITUTE(G229,";",REPT(" ",99)),397,99))="","",IFERROR(VLOOKUP(--LEFT(TRIM(MID(SUBSTITUTE(G229,";",REPT(" ",99)),397,99)),FIND(":",TRIM(MID(SUBSTITUTE(G229,";",REPT(" ",99)),397,99)))-1),_Lookup!$A:$B,2,FALSE),"?")&amp;"×"&amp;MID(TRIM(MID(SUBSTITUTE(G229,";",REPT(" ",99)),397,99)),FIND(":",TRIM(MID(SUBSTITUTE(G229,";",REPT(" ",99)),397,99)))+1,99))))</f>
        <v/>
      </c>
    </row>
    <row r="230">
      <c r="C230" s="11">
        <f>IFERROR(VLOOKUP(B230,ItemData_Equipment!$A:$B,2,FALSE),"")</f>
        <v/>
      </c>
      <c r="H230" s="11">
        <f>IF(G230="","",TEXTJOIN("; ",TRUE,IF(TRIM(MID(SUBSTITUTE(G230,";",REPT(" ",99)),1,99))="","",IFERROR(VLOOKUP(--LEFT(TRIM(MID(SUBSTITUTE(G230,";",REPT(" ",99)),1,99)),FIND(":",TRIM(MID(SUBSTITUTE(G230,";",REPT(" ",99)),1,99)))-1),_Lookup!$A:$B,2,FALSE),"?")&amp;"×"&amp;MID(TRIM(MID(SUBSTITUTE(G230,";",REPT(" ",99)),1,99)),FIND(":",TRIM(MID(SUBSTITUTE(G230,";",REPT(" ",99)),1,99)))+1,99)),IF(TRIM(MID(SUBSTITUTE(G230,";",REPT(" ",99)),100,99))="","",IFERROR(VLOOKUP(--LEFT(TRIM(MID(SUBSTITUTE(G230,";",REPT(" ",99)),100,99)),FIND(":",TRIM(MID(SUBSTITUTE(G230,";",REPT(" ",99)),100,99)))-1),_Lookup!$A:$B,2,FALSE),"?")&amp;"×"&amp;MID(TRIM(MID(SUBSTITUTE(G230,";",REPT(" ",99)),100,99)),FIND(":",TRIM(MID(SUBSTITUTE(G230,";",REPT(" ",99)),100,99)))+1,99)),IF(TRIM(MID(SUBSTITUTE(G230,";",REPT(" ",99)),199,99))="","",IFERROR(VLOOKUP(--LEFT(TRIM(MID(SUBSTITUTE(G230,";",REPT(" ",99)),199,99)),FIND(":",TRIM(MID(SUBSTITUTE(G230,";",REPT(" ",99)),199,99)))-1),_Lookup!$A:$B,2,FALSE),"?")&amp;"×"&amp;MID(TRIM(MID(SUBSTITUTE(G230,";",REPT(" ",99)),199,99)),FIND(":",TRIM(MID(SUBSTITUTE(G230,";",REPT(" ",99)),199,99)))+1,99)),IF(TRIM(MID(SUBSTITUTE(G230,";",REPT(" ",99)),298,99))="","",IFERROR(VLOOKUP(--LEFT(TRIM(MID(SUBSTITUTE(G230,";",REPT(" ",99)),298,99)),FIND(":",TRIM(MID(SUBSTITUTE(G230,";",REPT(" ",99)),298,99)))-1),_Lookup!$A:$B,2,FALSE),"?")&amp;"×"&amp;MID(TRIM(MID(SUBSTITUTE(G230,";",REPT(" ",99)),298,99)),FIND(":",TRIM(MID(SUBSTITUTE(G230,";",REPT(" ",99)),298,99)))+1,99)),IF(TRIM(MID(SUBSTITUTE(G230,";",REPT(" ",99)),397,99))="","",IFERROR(VLOOKUP(--LEFT(TRIM(MID(SUBSTITUTE(G230,";",REPT(" ",99)),397,99)),FIND(":",TRIM(MID(SUBSTITUTE(G230,";",REPT(" ",99)),397,99)))-1),_Lookup!$A:$B,2,FALSE),"?")&amp;"×"&amp;MID(TRIM(MID(SUBSTITUTE(G230,";",REPT(" ",99)),397,99)),FIND(":",TRIM(MID(SUBSTITUTE(G230,";",REPT(" ",99)),397,99)))+1,99))))</f>
        <v/>
      </c>
    </row>
    <row r="231">
      <c r="C231" s="11">
        <f>IFERROR(VLOOKUP(B231,ItemData_Equipment!$A:$B,2,FALSE),"")</f>
        <v/>
      </c>
      <c r="H231" s="11">
        <f>IF(G231="","",TEXTJOIN("; ",TRUE,IF(TRIM(MID(SUBSTITUTE(G231,";",REPT(" ",99)),1,99))="","",IFERROR(VLOOKUP(--LEFT(TRIM(MID(SUBSTITUTE(G231,";",REPT(" ",99)),1,99)),FIND(":",TRIM(MID(SUBSTITUTE(G231,";",REPT(" ",99)),1,99)))-1),_Lookup!$A:$B,2,FALSE),"?")&amp;"×"&amp;MID(TRIM(MID(SUBSTITUTE(G231,";",REPT(" ",99)),1,99)),FIND(":",TRIM(MID(SUBSTITUTE(G231,";",REPT(" ",99)),1,99)))+1,99)),IF(TRIM(MID(SUBSTITUTE(G231,";",REPT(" ",99)),100,99))="","",IFERROR(VLOOKUP(--LEFT(TRIM(MID(SUBSTITUTE(G231,";",REPT(" ",99)),100,99)),FIND(":",TRIM(MID(SUBSTITUTE(G231,";",REPT(" ",99)),100,99)))-1),_Lookup!$A:$B,2,FALSE),"?")&amp;"×"&amp;MID(TRIM(MID(SUBSTITUTE(G231,";",REPT(" ",99)),100,99)),FIND(":",TRIM(MID(SUBSTITUTE(G231,";",REPT(" ",99)),100,99)))+1,99)),IF(TRIM(MID(SUBSTITUTE(G231,";",REPT(" ",99)),199,99))="","",IFERROR(VLOOKUP(--LEFT(TRIM(MID(SUBSTITUTE(G231,";",REPT(" ",99)),199,99)),FIND(":",TRIM(MID(SUBSTITUTE(G231,";",REPT(" ",99)),199,99)))-1),_Lookup!$A:$B,2,FALSE),"?")&amp;"×"&amp;MID(TRIM(MID(SUBSTITUTE(G231,";",REPT(" ",99)),199,99)),FIND(":",TRIM(MID(SUBSTITUTE(G231,";",REPT(" ",99)),199,99)))+1,99)),IF(TRIM(MID(SUBSTITUTE(G231,";",REPT(" ",99)),298,99))="","",IFERROR(VLOOKUP(--LEFT(TRIM(MID(SUBSTITUTE(G231,";",REPT(" ",99)),298,99)),FIND(":",TRIM(MID(SUBSTITUTE(G231,";",REPT(" ",99)),298,99)))-1),_Lookup!$A:$B,2,FALSE),"?")&amp;"×"&amp;MID(TRIM(MID(SUBSTITUTE(G231,";",REPT(" ",99)),298,99)),FIND(":",TRIM(MID(SUBSTITUTE(G231,";",REPT(" ",99)),298,99)))+1,99)),IF(TRIM(MID(SUBSTITUTE(G231,";",REPT(" ",99)),397,99))="","",IFERROR(VLOOKUP(--LEFT(TRIM(MID(SUBSTITUTE(G231,";",REPT(" ",99)),397,99)),FIND(":",TRIM(MID(SUBSTITUTE(G231,";",REPT(" ",99)),397,99)))-1),_Lookup!$A:$B,2,FALSE),"?")&amp;"×"&amp;MID(TRIM(MID(SUBSTITUTE(G231,";",REPT(" ",99)),397,99)),FIND(":",TRIM(MID(SUBSTITUTE(G231,";",REPT(" ",99)),397,99)))+1,99))))</f>
        <v/>
      </c>
    </row>
    <row r="232">
      <c r="C232" s="11">
        <f>IFERROR(VLOOKUP(B232,ItemData_Equipment!$A:$B,2,FALSE),"")</f>
        <v/>
      </c>
      <c r="H232" s="11">
        <f>IF(G232="","",TEXTJOIN("; ",TRUE,IF(TRIM(MID(SUBSTITUTE(G232,";",REPT(" ",99)),1,99))="","",IFERROR(VLOOKUP(--LEFT(TRIM(MID(SUBSTITUTE(G232,";",REPT(" ",99)),1,99)),FIND(":",TRIM(MID(SUBSTITUTE(G232,";",REPT(" ",99)),1,99)))-1),_Lookup!$A:$B,2,FALSE),"?")&amp;"×"&amp;MID(TRIM(MID(SUBSTITUTE(G232,";",REPT(" ",99)),1,99)),FIND(":",TRIM(MID(SUBSTITUTE(G232,";",REPT(" ",99)),1,99)))+1,99)),IF(TRIM(MID(SUBSTITUTE(G232,";",REPT(" ",99)),100,99))="","",IFERROR(VLOOKUP(--LEFT(TRIM(MID(SUBSTITUTE(G232,";",REPT(" ",99)),100,99)),FIND(":",TRIM(MID(SUBSTITUTE(G232,";",REPT(" ",99)),100,99)))-1),_Lookup!$A:$B,2,FALSE),"?")&amp;"×"&amp;MID(TRIM(MID(SUBSTITUTE(G232,";",REPT(" ",99)),100,99)),FIND(":",TRIM(MID(SUBSTITUTE(G232,";",REPT(" ",99)),100,99)))+1,99)),IF(TRIM(MID(SUBSTITUTE(G232,";",REPT(" ",99)),199,99))="","",IFERROR(VLOOKUP(--LEFT(TRIM(MID(SUBSTITUTE(G232,";",REPT(" ",99)),199,99)),FIND(":",TRIM(MID(SUBSTITUTE(G232,";",REPT(" ",99)),199,99)))-1),_Lookup!$A:$B,2,FALSE),"?")&amp;"×"&amp;MID(TRIM(MID(SUBSTITUTE(G232,";",REPT(" ",99)),199,99)),FIND(":",TRIM(MID(SUBSTITUTE(G232,";",REPT(" ",99)),199,99)))+1,99)),IF(TRIM(MID(SUBSTITUTE(G232,";",REPT(" ",99)),298,99))="","",IFERROR(VLOOKUP(--LEFT(TRIM(MID(SUBSTITUTE(G232,";",REPT(" ",99)),298,99)),FIND(":",TRIM(MID(SUBSTITUTE(G232,";",REPT(" ",99)),298,99)))-1),_Lookup!$A:$B,2,FALSE),"?")&amp;"×"&amp;MID(TRIM(MID(SUBSTITUTE(G232,";",REPT(" ",99)),298,99)),FIND(":",TRIM(MID(SUBSTITUTE(G232,";",REPT(" ",99)),298,99)))+1,99)),IF(TRIM(MID(SUBSTITUTE(G232,";",REPT(" ",99)),397,99))="","",IFERROR(VLOOKUP(--LEFT(TRIM(MID(SUBSTITUTE(G232,";",REPT(" ",99)),397,99)),FIND(":",TRIM(MID(SUBSTITUTE(G232,";",REPT(" ",99)),397,99)))-1),_Lookup!$A:$B,2,FALSE),"?")&amp;"×"&amp;MID(TRIM(MID(SUBSTITUTE(G232,";",REPT(" ",99)),397,99)),FIND(":",TRIM(MID(SUBSTITUTE(G232,";",REPT(" ",99)),397,99)))+1,99))))</f>
        <v/>
      </c>
    </row>
    <row r="233">
      <c r="C233" s="11">
        <f>IFERROR(VLOOKUP(B233,ItemData_Equipment!$A:$B,2,FALSE),"")</f>
        <v/>
      </c>
      <c r="H233" s="11">
        <f>IF(G233="","",TEXTJOIN("; ",TRUE,IF(TRIM(MID(SUBSTITUTE(G233,";",REPT(" ",99)),1,99))="","",IFERROR(VLOOKUP(--LEFT(TRIM(MID(SUBSTITUTE(G233,";",REPT(" ",99)),1,99)),FIND(":",TRIM(MID(SUBSTITUTE(G233,";",REPT(" ",99)),1,99)))-1),_Lookup!$A:$B,2,FALSE),"?")&amp;"×"&amp;MID(TRIM(MID(SUBSTITUTE(G233,";",REPT(" ",99)),1,99)),FIND(":",TRIM(MID(SUBSTITUTE(G233,";",REPT(" ",99)),1,99)))+1,99)),IF(TRIM(MID(SUBSTITUTE(G233,";",REPT(" ",99)),100,99))="","",IFERROR(VLOOKUP(--LEFT(TRIM(MID(SUBSTITUTE(G233,";",REPT(" ",99)),100,99)),FIND(":",TRIM(MID(SUBSTITUTE(G233,";",REPT(" ",99)),100,99)))-1),_Lookup!$A:$B,2,FALSE),"?")&amp;"×"&amp;MID(TRIM(MID(SUBSTITUTE(G233,";",REPT(" ",99)),100,99)),FIND(":",TRIM(MID(SUBSTITUTE(G233,";",REPT(" ",99)),100,99)))+1,99)),IF(TRIM(MID(SUBSTITUTE(G233,";",REPT(" ",99)),199,99))="","",IFERROR(VLOOKUP(--LEFT(TRIM(MID(SUBSTITUTE(G233,";",REPT(" ",99)),199,99)),FIND(":",TRIM(MID(SUBSTITUTE(G233,";",REPT(" ",99)),199,99)))-1),_Lookup!$A:$B,2,FALSE),"?")&amp;"×"&amp;MID(TRIM(MID(SUBSTITUTE(G233,";",REPT(" ",99)),199,99)),FIND(":",TRIM(MID(SUBSTITUTE(G233,";",REPT(" ",99)),199,99)))+1,99)),IF(TRIM(MID(SUBSTITUTE(G233,";",REPT(" ",99)),298,99))="","",IFERROR(VLOOKUP(--LEFT(TRIM(MID(SUBSTITUTE(G233,";",REPT(" ",99)),298,99)),FIND(":",TRIM(MID(SUBSTITUTE(G233,";",REPT(" ",99)),298,99)))-1),_Lookup!$A:$B,2,FALSE),"?")&amp;"×"&amp;MID(TRIM(MID(SUBSTITUTE(G233,";",REPT(" ",99)),298,99)),FIND(":",TRIM(MID(SUBSTITUTE(G233,";",REPT(" ",99)),298,99)))+1,99)),IF(TRIM(MID(SUBSTITUTE(G233,";",REPT(" ",99)),397,99))="","",IFERROR(VLOOKUP(--LEFT(TRIM(MID(SUBSTITUTE(G233,";",REPT(" ",99)),397,99)),FIND(":",TRIM(MID(SUBSTITUTE(G233,";",REPT(" ",99)),397,99)))-1),_Lookup!$A:$B,2,FALSE),"?")&amp;"×"&amp;MID(TRIM(MID(SUBSTITUTE(G233,";",REPT(" ",99)),397,99)),FIND(":",TRIM(MID(SUBSTITUTE(G233,";",REPT(" ",99)),397,99)))+1,99))))</f>
        <v/>
      </c>
    </row>
    <row r="234">
      <c r="C234" s="11">
        <f>IFERROR(VLOOKUP(B234,ItemData_Equipment!$A:$B,2,FALSE),"")</f>
        <v/>
      </c>
      <c r="H234" s="11">
        <f>IF(G234="","",TEXTJOIN("; ",TRUE,IF(TRIM(MID(SUBSTITUTE(G234,";",REPT(" ",99)),1,99))="","",IFERROR(VLOOKUP(--LEFT(TRIM(MID(SUBSTITUTE(G234,";",REPT(" ",99)),1,99)),FIND(":",TRIM(MID(SUBSTITUTE(G234,";",REPT(" ",99)),1,99)))-1),_Lookup!$A:$B,2,FALSE),"?")&amp;"×"&amp;MID(TRIM(MID(SUBSTITUTE(G234,";",REPT(" ",99)),1,99)),FIND(":",TRIM(MID(SUBSTITUTE(G234,";",REPT(" ",99)),1,99)))+1,99)),IF(TRIM(MID(SUBSTITUTE(G234,";",REPT(" ",99)),100,99))="","",IFERROR(VLOOKUP(--LEFT(TRIM(MID(SUBSTITUTE(G234,";",REPT(" ",99)),100,99)),FIND(":",TRIM(MID(SUBSTITUTE(G234,";",REPT(" ",99)),100,99)))-1),_Lookup!$A:$B,2,FALSE),"?")&amp;"×"&amp;MID(TRIM(MID(SUBSTITUTE(G234,";",REPT(" ",99)),100,99)),FIND(":",TRIM(MID(SUBSTITUTE(G234,";",REPT(" ",99)),100,99)))+1,99)),IF(TRIM(MID(SUBSTITUTE(G234,";",REPT(" ",99)),199,99))="","",IFERROR(VLOOKUP(--LEFT(TRIM(MID(SUBSTITUTE(G234,";",REPT(" ",99)),199,99)),FIND(":",TRIM(MID(SUBSTITUTE(G234,";",REPT(" ",99)),199,99)))-1),_Lookup!$A:$B,2,FALSE),"?")&amp;"×"&amp;MID(TRIM(MID(SUBSTITUTE(G234,";",REPT(" ",99)),199,99)),FIND(":",TRIM(MID(SUBSTITUTE(G234,";",REPT(" ",99)),199,99)))+1,99)),IF(TRIM(MID(SUBSTITUTE(G234,";",REPT(" ",99)),298,99))="","",IFERROR(VLOOKUP(--LEFT(TRIM(MID(SUBSTITUTE(G234,";",REPT(" ",99)),298,99)),FIND(":",TRIM(MID(SUBSTITUTE(G234,";",REPT(" ",99)),298,99)))-1),_Lookup!$A:$B,2,FALSE),"?")&amp;"×"&amp;MID(TRIM(MID(SUBSTITUTE(G234,";",REPT(" ",99)),298,99)),FIND(":",TRIM(MID(SUBSTITUTE(G234,";",REPT(" ",99)),298,99)))+1,99)),IF(TRIM(MID(SUBSTITUTE(G234,";",REPT(" ",99)),397,99))="","",IFERROR(VLOOKUP(--LEFT(TRIM(MID(SUBSTITUTE(G234,";",REPT(" ",99)),397,99)),FIND(":",TRIM(MID(SUBSTITUTE(G234,";",REPT(" ",99)),397,99)))-1),_Lookup!$A:$B,2,FALSE),"?")&amp;"×"&amp;MID(TRIM(MID(SUBSTITUTE(G234,";",REPT(" ",99)),397,99)),FIND(":",TRIM(MID(SUBSTITUTE(G234,";",REPT(" ",99)),397,99)))+1,99))))</f>
        <v/>
      </c>
    </row>
    <row r="235">
      <c r="C235" s="11">
        <f>IFERROR(VLOOKUP(B235,ItemData_Equipment!$A:$B,2,FALSE),"")</f>
        <v/>
      </c>
      <c r="H235" s="11">
        <f>IF(G235="","",TEXTJOIN("; ",TRUE,IF(TRIM(MID(SUBSTITUTE(G235,";",REPT(" ",99)),1,99))="","",IFERROR(VLOOKUP(--LEFT(TRIM(MID(SUBSTITUTE(G235,";",REPT(" ",99)),1,99)),FIND(":",TRIM(MID(SUBSTITUTE(G235,";",REPT(" ",99)),1,99)))-1),_Lookup!$A:$B,2,FALSE),"?")&amp;"×"&amp;MID(TRIM(MID(SUBSTITUTE(G235,";",REPT(" ",99)),1,99)),FIND(":",TRIM(MID(SUBSTITUTE(G235,";",REPT(" ",99)),1,99)))+1,99)),IF(TRIM(MID(SUBSTITUTE(G235,";",REPT(" ",99)),100,99))="","",IFERROR(VLOOKUP(--LEFT(TRIM(MID(SUBSTITUTE(G235,";",REPT(" ",99)),100,99)),FIND(":",TRIM(MID(SUBSTITUTE(G235,";",REPT(" ",99)),100,99)))-1),_Lookup!$A:$B,2,FALSE),"?")&amp;"×"&amp;MID(TRIM(MID(SUBSTITUTE(G235,";",REPT(" ",99)),100,99)),FIND(":",TRIM(MID(SUBSTITUTE(G235,";",REPT(" ",99)),100,99)))+1,99)),IF(TRIM(MID(SUBSTITUTE(G235,";",REPT(" ",99)),199,99))="","",IFERROR(VLOOKUP(--LEFT(TRIM(MID(SUBSTITUTE(G235,";",REPT(" ",99)),199,99)),FIND(":",TRIM(MID(SUBSTITUTE(G235,";",REPT(" ",99)),199,99)))-1),_Lookup!$A:$B,2,FALSE),"?")&amp;"×"&amp;MID(TRIM(MID(SUBSTITUTE(G235,";",REPT(" ",99)),199,99)),FIND(":",TRIM(MID(SUBSTITUTE(G235,";",REPT(" ",99)),199,99)))+1,99)),IF(TRIM(MID(SUBSTITUTE(G235,";",REPT(" ",99)),298,99))="","",IFERROR(VLOOKUP(--LEFT(TRIM(MID(SUBSTITUTE(G235,";",REPT(" ",99)),298,99)),FIND(":",TRIM(MID(SUBSTITUTE(G235,";",REPT(" ",99)),298,99)))-1),_Lookup!$A:$B,2,FALSE),"?")&amp;"×"&amp;MID(TRIM(MID(SUBSTITUTE(G235,";",REPT(" ",99)),298,99)),FIND(":",TRIM(MID(SUBSTITUTE(G235,";",REPT(" ",99)),298,99)))+1,99)),IF(TRIM(MID(SUBSTITUTE(G235,";",REPT(" ",99)),397,99))="","",IFERROR(VLOOKUP(--LEFT(TRIM(MID(SUBSTITUTE(G235,";",REPT(" ",99)),397,99)),FIND(":",TRIM(MID(SUBSTITUTE(G235,";",REPT(" ",99)),397,99)))-1),_Lookup!$A:$B,2,FALSE),"?")&amp;"×"&amp;MID(TRIM(MID(SUBSTITUTE(G235,";",REPT(" ",99)),397,99)),FIND(":",TRIM(MID(SUBSTITUTE(G235,";",REPT(" ",99)),397,99)))+1,99))))</f>
        <v/>
      </c>
    </row>
    <row r="236">
      <c r="C236" s="11">
        <f>IFERROR(VLOOKUP(B236,ItemData_Equipment!$A:$B,2,FALSE),"")</f>
        <v/>
      </c>
      <c r="H236" s="11">
        <f>IF(G236="","",TEXTJOIN("; ",TRUE,IF(TRIM(MID(SUBSTITUTE(G236,";",REPT(" ",99)),1,99))="","",IFERROR(VLOOKUP(--LEFT(TRIM(MID(SUBSTITUTE(G236,";",REPT(" ",99)),1,99)),FIND(":",TRIM(MID(SUBSTITUTE(G236,";",REPT(" ",99)),1,99)))-1),_Lookup!$A:$B,2,FALSE),"?")&amp;"×"&amp;MID(TRIM(MID(SUBSTITUTE(G236,";",REPT(" ",99)),1,99)),FIND(":",TRIM(MID(SUBSTITUTE(G236,";",REPT(" ",99)),1,99)))+1,99)),IF(TRIM(MID(SUBSTITUTE(G236,";",REPT(" ",99)),100,99))="","",IFERROR(VLOOKUP(--LEFT(TRIM(MID(SUBSTITUTE(G236,";",REPT(" ",99)),100,99)),FIND(":",TRIM(MID(SUBSTITUTE(G236,";",REPT(" ",99)),100,99)))-1),_Lookup!$A:$B,2,FALSE),"?")&amp;"×"&amp;MID(TRIM(MID(SUBSTITUTE(G236,";",REPT(" ",99)),100,99)),FIND(":",TRIM(MID(SUBSTITUTE(G236,";",REPT(" ",99)),100,99)))+1,99)),IF(TRIM(MID(SUBSTITUTE(G236,";",REPT(" ",99)),199,99))="","",IFERROR(VLOOKUP(--LEFT(TRIM(MID(SUBSTITUTE(G236,";",REPT(" ",99)),199,99)),FIND(":",TRIM(MID(SUBSTITUTE(G236,";",REPT(" ",99)),199,99)))-1),_Lookup!$A:$B,2,FALSE),"?")&amp;"×"&amp;MID(TRIM(MID(SUBSTITUTE(G236,";",REPT(" ",99)),199,99)),FIND(":",TRIM(MID(SUBSTITUTE(G236,";",REPT(" ",99)),199,99)))+1,99)),IF(TRIM(MID(SUBSTITUTE(G236,";",REPT(" ",99)),298,99))="","",IFERROR(VLOOKUP(--LEFT(TRIM(MID(SUBSTITUTE(G236,";",REPT(" ",99)),298,99)),FIND(":",TRIM(MID(SUBSTITUTE(G236,";",REPT(" ",99)),298,99)))-1),_Lookup!$A:$B,2,FALSE),"?")&amp;"×"&amp;MID(TRIM(MID(SUBSTITUTE(G236,";",REPT(" ",99)),298,99)),FIND(":",TRIM(MID(SUBSTITUTE(G236,";",REPT(" ",99)),298,99)))+1,99)),IF(TRIM(MID(SUBSTITUTE(G236,";",REPT(" ",99)),397,99))="","",IFERROR(VLOOKUP(--LEFT(TRIM(MID(SUBSTITUTE(G236,";",REPT(" ",99)),397,99)),FIND(":",TRIM(MID(SUBSTITUTE(G236,";",REPT(" ",99)),397,99)))-1),_Lookup!$A:$B,2,FALSE),"?")&amp;"×"&amp;MID(TRIM(MID(SUBSTITUTE(G236,";",REPT(" ",99)),397,99)),FIND(":",TRIM(MID(SUBSTITUTE(G236,";",REPT(" ",99)),397,99)))+1,99))))</f>
        <v/>
      </c>
    </row>
    <row r="237">
      <c r="C237" s="11">
        <f>IFERROR(VLOOKUP(B237,ItemData_Equipment!$A:$B,2,FALSE),"")</f>
        <v/>
      </c>
      <c r="H237" s="11">
        <f>IF(G237="","",TEXTJOIN("; ",TRUE,IF(TRIM(MID(SUBSTITUTE(G237,";",REPT(" ",99)),1,99))="","",IFERROR(VLOOKUP(--LEFT(TRIM(MID(SUBSTITUTE(G237,";",REPT(" ",99)),1,99)),FIND(":",TRIM(MID(SUBSTITUTE(G237,";",REPT(" ",99)),1,99)))-1),_Lookup!$A:$B,2,FALSE),"?")&amp;"×"&amp;MID(TRIM(MID(SUBSTITUTE(G237,";",REPT(" ",99)),1,99)),FIND(":",TRIM(MID(SUBSTITUTE(G237,";",REPT(" ",99)),1,99)))+1,99)),IF(TRIM(MID(SUBSTITUTE(G237,";",REPT(" ",99)),100,99))="","",IFERROR(VLOOKUP(--LEFT(TRIM(MID(SUBSTITUTE(G237,";",REPT(" ",99)),100,99)),FIND(":",TRIM(MID(SUBSTITUTE(G237,";",REPT(" ",99)),100,99)))-1),_Lookup!$A:$B,2,FALSE),"?")&amp;"×"&amp;MID(TRIM(MID(SUBSTITUTE(G237,";",REPT(" ",99)),100,99)),FIND(":",TRIM(MID(SUBSTITUTE(G237,";",REPT(" ",99)),100,99)))+1,99)),IF(TRIM(MID(SUBSTITUTE(G237,";",REPT(" ",99)),199,99))="","",IFERROR(VLOOKUP(--LEFT(TRIM(MID(SUBSTITUTE(G237,";",REPT(" ",99)),199,99)),FIND(":",TRIM(MID(SUBSTITUTE(G237,";",REPT(" ",99)),199,99)))-1),_Lookup!$A:$B,2,FALSE),"?")&amp;"×"&amp;MID(TRIM(MID(SUBSTITUTE(G237,";",REPT(" ",99)),199,99)),FIND(":",TRIM(MID(SUBSTITUTE(G237,";",REPT(" ",99)),199,99)))+1,99)),IF(TRIM(MID(SUBSTITUTE(G237,";",REPT(" ",99)),298,99))="","",IFERROR(VLOOKUP(--LEFT(TRIM(MID(SUBSTITUTE(G237,";",REPT(" ",99)),298,99)),FIND(":",TRIM(MID(SUBSTITUTE(G237,";",REPT(" ",99)),298,99)))-1),_Lookup!$A:$B,2,FALSE),"?")&amp;"×"&amp;MID(TRIM(MID(SUBSTITUTE(G237,";",REPT(" ",99)),298,99)),FIND(":",TRIM(MID(SUBSTITUTE(G237,";",REPT(" ",99)),298,99)))+1,99)),IF(TRIM(MID(SUBSTITUTE(G237,";",REPT(" ",99)),397,99))="","",IFERROR(VLOOKUP(--LEFT(TRIM(MID(SUBSTITUTE(G237,";",REPT(" ",99)),397,99)),FIND(":",TRIM(MID(SUBSTITUTE(G237,";",REPT(" ",99)),397,99)))-1),_Lookup!$A:$B,2,FALSE),"?")&amp;"×"&amp;MID(TRIM(MID(SUBSTITUTE(G237,";",REPT(" ",99)),397,99)),FIND(":",TRIM(MID(SUBSTITUTE(G237,";",REPT(" ",99)),397,99)))+1,99))))</f>
        <v/>
      </c>
    </row>
    <row r="238">
      <c r="C238" s="11">
        <f>IFERROR(VLOOKUP(B238,ItemData_Equipment!$A:$B,2,FALSE),"")</f>
        <v/>
      </c>
      <c r="H238" s="11">
        <f>IF(G238="","",TEXTJOIN("; ",TRUE,IF(TRIM(MID(SUBSTITUTE(G238,";",REPT(" ",99)),1,99))="","",IFERROR(VLOOKUP(--LEFT(TRIM(MID(SUBSTITUTE(G238,";",REPT(" ",99)),1,99)),FIND(":",TRIM(MID(SUBSTITUTE(G238,";",REPT(" ",99)),1,99)))-1),_Lookup!$A:$B,2,FALSE),"?")&amp;"×"&amp;MID(TRIM(MID(SUBSTITUTE(G238,";",REPT(" ",99)),1,99)),FIND(":",TRIM(MID(SUBSTITUTE(G238,";",REPT(" ",99)),1,99)))+1,99)),IF(TRIM(MID(SUBSTITUTE(G238,";",REPT(" ",99)),100,99))="","",IFERROR(VLOOKUP(--LEFT(TRIM(MID(SUBSTITUTE(G238,";",REPT(" ",99)),100,99)),FIND(":",TRIM(MID(SUBSTITUTE(G238,";",REPT(" ",99)),100,99)))-1),_Lookup!$A:$B,2,FALSE),"?")&amp;"×"&amp;MID(TRIM(MID(SUBSTITUTE(G238,";",REPT(" ",99)),100,99)),FIND(":",TRIM(MID(SUBSTITUTE(G238,";",REPT(" ",99)),100,99)))+1,99)),IF(TRIM(MID(SUBSTITUTE(G238,";",REPT(" ",99)),199,99))="","",IFERROR(VLOOKUP(--LEFT(TRIM(MID(SUBSTITUTE(G238,";",REPT(" ",99)),199,99)),FIND(":",TRIM(MID(SUBSTITUTE(G238,";",REPT(" ",99)),199,99)))-1),_Lookup!$A:$B,2,FALSE),"?")&amp;"×"&amp;MID(TRIM(MID(SUBSTITUTE(G238,";",REPT(" ",99)),199,99)),FIND(":",TRIM(MID(SUBSTITUTE(G238,";",REPT(" ",99)),199,99)))+1,99)),IF(TRIM(MID(SUBSTITUTE(G238,";",REPT(" ",99)),298,99))="","",IFERROR(VLOOKUP(--LEFT(TRIM(MID(SUBSTITUTE(G238,";",REPT(" ",99)),298,99)),FIND(":",TRIM(MID(SUBSTITUTE(G238,";",REPT(" ",99)),298,99)))-1),_Lookup!$A:$B,2,FALSE),"?")&amp;"×"&amp;MID(TRIM(MID(SUBSTITUTE(G238,";",REPT(" ",99)),298,99)),FIND(":",TRIM(MID(SUBSTITUTE(G238,";",REPT(" ",99)),298,99)))+1,99)),IF(TRIM(MID(SUBSTITUTE(G238,";",REPT(" ",99)),397,99))="","",IFERROR(VLOOKUP(--LEFT(TRIM(MID(SUBSTITUTE(G238,";",REPT(" ",99)),397,99)),FIND(":",TRIM(MID(SUBSTITUTE(G238,";",REPT(" ",99)),397,99)))-1),_Lookup!$A:$B,2,FALSE),"?")&amp;"×"&amp;MID(TRIM(MID(SUBSTITUTE(G238,";",REPT(" ",99)),397,99)),FIND(":",TRIM(MID(SUBSTITUTE(G238,";",REPT(" ",99)),397,99)))+1,99))))</f>
        <v/>
      </c>
    </row>
    <row r="239">
      <c r="C239" s="11">
        <f>IFERROR(VLOOKUP(B239,ItemData_Equipment!$A:$B,2,FALSE),"")</f>
        <v/>
      </c>
      <c r="H239" s="11">
        <f>IF(G239="","",TEXTJOIN("; ",TRUE,IF(TRIM(MID(SUBSTITUTE(G239,";",REPT(" ",99)),1,99))="","",IFERROR(VLOOKUP(--LEFT(TRIM(MID(SUBSTITUTE(G239,";",REPT(" ",99)),1,99)),FIND(":",TRIM(MID(SUBSTITUTE(G239,";",REPT(" ",99)),1,99)))-1),_Lookup!$A:$B,2,FALSE),"?")&amp;"×"&amp;MID(TRIM(MID(SUBSTITUTE(G239,";",REPT(" ",99)),1,99)),FIND(":",TRIM(MID(SUBSTITUTE(G239,";",REPT(" ",99)),1,99)))+1,99)),IF(TRIM(MID(SUBSTITUTE(G239,";",REPT(" ",99)),100,99))="","",IFERROR(VLOOKUP(--LEFT(TRIM(MID(SUBSTITUTE(G239,";",REPT(" ",99)),100,99)),FIND(":",TRIM(MID(SUBSTITUTE(G239,";",REPT(" ",99)),100,99)))-1),_Lookup!$A:$B,2,FALSE),"?")&amp;"×"&amp;MID(TRIM(MID(SUBSTITUTE(G239,";",REPT(" ",99)),100,99)),FIND(":",TRIM(MID(SUBSTITUTE(G239,";",REPT(" ",99)),100,99)))+1,99)),IF(TRIM(MID(SUBSTITUTE(G239,";",REPT(" ",99)),199,99))="","",IFERROR(VLOOKUP(--LEFT(TRIM(MID(SUBSTITUTE(G239,";",REPT(" ",99)),199,99)),FIND(":",TRIM(MID(SUBSTITUTE(G239,";",REPT(" ",99)),199,99)))-1),_Lookup!$A:$B,2,FALSE),"?")&amp;"×"&amp;MID(TRIM(MID(SUBSTITUTE(G239,";",REPT(" ",99)),199,99)),FIND(":",TRIM(MID(SUBSTITUTE(G239,";",REPT(" ",99)),199,99)))+1,99)),IF(TRIM(MID(SUBSTITUTE(G239,";",REPT(" ",99)),298,99))="","",IFERROR(VLOOKUP(--LEFT(TRIM(MID(SUBSTITUTE(G239,";",REPT(" ",99)),298,99)),FIND(":",TRIM(MID(SUBSTITUTE(G239,";",REPT(" ",99)),298,99)))-1),_Lookup!$A:$B,2,FALSE),"?")&amp;"×"&amp;MID(TRIM(MID(SUBSTITUTE(G239,";",REPT(" ",99)),298,99)),FIND(":",TRIM(MID(SUBSTITUTE(G239,";",REPT(" ",99)),298,99)))+1,99)),IF(TRIM(MID(SUBSTITUTE(G239,";",REPT(" ",99)),397,99))="","",IFERROR(VLOOKUP(--LEFT(TRIM(MID(SUBSTITUTE(G239,";",REPT(" ",99)),397,99)),FIND(":",TRIM(MID(SUBSTITUTE(G239,";",REPT(" ",99)),397,99)))-1),_Lookup!$A:$B,2,FALSE),"?")&amp;"×"&amp;MID(TRIM(MID(SUBSTITUTE(G239,";",REPT(" ",99)),397,99)),FIND(":",TRIM(MID(SUBSTITUTE(G239,";",REPT(" ",99)),397,99)))+1,99))))</f>
        <v/>
      </c>
    </row>
    <row r="240">
      <c r="C240" s="11">
        <f>IFERROR(VLOOKUP(B240,ItemData_Equipment!$A:$B,2,FALSE),"")</f>
        <v/>
      </c>
      <c r="H240" s="11">
        <f>IF(G240="","",TEXTJOIN("; ",TRUE,IF(TRIM(MID(SUBSTITUTE(G240,";",REPT(" ",99)),1,99))="","",IFERROR(VLOOKUP(--LEFT(TRIM(MID(SUBSTITUTE(G240,";",REPT(" ",99)),1,99)),FIND(":",TRIM(MID(SUBSTITUTE(G240,";",REPT(" ",99)),1,99)))-1),_Lookup!$A:$B,2,FALSE),"?")&amp;"×"&amp;MID(TRIM(MID(SUBSTITUTE(G240,";",REPT(" ",99)),1,99)),FIND(":",TRIM(MID(SUBSTITUTE(G240,";",REPT(" ",99)),1,99)))+1,99)),IF(TRIM(MID(SUBSTITUTE(G240,";",REPT(" ",99)),100,99))="","",IFERROR(VLOOKUP(--LEFT(TRIM(MID(SUBSTITUTE(G240,";",REPT(" ",99)),100,99)),FIND(":",TRIM(MID(SUBSTITUTE(G240,";",REPT(" ",99)),100,99)))-1),_Lookup!$A:$B,2,FALSE),"?")&amp;"×"&amp;MID(TRIM(MID(SUBSTITUTE(G240,";",REPT(" ",99)),100,99)),FIND(":",TRIM(MID(SUBSTITUTE(G240,";",REPT(" ",99)),100,99)))+1,99)),IF(TRIM(MID(SUBSTITUTE(G240,";",REPT(" ",99)),199,99))="","",IFERROR(VLOOKUP(--LEFT(TRIM(MID(SUBSTITUTE(G240,";",REPT(" ",99)),199,99)),FIND(":",TRIM(MID(SUBSTITUTE(G240,";",REPT(" ",99)),199,99)))-1),_Lookup!$A:$B,2,FALSE),"?")&amp;"×"&amp;MID(TRIM(MID(SUBSTITUTE(G240,";",REPT(" ",99)),199,99)),FIND(":",TRIM(MID(SUBSTITUTE(G240,";",REPT(" ",99)),199,99)))+1,99)),IF(TRIM(MID(SUBSTITUTE(G240,";",REPT(" ",99)),298,99))="","",IFERROR(VLOOKUP(--LEFT(TRIM(MID(SUBSTITUTE(G240,";",REPT(" ",99)),298,99)),FIND(":",TRIM(MID(SUBSTITUTE(G240,";",REPT(" ",99)),298,99)))-1),_Lookup!$A:$B,2,FALSE),"?")&amp;"×"&amp;MID(TRIM(MID(SUBSTITUTE(G240,";",REPT(" ",99)),298,99)),FIND(":",TRIM(MID(SUBSTITUTE(G240,";",REPT(" ",99)),298,99)))+1,99)),IF(TRIM(MID(SUBSTITUTE(G240,";",REPT(" ",99)),397,99))="","",IFERROR(VLOOKUP(--LEFT(TRIM(MID(SUBSTITUTE(G240,";",REPT(" ",99)),397,99)),FIND(":",TRIM(MID(SUBSTITUTE(G240,";",REPT(" ",99)),397,99)))-1),_Lookup!$A:$B,2,FALSE),"?")&amp;"×"&amp;MID(TRIM(MID(SUBSTITUTE(G240,";",REPT(" ",99)),397,99)),FIND(":",TRIM(MID(SUBSTITUTE(G240,";",REPT(" ",99)),397,99)))+1,99))))</f>
        <v/>
      </c>
    </row>
    <row r="241">
      <c r="C241" s="11">
        <f>IFERROR(VLOOKUP(B241,ItemData_Equipment!$A:$B,2,FALSE),"")</f>
        <v/>
      </c>
      <c r="H241" s="11">
        <f>IF(G241="","",TEXTJOIN("; ",TRUE,IF(TRIM(MID(SUBSTITUTE(G241,";",REPT(" ",99)),1,99))="","",IFERROR(VLOOKUP(--LEFT(TRIM(MID(SUBSTITUTE(G241,";",REPT(" ",99)),1,99)),FIND(":",TRIM(MID(SUBSTITUTE(G241,";",REPT(" ",99)),1,99)))-1),_Lookup!$A:$B,2,FALSE),"?")&amp;"×"&amp;MID(TRIM(MID(SUBSTITUTE(G241,";",REPT(" ",99)),1,99)),FIND(":",TRIM(MID(SUBSTITUTE(G241,";",REPT(" ",99)),1,99)))+1,99)),IF(TRIM(MID(SUBSTITUTE(G241,";",REPT(" ",99)),100,99))="","",IFERROR(VLOOKUP(--LEFT(TRIM(MID(SUBSTITUTE(G241,";",REPT(" ",99)),100,99)),FIND(":",TRIM(MID(SUBSTITUTE(G241,";",REPT(" ",99)),100,99)))-1),_Lookup!$A:$B,2,FALSE),"?")&amp;"×"&amp;MID(TRIM(MID(SUBSTITUTE(G241,";",REPT(" ",99)),100,99)),FIND(":",TRIM(MID(SUBSTITUTE(G241,";",REPT(" ",99)),100,99)))+1,99)),IF(TRIM(MID(SUBSTITUTE(G241,";",REPT(" ",99)),199,99))="","",IFERROR(VLOOKUP(--LEFT(TRIM(MID(SUBSTITUTE(G241,";",REPT(" ",99)),199,99)),FIND(":",TRIM(MID(SUBSTITUTE(G241,";",REPT(" ",99)),199,99)))-1),_Lookup!$A:$B,2,FALSE),"?")&amp;"×"&amp;MID(TRIM(MID(SUBSTITUTE(G241,";",REPT(" ",99)),199,99)),FIND(":",TRIM(MID(SUBSTITUTE(G241,";",REPT(" ",99)),199,99)))+1,99)),IF(TRIM(MID(SUBSTITUTE(G241,";",REPT(" ",99)),298,99))="","",IFERROR(VLOOKUP(--LEFT(TRIM(MID(SUBSTITUTE(G241,";",REPT(" ",99)),298,99)),FIND(":",TRIM(MID(SUBSTITUTE(G241,";",REPT(" ",99)),298,99)))-1),_Lookup!$A:$B,2,FALSE),"?")&amp;"×"&amp;MID(TRIM(MID(SUBSTITUTE(G241,";",REPT(" ",99)),298,99)),FIND(":",TRIM(MID(SUBSTITUTE(G241,";",REPT(" ",99)),298,99)))+1,99)),IF(TRIM(MID(SUBSTITUTE(G241,";",REPT(" ",99)),397,99))="","",IFERROR(VLOOKUP(--LEFT(TRIM(MID(SUBSTITUTE(G241,";",REPT(" ",99)),397,99)),FIND(":",TRIM(MID(SUBSTITUTE(G241,";",REPT(" ",99)),397,99)))-1),_Lookup!$A:$B,2,FALSE),"?")&amp;"×"&amp;MID(TRIM(MID(SUBSTITUTE(G241,";",REPT(" ",99)),397,99)),FIND(":",TRIM(MID(SUBSTITUTE(G241,";",REPT(" ",99)),397,99)))+1,99))))</f>
        <v/>
      </c>
    </row>
    <row r="242">
      <c r="C242" s="11">
        <f>IFERROR(VLOOKUP(B242,ItemData_Equipment!$A:$B,2,FALSE),"")</f>
        <v/>
      </c>
      <c r="H242" s="11">
        <f>IF(G242="","",TEXTJOIN("; ",TRUE,IF(TRIM(MID(SUBSTITUTE(G242,";",REPT(" ",99)),1,99))="","",IFERROR(VLOOKUP(--LEFT(TRIM(MID(SUBSTITUTE(G242,";",REPT(" ",99)),1,99)),FIND(":",TRIM(MID(SUBSTITUTE(G242,";",REPT(" ",99)),1,99)))-1),_Lookup!$A:$B,2,FALSE),"?")&amp;"×"&amp;MID(TRIM(MID(SUBSTITUTE(G242,";",REPT(" ",99)),1,99)),FIND(":",TRIM(MID(SUBSTITUTE(G242,";",REPT(" ",99)),1,99)))+1,99)),IF(TRIM(MID(SUBSTITUTE(G242,";",REPT(" ",99)),100,99))="","",IFERROR(VLOOKUP(--LEFT(TRIM(MID(SUBSTITUTE(G242,";",REPT(" ",99)),100,99)),FIND(":",TRIM(MID(SUBSTITUTE(G242,";",REPT(" ",99)),100,99)))-1),_Lookup!$A:$B,2,FALSE),"?")&amp;"×"&amp;MID(TRIM(MID(SUBSTITUTE(G242,";",REPT(" ",99)),100,99)),FIND(":",TRIM(MID(SUBSTITUTE(G242,";",REPT(" ",99)),100,99)))+1,99)),IF(TRIM(MID(SUBSTITUTE(G242,";",REPT(" ",99)),199,99))="","",IFERROR(VLOOKUP(--LEFT(TRIM(MID(SUBSTITUTE(G242,";",REPT(" ",99)),199,99)),FIND(":",TRIM(MID(SUBSTITUTE(G242,";",REPT(" ",99)),199,99)))-1),_Lookup!$A:$B,2,FALSE),"?")&amp;"×"&amp;MID(TRIM(MID(SUBSTITUTE(G242,";",REPT(" ",99)),199,99)),FIND(":",TRIM(MID(SUBSTITUTE(G242,";",REPT(" ",99)),199,99)))+1,99)),IF(TRIM(MID(SUBSTITUTE(G242,";",REPT(" ",99)),298,99))="","",IFERROR(VLOOKUP(--LEFT(TRIM(MID(SUBSTITUTE(G242,";",REPT(" ",99)),298,99)),FIND(":",TRIM(MID(SUBSTITUTE(G242,";",REPT(" ",99)),298,99)))-1),_Lookup!$A:$B,2,FALSE),"?")&amp;"×"&amp;MID(TRIM(MID(SUBSTITUTE(G242,";",REPT(" ",99)),298,99)),FIND(":",TRIM(MID(SUBSTITUTE(G242,";",REPT(" ",99)),298,99)))+1,99)),IF(TRIM(MID(SUBSTITUTE(G242,";",REPT(" ",99)),397,99))="","",IFERROR(VLOOKUP(--LEFT(TRIM(MID(SUBSTITUTE(G242,";",REPT(" ",99)),397,99)),FIND(":",TRIM(MID(SUBSTITUTE(G242,";",REPT(" ",99)),397,99)))-1),_Lookup!$A:$B,2,FALSE),"?")&amp;"×"&amp;MID(TRIM(MID(SUBSTITUTE(G242,";",REPT(" ",99)),397,99)),FIND(":",TRIM(MID(SUBSTITUTE(G242,";",REPT(" ",99)),397,99)))+1,99))))</f>
        <v/>
      </c>
    </row>
    <row r="243">
      <c r="C243" s="11">
        <f>IFERROR(VLOOKUP(B243,ItemData_Equipment!$A:$B,2,FALSE),"")</f>
        <v/>
      </c>
      <c r="H243" s="11">
        <f>IF(G243="","",TEXTJOIN("; ",TRUE,IF(TRIM(MID(SUBSTITUTE(G243,";",REPT(" ",99)),1,99))="","",IFERROR(VLOOKUP(--LEFT(TRIM(MID(SUBSTITUTE(G243,";",REPT(" ",99)),1,99)),FIND(":",TRIM(MID(SUBSTITUTE(G243,";",REPT(" ",99)),1,99)))-1),_Lookup!$A:$B,2,FALSE),"?")&amp;"×"&amp;MID(TRIM(MID(SUBSTITUTE(G243,";",REPT(" ",99)),1,99)),FIND(":",TRIM(MID(SUBSTITUTE(G243,";",REPT(" ",99)),1,99)))+1,99)),IF(TRIM(MID(SUBSTITUTE(G243,";",REPT(" ",99)),100,99))="","",IFERROR(VLOOKUP(--LEFT(TRIM(MID(SUBSTITUTE(G243,";",REPT(" ",99)),100,99)),FIND(":",TRIM(MID(SUBSTITUTE(G243,";",REPT(" ",99)),100,99)))-1),_Lookup!$A:$B,2,FALSE),"?")&amp;"×"&amp;MID(TRIM(MID(SUBSTITUTE(G243,";",REPT(" ",99)),100,99)),FIND(":",TRIM(MID(SUBSTITUTE(G243,";",REPT(" ",99)),100,99)))+1,99)),IF(TRIM(MID(SUBSTITUTE(G243,";",REPT(" ",99)),199,99))="","",IFERROR(VLOOKUP(--LEFT(TRIM(MID(SUBSTITUTE(G243,";",REPT(" ",99)),199,99)),FIND(":",TRIM(MID(SUBSTITUTE(G243,";",REPT(" ",99)),199,99)))-1),_Lookup!$A:$B,2,FALSE),"?")&amp;"×"&amp;MID(TRIM(MID(SUBSTITUTE(G243,";",REPT(" ",99)),199,99)),FIND(":",TRIM(MID(SUBSTITUTE(G243,";",REPT(" ",99)),199,99)))+1,99)),IF(TRIM(MID(SUBSTITUTE(G243,";",REPT(" ",99)),298,99))="","",IFERROR(VLOOKUP(--LEFT(TRIM(MID(SUBSTITUTE(G243,";",REPT(" ",99)),298,99)),FIND(":",TRIM(MID(SUBSTITUTE(G243,";",REPT(" ",99)),298,99)))-1),_Lookup!$A:$B,2,FALSE),"?")&amp;"×"&amp;MID(TRIM(MID(SUBSTITUTE(G243,";",REPT(" ",99)),298,99)),FIND(":",TRIM(MID(SUBSTITUTE(G243,";",REPT(" ",99)),298,99)))+1,99)),IF(TRIM(MID(SUBSTITUTE(G243,";",REPT(" ",99)),397,99))="","",IFERROR(VLOOKUP(--LEFT(TRIM(MID(SUBSTITUTE(G243,";",REPT(" ",99)),397,99)),FIND(":",TRIM(MID(SUBSTITUTE(G243,";",REPT(" ",99)),397,99)))-1),_Lookup!$A:$B,2,FALSE),"?")&amp;"×"&amp;MID(TRIM(MID(SUBSTITUTE(G243,";",REPT(" ",99)),397,99)),FIND(":",TRIM(MID(SUBSTITUTE(G243,";",REPT(" ",99)),397,99)))+1,99))))</f>
        <v/>
      </c>
    </row>
    <row r="244">
      <c r="C244" s="11">
        <f>IFERROR(VLOOKUP(B244,ItemData_Equipment!$A:$B,2,FALSE),"")</f>
        <v/>
      </c>
      <c r="H244" s="11">
        <f>IF(G244="","",TEXTJOIN("; ",TRUE,IF(TRIM(MID(SUBSTITUTE(G244,";",REPT(" ",99)),1,99))="","",IFERROR(VLOOKUP(--LEFT(TRIM(MID(SUBSTITUTE(G244,";",REPT(" ",99)),1,99)),FIND(":",TRIM(MID(SUBSTITUTE(G244,";",REPT(" ",99)),1,99)))-1),_Lookup!$A:$B,2,FALSE),"?")&amp;"×"&amp;MID(TRIM(MID(SUBSTITUTE(G244,";",REPT(" ",99)),1,99)),FIND(":",TRIM(MID(SUBSTITUTE(G244,";",REPT(" ",99)),1,99)))+1,99)),IF(TRIM(MID(SUBSTITUTE(G244,";",REPT(" ",99)),100,99))="","",IFERROR(VLOOKUP(--LEFT(TRIM(MID(SUBSTITUTE(G244,";",REPT(" ",99)),100,99)),FIND(":",TRIM(MID(SUBSTITUTE(G244,";",REPT(" ",99)),100,99)))-1),_Lookup!$A:$B,2,FALSE),"?")&amp;"×"&amp;MID(TRIM(MID(SUBSTITUTE(G244,";",REPT(" ",99)),100,99)),FIND(":",TRIM(MID(SUBSTITUTE(G244,";",REPT(" ",99)),100,99)))+1,99)),IF(TRIM(MID(SUBSTITUTE(G244,";",REPT(" ",99)),199,99))="","",IFERROR(VLOOKUP(--LEFT(TRIM(MID(SUBSTITUTE(G244,";",REPT(" ",99)),199,99)),FIND(":",TRIM(MID(SUBSTITUTE(G244,";",REPT(" ",99)),199,99)))-1),_Lookup!$A:$B,2,FALSE),"?")&amp;"×"&amp;MID(TRIM(MID(SUBSTITUTE(G244,";",REPT(" ",99)),199,99)),FIND(":",TRIM(MID(SUBSTITUTE(G244,";",REPT(" ",99)),199,99)))+1,99)),IF(TRIM(MID(SUBSTITUTE(G244,";",REPT(" ",99)),298,99))="","",IFERROR(VLOOKUP(--LEFT(TRIM(MID(SUBSTITUTE(G244,";",REPT(" ",99)),298,99)),FIND(":",TRIM(MID(SUBSTITUTE(G244,";",REPT(" ",99)),298,99)))-1),_Lookup!$A:$B,2,FALSE),"?")&amp;"×"&amp;MID(TRIM(MID(SUBSTITUTE(G244,";",REPT(" ",99)),298,99)),FIND(":",TRIM(MID(SUBSTITUTE(G244,";",REPT(" ",99)),298,99)))+1,99)),IF(TRIM(MID(SUBSTITUTE(G244,";",REPT(" ",99)),397,99))="","",IFERROR(VLOOKUP(--LEFT(TRIM(MID(SUBSTITUTE(G244,";",REPT(" ",99)),397,99)),FIND(":",TRIM(MID(SUBSTITUTE(G244,";",REPT(" ",99)),397,99)))-1),_Lookup!$A:$B,2,FALSE),"?")&amp;"×"&amp;MID(TRIM(MID(SUBSTITUTE(G244,";",REPT(" ",99)),397,99)),FIND(":",TRIM(MID(SUBSTITUTE(G244,";",REPT(" ",99)),397,99)))+1,99))))</f>
        <v/>
      </c>
    </row>
    <row r="245">
      <c r="C245" s="11">
        <f>IFERROR(VLOOKUP(B245,ItemData_Equipment!$A:$B,2,FALSE),"")</f>
        <v/>
      </c>
      <c r="H245" s="11">
        <f>IF(G245="","",TEXTJOIN("; ",TRUE,IF(TRIM(MID(SUBSTITUTE(G245,";",REPT(" ",99)),1,99))="","",IFERROR(VLOOKUP(--LEFT(TRIM(MID(SUBSTITUTE(G245,";",REPT(" ",99)),1,99)),FIND(":",TRIM(MID(SUBSTITUTE(G245,";",REPT(" ",99)),1,99)))-1),_Lookup!$A:$B,2,FALSE),"?")&amp;"×"&amp;MID(TRIM(MID(SUBSTITUTE(G245,";",REPT(" ",99)),1,99)),FIND(":",TRIM(MID(SUBSTITUTE(G245,";",REPT(" ",99)),1,99)))+1,99)),IF(TRIM(MID(SUBSTITUTE(G245,";",REPT(" ",99)),100,99))="","",IFERROR(VLOOKUP(--LEFT(TRIM(MID(SUBSTITUTE(G245,";",REPT(" ",99)),100,99)),FIND(":",TRIM(MID(SUBSTITUTE(G245,";",REPT(" ",99)),100,99)))-1),_Lookup!$A:$B,2,FALSE),"?")&amp;"×"&amp;MID(TRIM(MID(SUBSTITUTE(G245,";",REPT(" ",99)),100,99)),FIND(":",TRIM(MID(SUBSTITUTE(G245,";",REPT(" ",99)),100,99)))+1,99)),IF(TRIM(MID(SUBSTITUTE(G245,";",REPT(" ",99)),199,99))="","",IFERROR(VLOOKUP(--LEFT(TRIM(MID(SUBSTITUTE(G245,";",REPT(" ",99)),199,99)),FIND(":",TRIM(MID(SUBSTITUTE(G245,";",REPT(" ",99)),199,99)))-1),_Lookup!$A:$B,2,FALSE),"?")&amp;"×"&amp;MID(TRIM(MID(SUBSTITUTE(G245,";",REPT(" ",99)),199,99)),FIND(":",TRIM(MID(SUBSTITUTE(G245,";",REPT(" ",99)),199,99)))+1,99)),IF(TRIM(MID(SUBSTITUTE(G245,";",REPT(" ",99)),298,99))="","",IFERROR(VLOOKUP(--LEFT(TRIM(MID(SUBSTITUTE(G245,";",REPT(" ",99)),298,99)),FIND(":",TRIM(MID(SUBSTITUTE(G245,";",REPT(" ",99)),298,99)))-1),_Lookup!$A:$B,2,FALSE),"?")&amp;"×"&amp;MID(TRIM(MID(SUBSTITUTE(G245,";",REPT(" ",99)),298,99)),FIND(":",TRIM(MID(SUBSTITUTE(G245,";",REPT(" ",99)),298,99)))+1,99)),IF(TRIM(MID(SUBSTITUTE(G245,";",REPT(" ",99)),397,99))="","",IFERROR(VLOOKUP(--LEFT(TRIM(MID(SUBSTITUTE(G245,";",REPT(" ",99)),397,99)),FIND(":",TRIM(MID(SUBSTITUTE(G245,";",REPT(" ",99)),397,99)))-1),_Lookup!$A:$B,2,FALSE),"?")&amp;"×"&amp;MID(TRIM(MID(SUBSTITUTE(G245,";",REPT(" ",99)),397,99)),FIND(":",TRIM(MID(SUBSTITUTE(G245,";",REPT(" ",99)),397,99)))+1,99))))</f>
        <v/>
      </c>
    </row>
    <row r="246">
      <c r="C246" s="11">
        <f>IFERROR(VLOOKUP(B246,ItemData_Equipment!$A:$B,2,FALSE),"")</f>
        <v/>
      </c>
      <c r="H246" s="11">
        <f>IF(G246="","",TEXTJOIN("; ",TRUE,IF(TRIM(MID(SUBSTITUTE(G246,";",REPT(" ",99)),1,99))="","",IFERROR(VLOOKUP(--LEFT(TRIM(MID(SUBSTITUTE(G246,";",REPT(" ",99)),1,99)),FIND(":",TRIM(MID(SUBSTITUTE(G246,";",REPT(" ",99)),1,99)))-1),_Lookup!$A:$B,2,FALSE),"?")&amp;"×"&amp;MID(TRIM(MID(SUBSTITUTE(G246,";",REPT(" ",99)),1,99)),FIND(":",TRIM(MID(SUBSTITUTE(G246,";",REPT(" ",99)),1,99)))+1,99)),IF(TRIM(MID(SUBSTITUTE(G246,";",REPT(" ",99)),100,99))="","",IFERROR(VLOOKUP(--LEFT(TRIM(MID(SUBSTITUTE(G246,";",REPT(" ",99)),100,99)),FIND(":",TRIM(MID(SUBSTITUTE(G246,";",REPT(" ",99)),100,99)))-1),_Lookup!$A:$B,2,FALSE),"?")&amp;"×"&amp;MID(TRIM(MID(SUBSTITUTE(G246,";",REPT(" ",99)),100,99)),FIND(":",TRIM(MID(SUBSTITUTE(G246,";",REPT(" ",99)),100,99)))+1,99)),IF(TRIM(MID(SUBSTITUTE(G246,";",REPT(" ",99)),199,99))="","",IFERROR(VLOOKUP(--LEFT(TRIM(MID(SUBSTITUTE(G246,";",REPT(" ",99)),199,99)),FIND(":",TRIM(MID(SUBSTITUTE(G246,";",REPT(" ",99)),199,99)))-1),_Lookup!$A:$B,2,FALSE),"?")&amp;"×"&amp;MID(TRIM(MID(SUBSTITUTE(G246,";",REPT(" ",99)),199,99)),FIND(":",TRIM(MID(SUBSTITUTE(G246,";",REPT(" ",99)),199,99)))+1,99)),IF(TRIM(MID(SUBSTITUTE(G246,";",REPT(" ",99)),298,99))="","",IFERROR(VLOOKUP(--LEFT(TRIM(MID(SUBSTITUTE(G246,";",REPT(" ",99)),298,99)),FIND(":",TRIM(MID(SUBSTITUTE(G246,";",REPT(" ",99)),298,99)))-1),_Lookup!$A:$B,2,FALSE),"?")&amp;"×"&amp;MID(TRIM(MID(SUBSTITUTE(G246,";",REPT(" ",99)),298,99)),FIND(":",TRIM(MID(SUBSTITUTE(G246,";",REPT(" ",99)),298,99)))+1,99)),IF(TRIM(MID(SUBSTITUTE(G246,";",REPT(" ",99)),397,99))="","",IFERROR(VLOOKUP(--LEFT(TRIM(MID(SUBSTITUTE(G246,";",REPT(" ",99)),397,99)),FIND(":",TRIM(MID(SUBSTITUTE(G246,";",REPT(" ",99)),397,99)))-1),_Lookup!$A:$B,2,FALSE),"?")&amp;"×"&amp;MID(TRIM(MID(SUBSTITUTE(G246,";",REPT(" ",99)),397,99)),FIND(":",TRIM(MID(SUBSTITUTE(G246,";",REPT(" ",99)),397,99)))+1,99))))</f>
        <v/>
      </c>
    </row>
    <row r="247">
      <c r="C247" s="11">
        <f>IFERROR(VLOOKUP(B247,ItemData_Equipment!$A:$B,2,FALSE),"")</f>
        <v/>
      </c>
      <c r="H247" s="11">
        <f>IF(G247="","",TEXTJOIN("; ",TRUE,IF(TRIM(MID(SUBSTITUTE(G247,";",REPT(" ",99)),1,99))="","",IFERROR(VLOOKUP(--LEFT(TRIM(MID(SUBSTITUTE(G247,";",REPT(" ",99)),1,99)),FIND(":",TRIM(MID(SUBSTITUTE(G247,";",REPT(" ",99)),1,99)))-1),_Lookup!$A:$B,2,FALSE),"?")&amp;"×"&amp;MID(TRIM(MID(SUBSTITUTE(G247,";",REPT(" ",99)),1,99)),FIND(":",TRIM(MID(SUBSTITUTE(G247,";",REPT(" ",99)),1,99)))+1,99)),IF(TRIM(MID(SUBSTITUTE(G247,";",REPT(" ",99)),100,99))="","",IFERROR(VLOOKUP(--LEFT(TRIM(MID(SUBSTITUTE(G247,";",REPT(" ",99)),100,99)),FIND(":",TRIM(MID(SUBSTITUTE(G247,";",REPT(" ",99)),100,99)))-1),_Lookup!$A:$B,2,FALSE),"?")&amp;"×"&amp;MID(TRIM(MID(SUBSTITUTE(G247,";",REPT(" ",99)),100,99)),FIND(":",TRIM(MID(SUBSTITUTE(G247,";",REPT(" ",99)),100,99)))+1,99)),IF(TRIM(MID(SUBSTITUTE(G247,";",REPT(" ",99)),199,99))="","",IFERROR(VLOOKUP(--LEFT(TRIM(MID(SUBSTITUTE(G247,";",REPT(" ",99)),199,99)),FIND(":",TRIM(MID(SUBSTITUTE(G247,";",REPT(" ",99)),199,99)))-1),_Lookup!$A:$B,2,FALSE),"?")&amp;"×"&amp;MID(TRIM(MID(SUBSTITUTE(G247,";",REPT(" ",99)),199,99)),FIND(":",TRIM(MID(SUBSTITUTE(G247,";",REPT(" ",99)),199,99)))+1,99)),IF(TRIM(MID(SUBSTITUTE(G247,";",REPT(" ",99)),298,99))="","",IFERROR(VLOOKUP(--LEFT(TRIM(MID(SUBSTITUTE(G247,";",REPT(" ",99)),298,99)),FIND(":",TRIM(MID(SUBSTITUTE(G247,";",REPT(" ",99)),298,99)))-1),_Lookup!$A:$B,2,FALSE),"?")&amp;"×"&amp;MID(TRIM(MID(SUBSTITUTE(G247,";",REPT(" ",99)),298,99)),FIND(":",TRIM(MID(SUBSTITUTE(G247,";",REPT(" ",99)),298,99)))+1,99)),IF(TRIM(MID(SUBSTITUTE(G247,";",REPT(" ",99)),397,99))="","",IFERROR(VLOOKUP(--LEFT(TRIM(MID(SUBSTITUTE(G247,";",REPT(" ",99)),397,99)),FIND(":",TRIM(MID(SUBSTITUTE(G247,";",REPT(" ",99)),397,99)))-1),_Lookup!$A:$B,2,FALSE),"?")&amp;"×"&amp;MID(TRIM(MID(SUBSTITUTE(G247,";",REPT(" ",99)),397,99)),FIND(":",TRIM(MID(SUBSTITUTE(G247,";",REPT(" ",99)),397,99)))+1,99))))</f>
        <v/>
      </c>
    </row>
    <row r="248">
      <c r="C248" s="11">
        <f>IFERROR(VLOOKUP(B248,ItemData_Equipment!$A:$B,2,FALSE),"")</f>
        <v/>
      </c>
      <c r="H248" s="11">
        <f>IF(G248="","",TEXTJOIN("; ",TRUE,IF(TRIM(MID(SUBSTITUTE(G248,";",REPT(" ",99)),1,99))="","",IFERROR(VLOOKUP(--LEFT(TRIM(MID(SUBSTITUTE(G248,";",REPT(" ",99)),1,99)),FIND(":",TRIM(MID(SUBSTITUTE(G248,";",REPT(" ",99)),1,99)))-1),_Lookup!$A:$B,2,FALSE),"?")&amp;"×"&amp;MID(TRIM(MID(SUBSTITUTE(G248,";",REPT(" ",99)),1,99)),FIND(":",TRIM(MID(SUBSTITUTE(G248,";",REPT(" ",99)),1,99)))+1,99)),IF(TRIM(MID(SUBSTITUTE(G248,";",REPT(" ",99)),100,99))="","",IFERROR(VLOOKUP(--LEFT(TRIM(MID(SUBSTITUTE(G248,";",REPT(" ",99)),100,99)),FIND(":",TRIM(MID(SUBSTITUTE(G248,";",REPT(" ",99)),100,99)))-1),_Lookup!$A:$B,2,FALSE),"?")&amp;"×"&amp;MID(TRIM(MID(SUBSTITUTE(G248,";",REPT(" ",99)),100,99)),FIND(":",TRIM(MID(SUBSTITUTE(G248,";",REPT(" ",99)),100,99)))+1,99)),IF(TRIM(MID(SUBSTITUTE(G248,";",REPT(" ",99)),199,99))="","",IFERROR(VLOOKUP(--LEFT(TRIM(MID(SUBSTITUTE(G248,";",REPT(" ",99)),199,99)),FIND(":",TRIM(MID(SUBSTITUTE(G248,";",REPT(" ",99)),199,99)))-1),_Lookup!$A:$B,2,FALSE),"?")&amp;"×"&amp;MID(TRIM(MID(SUBSTITUTE(G248,";",REPT(" ",99)),199,99)),FIND(":",TRIM(MID(SUBSTITUTE(G248,";",REPT(" ",99)),199,99)))+1,99)),IF(TRIM(MID(SUBSTITUTE(G248,";",REPT(" ",99)),298,99))="","",IFERROR(VLOOKUP(--LEFT(TRIM(MID(SUBSTITUTE(G248,";",REPT(" ",99)),298,99)),FIND(":",TRIM(MID(SUBSTITUTE(G248,";",REPT(" ",99)),298,99)))-1),_Lookup!$A:$B,2,FALSE),"?")&amp;"×"&amp;MID(TRIM(MID(SUBSTITUTE(G248,";",REPT(" ",99)),298,99)),FIND(":",TRIM(MID(SUBSTITUTE(G248,";",REPT(" ",99)),298,99)))+1,99)),IF(TRIM(MID(SUBSTITUTE(G248,";",REPT(" ",99)),397,99))="","",IFERROR(VLOOKUP(--LEFT(TRIM(MID(SUBSTITUTE(G248,";",REPT(" ",99)),397,99)),FIND(":",TRIM(MID(SUBSTITUTE(G248,";",REPT(" ",99)),397,99)))-1),_Lookup!$A:$B,2,FALSE),"?")&amp;"×"&amp;MID(TRIM(MID(SUBSTITUTE(G248,";",REPT(" ",99)),397,99)),FIND(":",TRIM(MID(SUBSTITUTE(G248,";",REPT(" ",99)),397,99)))+1,99))))</f>
        <v/>
      </c>
    </row>
    <row r="249">
      <c r="C249" s="11">
        <f>IFERROR(VLOOKUP(B249,ItemData_Equipment!$A:$B,2,FALSE),"")</f>
        <v/>
      </c>
      <c r="H249" s="11">
        <f>IF(G249="","",TEXTJOIN("; ",TRUE,IF(TRIM(MID(SUBSTITUTE(G249,";",REPT(" ",99)),1,99))="","",IFERROR(VLOOKUP(--LEFT(TRIM(MID(SUBSTITUTE(G249,";",REPT(" ",99)),1,99)),FIND(":",TRIM(MID(SUBSTITUTE(G249,";",REPT(" ",99)),1,99)))-1),_Lookup!$A:$B,2,FALSE),"?")&amp;"×"&amp;MID(TRIM(MID(SUBSTITUTE(G249,";",REPT(" ",99)),1,99)),FIND(":",TRIM(MID(SUBSTITUTE(G249,";",REPT(" ",99)),1,99)))+1,99)),IF(TRIM(MID(SUBSTITUTE(G249,";",REPT(" ",99)),100,99))="","",IFERROR(VLOOKUP(--LEFT(TRIM(MID(SUBSTITUTE(G249,";",REPT(" ",99)),100,99)),FIND(":",TRIM(MID(SUBSTITUTE(G249,";",REPT(" ",99)),100,99)))-1),_Lookup!$A:$B,2,FALSE),"?")&amp;"×"&amp;MID(TRIM(MID(SUBSTITUTE(G249,";",REPT(" ",99)),100,99)),FIND(":",TRIM(MID(SUBSTITUTE(G249,";",REPT(" ",99)),100,99)))+1,99)),IF(TRIM(MID(SUBSTITUTE(G249,";",REPT(" ",99)),199,99))="","",IFERROR(VLOOKUP(--LEFT(TRIM(MID(SUBSTITUTE(G249,";",REPT(" ",99)),199,99)),FIND(":",TRIM(MID(SUBSTITUTE(G249,";",REPT(" ",99)),199,99)))-1),_Lookup!$A:$B,2,FALSE),"?")&amp;"×"&amp;MID(TRIM(MID(SUBSTITUTE(G249,";",REPT(" ",99)),199,99)),FIND(":",TRIM(MID(SUBSTITUTE(G249,";",REPT(" ",99)),199,99)))+1,99)),IF(TRIM(MID(SUBSTITUTE(G249,";",REPT(" ",99)),298,99))="","",IFERROR(VLOOKUP(--LEFT(TRIM(MID(SUBSTITUTE(G249,";",REPT(" ",99)),298,99)),FIND(":",TRIM(MID(SUBSTITUTE(G249,";",REPT(" ",99)),298,99)))-1),_Lookup!$A:$B,2,FALSE),"?")&amp;"×"&amp;MID(TRIM(MID(SUBSTITUTE(G249,";",REPT(" ",99)),298,99)),FIND(":",TRIM(MID(SUBSTITUTE(G249,";",REPT(" ",99)),298,99)))+1,99)),IF(TRIM(MID(SUBSTITUTE(G249,";",REPT(" ",99)),397,99))="","",IFERROR(VLOOKUP(--LEFT(TRIM(MID(SUBSTITUTE(G249,";",REPT(" ",99)),397,99)),FIND(":",TRIM(MID(SUBSTITUTE(G249,";",REPT(" ",99)),397,99)))-1),_Lookup!$A:$B,2,FALSE),"?")&amp;"×"&amp;MID(TRIM(MID(SUBSTITUTE(G249,";",REPT(" ",99)),397,99)),FIND(":",TRIM(MID(SUBSTITUTE(G249,";",REPT(" ",99)),397,99)))+1,99))))</f>
        <v/>
      </c>
    </row>
    <row r="250">
      <c r="C250" s="11">
        <f>IFERROR(VLOOKUP(B250,ItemData_Equipment!$A:$B,2,FALSE),"")</f>
        <v/>
      </c>
      <c r="H250" s="11">
        <f>IF(G250="","",TEXTJOIN("; ",TRUE,IF(TRIM(MID(SUBSTITUTE(G250,";",REPT(" ",99)),1,99))="","",IFERROR(VLOOKUP(--LEFT(TRIM(MID(SUBSTITUTE(G250,";",REPT(" ",99)),1,99)),FIND(":",TRIM(MID(SUBSTITUTE(G250,";",REPT(" ",99)),1,99)))-1),_Lookup!$A:$B,2,FALSE),"?")&amp;"×"&amp;MID(TRIM(MID(SUBSTITUTE(G250,";",REPT(" ",99)),1,99)),FIND(":",TRIM(MID(SUBSTITUTE(G250,";",REPT(" ",99)),1,99)))+1,99)),IF(TRIM(MID(SUBSTITUTE(G250,";",REPT(" ",99)),100,99))="","",IFERROR(VLOOKUP(--LEFT(TRIM(MID(SUBSTITUTE(G250,";",REPT(" ",99)),100,99)),FIND(":",TRIM(MID(SUBSTITUTE(G250,";",REPT(" ",99)),100,99)))-1),_Lookup!$A:$B,2,FALSE),"?")&amp;"×"&amp;MID(TRIM(MID(SUBSTITUTE(G250,";",REPT(" ",99)),100,99)),FIND(":",TRIM(MID(SUBSTITUTE(G250,";",REPT(" ",99)),100,99)))+1,99)),IF(TRIM(MID(SUBSTITUTE(G250,";",REPT(" ",99)),199,99))="","",IFERROR(VLOOKUP(--LEFT(TRIM(MID(SUBSTITUTE(G250,";",REPT(" ",99)),199,99)),FIND(":",TRIM(MID(SUBSTITUTE(G250,";",REPT(" ",99)),199,99)))-1),_Lookup!$A:$B,2,FALSE),"?")&amp;"×"&amp;MID(TRIM(MID(SUBSTITUTE(G250,";",REPT(" ",99)),199,99)),FIND(":",TRIM(MID(SUBSTITUTE(G250,";",REPT(" ",99)),199,99)))+1,99)),IF(TRIM(MID(SUBSTITUTE(G250,";",REPT(" ",99)),298,99))="","",IFERROR(VLOOKUP(--LEFT(TRIM(MID(SUBSTITUTE(G250,";",REPT(" ",99)),298,99)),FIND(":",TRIM(MID(SUBSTITUTE(G250,";",REPT(" ",99)),298,99)))-1),_Lookup!$A:$B,2,FALSE),"?")&amp;"×"&amp;MID(TRIM(MID(SUBSTITUTE(G250,";",REPT(" ",99)),298,99)),FIND(":",TRIM(MID(SUBSTITUTE(G250,";",REPT(" ",99)),298,99)))+1,99)),IF(TRIM(MID(SUBSTITUTE(G250,";",REPT(" ",99)),397,99))="","",IFERROR(VLOOKUP(--LEFT(TRIM(MID(SUBSTITUTE(G250,";",REPT(" ",99)),397,99)),FIND(":",TRIM(MID(SUBSTITUTE(G250,";",REPT(" ",99)),397,99)))-1),_Lookup!$A:$B,2,FALSE),"?")&amp;"×"&amp;MID(TRIM(MID(SUBSTITUTE(G250,";",REPT(" ",99)),397,99)),FIND(":",TRIM(MID(SUBSTITUTE(G250,";",REPT(" ",99)),397,99)))+1,99))))</f>
        <v/>
      </c>
    </row>
    <row r="251">
      <c r="C251" s="11">
        <f>IFERROR(VLOOKUP(B251,ItemData_Equipment!$A:$B,2,FALSE),"")</f>
        <v/>
      </c>
      <c r="H251" s="11">
        <f>IF(G251="","",TEXTJOIN("; ",TRUE,IF(TRIM(MID(SUBSTITUTE(G251,";",REPT(" ",99)),1,99))="","",IFERROR(VLOOKUP(--LEFT(TRIM(MID(SUBSTITUTE(G251,";",REPT(" ",99)),1,99)),FIND(":",TRIM(MID(SUBSTITUTE(G251,";",REPT(" ",99)),1,99)))-1),_Lookup!$A:$B,2,FALSE),"?")&amp;"×"&amp;MID(TRIM(MID(SUBSTITUTE(G251,";",REPT(" ",99)),1,99)),FIND(":",TRIM(MID(SUBSTITUTE(G251,";",REPT(" ",99)),1,99)))+1,99)),IF(TRIM(MID(SUBSTITUTE(G251,";",REPT(" ",99)),100,99))="","",IFERROR(VLOOKUP(--LEFT(TRIM(MID(SUBSTITUTE(G251,";",REPT(" ",99)),100,99)),FIND(":",TRIM(MID(SUBSTITUTE(G251,";",REPT(" ",99)),100,99)))-1),_Lookup!$A:$B,2,FALSE),"?")&amp;"×"&amp;MID(TRIM(MID(SUBSTITUTE(G251,";",REPT(" ",99)),100,99)),FIND(":",TRIM(MID(SUBSTITUTE(G251,";",REPT(" ",99)),100,99)))+1,99)),IF(TRIM(MID(SUBSTITUTE(G251,";",REPT(" ",99)),199,99))="","",IFERROR(VLOOKUP(--LEFT(TRIM(MID(SUBSTITUTE(G251,";",REPT(" ",99)),199,99)),FIND(":",TRIM(MID(SUBSTITUTE(G251,";",REPT(" ",99)),199,99)))-1),_Lookup!$A:$B,2,FALSE),"?")&amp;"×"&amp;MID(TRIM(MID(SUBSTITUTE(G251,";",REPT(" ",99)),199,99)),FIND(":",TRIM(MID(SUBSTITUTE(G251,";",REPT(" ",99)),199,99)))+1,99)),IF(TRIM(MID(SUBSTITUTE(G251,";",REPT(" ",99)),298,99))="","",IFERROR(VLOOKUP(--LEFT(TRIM(MID(SUBSTITUTE(G251,";",REPT(" ",99)),298,99)),FIND(":",TRIM(MID(SUBSTITUTE(G251,";",REPT(" ",99)),298,99)))-1),_Lookup!$A:$B,2,FALSE),"?")&amp;"×"&amp;MID(TRIM(MID(SUBSTITUTE(G251,";",REPT(" ",99)),298,99)),FIND(":",TRIM(MID(SUBSTITUTE(G251,";",REPT(" ",99)),298,99)))+1,99)),IF(TRIM(MID(SUBSTITUTE(G251,";",REPT(" ",99)),397,99))="","",IFERROR(VLOOKUP(--LEFT(TRIM(MID(SUBSTITUTE(G251,";",REPT(" ",99)),397,99)),FIND(":",TRIM(MID(SUBSTITUTE(G251,";",REPT(" ",99)),397,99)))-1),_Lookup!$A:$B,2,FALSE),"?")&amp;"×"&amp;MID(TRIM(MID(SUBSTITUTE(G251,";",REPT(" ",99)),397,99)),FIND(":",TRIM(MID(SUBSTITUTE(G251,";",REPT(" ",99)),397,99)))+1,99))))</f>
        <v/>
      </c>
    </row>
    <row r="252">
      <c r="C252" s="11">
        <f>IFERROR(VLOOKUP(B252,ItemData_Equipment!$A:$B,2,FALSE),"")</f>
        <v/>
      </c>
      <c r="H252" s="11">
        <f>IF(G252="","",TEXTJOIN("; ",TRUE,IF(TRIM(MID(SUBSTITUTE(G252,";",REPT(" ",99)),1,99))="","",IFERROR(VLOOKUP(--LEFT(TRIM(MID(SUBSTITUTE(G252,";",REPT(" ",99)),1,99)),FIND(":",TRIM(MID(SUBSTITUTE(G252,";",REPT(" ",99)),1,99)))-1),_Lookup!$A:$B,2,FALSE),"?")&amp;"×"&amp;MID(TRIM(MID(SUBSTITUTE(G252,";",REPT(" ",99)),1,99)),FIND(":",TRIM(MID(SUBSTITUTE(G252,";",REPT(" ",99)),1,99)))+1,99)),IF(TRIM(MID(SUBSTITUTE(G252,";",REPT(" ",99)),100,99))="","",IFERROR(VLOOKUP(--LEFT(TRIM(MID(SUBSTITUTE(G252,";",REPT(" ",99)),100,99)),FIND(":",TRIM(MID(SUBSTITUTE(G252,";",REPT(" ",99)),100,99)))-1),_Lookup!$A:$B,2,FALSE),"?")&amp;"×"&amp;MID(TRIM(MID(SUBSTITUTE(G252,";",REPT(" ",99)),100,99)),FIND(":",TRIM(MID(SUBSTITUTE(G252,";",REPT(" ",99)),100,99)))+1,99)),IF(TRIM(MID(SUBSTITUTE(G252,";",REPT(" ",99)),199,99))="","",IFERROR(VLOOKUP(--LEFT(TRIM(MID(SUBSTITUTE(G252,";",REPT(" ",99)),199,99)),FIND(":",TRIM(MID(SUBSTITUTE(G252,";",REPT(" ",99)),199,99)))-1),_Lookup!$A:$B,2,FALSE),"?")&amp;"×"&amp;MID(TRIM(MID(SUBSTITUTE(G252,";",REPT(" ",99)),199,99)),FIND(":",TRIM(MID(SUBSTITUTE(G252,";",REPT(" ",99)),199,99)))+1,99)),IF(TRIM(MID(SUBSTITUTE(G252,";",REPT(" ",99)),298,99))="","",IFERROR(VLOOKUP(--LEFT(TRIM(MID(SUBSTITUTE(G252,";",REPT(" ",99)),298,99)),FIND(":",TRIM(MID(SUBSTITUTE(G252,";",REPT(" ",99)),298,99)))-1),_Lookup!$A:$B,2,FALSE),"?")&amp;"×"&amp;MID(TRIM(MID(SUBSTITUTE(G252,";",REPT(" ",99)),298,99)),FIND(":",TRIM(MID(SUBSTITUTE(G252,";",REPT(" ",99)),298,99)))+1,99)),IF(TRIM(MID(SUBSTITUTE(G252,";",REPT(" ",99)),397,99))="","",IFERROR(VLOOKUP(--LEFT(TRIM(MID(SUBSTITUTE(G252,";",REPT(" ",99)),397,99)),FIND(":",TRIM(MID(SUBSTITUTE(G252,";",REPT(" ",99)),397,99)))-1),_Lookup!$A:$B,2,FALSE),"?")&amp;"×"&amp;MID(TRIM(MID(SUBSTITUTE(G252,";",REPT(" ",99)),397,99)),FIND(":",TRIM(MID(SUBSTITUTE(G252,";",REPT(" ",99)),397,99)))+1,99))))</f>
        <v/>
      </c>
    </row>
    <row r="253">
      <c r="C253" s="11">
        <f>IFERROR(VLOOKUP(B253,ItemData_Equipment!$A:$B,2,FALSE),"")</f>
        <v/>
      </c>
      <c r="H253" s="11">
        <f>IF(G253="","",TEXTJOIN("; ",TRUE,IF(TRIM(MID(SUBSTITUTE(G253,";",REPT(" ",99)),1,99))="","",IFERROR(VLOOKUP(--LEFT(TRIM(MID(SUBSTITUTE(G253,";",REPT(" ",99)),1,99)),FIND(":",TRIM(MID(SUBSTITUTE(G253,";",REPT(" ",99)),1,99)))-1),_Lookup!$A:$B,2,FALSE),"?")&amp;"×"&amp;MID(TRIM(MID(SUBSTITUTE(G253,";",REPT(" ",99)),1,99)),FIND(":",TRIM(MID(SUBSTITUTE(G253,";",REPT(" ",99)),1,99)))+1,99)),IF(TRIM(MID(SUBSTITUTE(G253,";",REPT(" ",99)),100,99))="","",IFERROR(VLOOKUP(--LEFT(TRIM(MID(SUBSTITUTE(G253,";",REPT(" ",99)),100,99)),FIND(":",TRIM(MID(SUBSTITUTE(G253,";",REPT(" ",99)),100,99)))-1),_Lookup!$A:$B,2,FALSE),"?")&amp;"×"&amp;MID(TRIM(MID(SUBSTITUTE(G253,";",REPT(" ",99)),100,99)),FIND(":",TRIM(MID(SUBSTITUTE(G253,";",REPT(" ",99)),100,99)))+1,99)),IF(TRIM(MID(SUBSTITUTE(G253,";",REPT(" ",99)),199,99))="","",IFERROR(VLOOKUP(--LEFT(TRIM(MID(SUBSTITUTE(G253,";",REPT(" ",99)),199,99)),FIND(":",TRIM(MID(SUBSTITUTE(G253,";",REPT(" ",99)),199,99)))-1),_Lookup!$A:$B,2,FALSE),"?")&amp;"×"&amp;MID(TRIM(MID(SUBSTITUTE(G253,";",REPT(" ",99)),199,99)),FIND(":",TRIM(MID(SUBSTITUTE(G253,";",REPT(" ",99)),199,99)))+1,99)),IF(TRIM(MID(SUBSTITUTE(G253,";",REPT(" ",99)),298,99))="","",IFERROR(VLOOKUP(--LEFT(TRIM(MID(SUBSTITUTE(G253,";",REPT(" ",99)),298,99)),FIND(":",TRIM(MID(SUBSTITUTE(G253,";",REPT(" ",99)),298,99)))-1),_Lookup!$A:$B,2,FALSE),"?")&amp;"×"&amp;MID(TRIM(MID(SUBSTITUTE(G253,";",REPT(" ",99)),298,99)),FIND(":",TRIM(MID(SUBSTITUTE(G253,";",REPT(" ",99)),298,99)))+1,99)),IF(TRIM(MID(SUBSTITUTE(G253,";",REPT(" ",99)),397,99))="","",IFERROR(VLOOKUP(--LEFT(TRIM(MID(SUBSTITUTE(G253,";",REPT(" ",99)),397,99)),FIND(":",TRIM(MID(SUBSTITUTE(G253,";",REPT(" ",99)),397,99)))-1),_Lookup!$A:$B,2,FALSE),"?")&amp;"×"&amp;MID(TRIM(MID(SUBSTITUTE(G253,";",REPT(" ",99)),397,99)),FIND(":",TRIM(MID(SUBSTITUTE(G253,";",REPT(" ",99)),397,99)))+1,99))))</f>
        <v/>
      </c>
    </row>
    <row r="254">
      <c r="C254" s="11">
        <f>IFERROR(VLOOKUP(B254,ItemData_Equipment!$A:$B,2,FALSE),"")</f>
        <v/>
      </c>
      <c r="H254" s="11">
        <f>IF(G254="","",TEXTJOIN("; ",TRUE,IF(TRIM(MID(SUBSTITUTE(G254,";",REPT(" ",99)),1,99))="","",IFERROR(VLOOKUP(--LEFT(TRIM(MID(SUBSTITUTE(G254,";",REPT(" ",99)),1,99)),FIND(":",TRIM(MID(SUBSTITUTE(G254,";",REPT(" ",99)),1,99)))-1),_Lookup!$A:$B,2,FALSE),"?")&amp;"×"&amp;MID(TRIM(MID(SUBSTITUTE(G254,";",REPT(" ",99)),1,99)),FIND(":",TRIM(MID(SUBSTITUTE(G254,";",REPT(" ",99)),1,99)))+1,99)),IF(TRIM(MID(SUBSTITUTE(G254,";",REPT(" ",99)),100,99))="","",IFERROR(VLOOKUP(--LEFT(TRIM(MID(SUBSTITUTE(G254,";",REPT(" ",99)),100,99)),FIND(":",TRIM(MID(SUBSTITUTE(G254,";",REPT(" ",99)),100,99)))-1),_Lookup!$A:$B,2,FALSE),"?")&amp;"×"&amp;MID(TRIM(MID(SUBSTITUTE(G254,";",REPT(" ",99)),100,99)),FIND(":",TRIM(MID(SUBSTITUTE(G254,";",REPT(" ",99)),100,99)))+1,99)),IF(TRIM(MID(SUBSTITUTE(G254,";",REPT(" ",99)),199,99))="","",IFERROR(VLOOKUP(--LEFT(TRIM(MID(SUBSTITUTE(G254,";",REPT(" ",99)),199,99)),FIND(":",TRIM(MID(SUBSTITUTE(G254,";",REPT(" ",99)),199,99)))-1),_Lookup!$A:$B,2,FALSE),"?")&amp;"×"&amp;MID(TRIM(MID(SUBSTITUTE(G254,";",REPT(" ",99)),199,99)),FIND(":",TRIM(MID(SUBSTITUTE(G254,";",REPT(" ",99)),199,99)))+1,99)),IF(TRIM(MID(SUBSTITUTE(G254,";",REPT(" ",99)),298,99))="","",IFERROR(VLOOKUP(--LEFT(TRIM(MID(SUBSTITUTE(G254,";",REPT(" ",99)),298,99)),FIND(":",TRIM(MID(SUBSTITUTE(G254,";",REPT(" ",99)),298,99)))-1),_Lookup!$A:$B,2,FALSE),"?")&amp;"×"&amp;MID(TRIM(MID(SUBSTITUTE(G254,";",REPT(" ",99)),298,99)),FIND(":",TRIM(MID(SUBSTITUTE(G254,";",REPT(" ",99)),298,99)))+1,99)),IF(TRIM(MID(SUBSTITUTE(G254,";",REPT(" ",99)),397,99))="","",IFERROR(VLOOKUP(--LEFT(TRIM(MID(SUBSTITUTE(G254,";",REPT(" ",99)),397,99)),FIND(":",TRIM(MID(SUBSTITUTE(G254,";",REPT(" ",99)),397,99)))-1),_Lookup!$A:$B,2,FALSE),"?")&amp;"×"&amp;MID(TRIM(MID(SUBSTITUTE(G254,";",REPT(" ",99)),397,99)),FIND(":",TRIM(MID(SUBSTITUTE(G254,";",REPT(" ",99)),397,99)))+1,99))))</f>
        <v/>
      </c>
    </row>
    <row r="255">
      <c r="C255" s="11">
        <f>IFERROR(VLOOKUP(B255,ItemData_Equipment!$A:$B,2,FALSE),"")</f>
        <v/>
      </c>
      <c r="H255" s="11">
        <f>IF(G255="","",TEXTJOIN("; ",TRUE,IF(TRIM(MID(SUBSTITUTE(G255,";",REPT(" ",99)),1,99))="","",IFERROR(VLOOKUP(--LEFT(TRIM(MID(SUBSTITUTE(G255,";",REPT(" ",99)),1,99)),FIND(":",TRIM(MID(SUBSTITUTE(G255,";",REPT(" ",99)),1,99)))-1),_Lookup!$A:$B,2,FALSE),"?")&amp;"×"&amp;MID(TRIM(MID(SUBSTITUTE(G255,";",REPT(" ",99)),1,99)),FIND(":",TRIM(MID(SUBSTITUTE(G255,";",REPT(" ",99)),1,99)))+1,99)),IF(TRIM(MID(SUBSTITUTE(G255,";",REPT(" ",99)),100,99))="","",IFERROR(VLOOKUP(--LEFT(TRIM(MID(SUBSTITUTE(G255,";",REPT(" ",99)),100,99)),FIND(":",TRIM(MID(SUBSTITUTE(G255,";",REPT(" ",99)),100,99)))-1),_Lookup!$A:$B,2,FALSE),"?")&amp;"×"&amp;MID(TRIM(MID(SUBSTITUTE(G255,";",REPT(" ",99)),100,99)),FIND(":",TRIM(MID(SUBSTITUTE(G255,";",REPT(" ",99)),100,99)))+1,99)),IF(TRIM(MID(SUBSTITUTE(G255,";",REPT(" ",99)),199,99))="","",IFERROR(VLOOKUP(--LEFT(TRIM(MID(SUBSTITUTE(G255,";",REPT(" ",99)),199,99)),FIND(":",TRIM(MID(SUBSTITUTE(G255,";",REPT(" ",99)),199,99)))-1),_Lookup!$A:$B,2,FALSE),"?")&amp;"×"&amp;MID(TRIM(MID(SUBSTITUTE(G255,";",REPT(" ",99)),199,99)),FIND(":",TRIM(MID(SUBSTITUTE(G255,";",REPT(" ",99)),199,99)))+1,99)),IF(TRIM(MID(SUBSTITUTE(G255,";",REPT(" ",99)),298,99))="","",IFERROR(VLOOKUP(--LEFT(TRIM(MID(SUBSTITUTE(G255,";",REPT(" ",99)),298,99)),FIND(":",TRIM(MID(SUBSTITUTE(G255,";",REPT(" ",99)),298,99)))-1),_Lookup!$A:$B,2,FALSE),"?")&amp;"×"&amp;MID(TRIM(MID(SUBSTITUTE(G255,";",REPT(" ",99)),298,99)),FIND(":",TRIM(MID(SUBSTITUTE(G255,";",REPT(" ",99)),298,99)))+1,99)),IF(TRIM(MID(SUBSTITUTE(G255,";",REPT(" ",99)),397,99))="","",IFERROR(VLOOKUP(--LEFT(TRIM(MID(SUBSTITUTE(G255,";",REPT(" ",99)),397,99)),FIND(":",TRIM(MID(SUBSTITUTE(G255,";",REPT(" ",99)),397,99)))-1),_Lookup!$A:$B,2,FALSE),"?")&amp;"×"&amp;MID(TRIM(MID(SUBSTITUTE(G255,";",REPT(" ",99)),397,99)),FIND(":",TRIM(MID(SUBSTITUTE(G255,";",REPT(" ",99)),397,99)))+1,99))))</f>
        <v/>
      </c>
    </row>
    <row r="256">
      <c r="C256" s="11">
        <f>IFERROR(VLOOKUP(B256,ItemData_Equipment!$A:$B,2,FALSE),"")</f>
        <v/>
      </c>
      <c r="H256" s="11">
        <f>IF(G256="","",TEXTJOIN("; ",TRUE,IF(TRIM(MID(SUBSTITUTE(G256,";",REPT(" ",99)),1,99))="","",IFERROR(VLOOKUP(--LEFT(TRIM(MID(SUBSTITUTE(G256,";",REPT(" ",99)),1,99)),FIND(":",TRIM(MID(SUBSTITUTE(G256,";",REPT(" ",99)),1,99)))-1),_Lookup!$A:$B,2,FALSE),"?")&amp;"×"&amp;MID(TRIM(MID(SUBSTITUTE(G256,";",REPT(" ",99)),1,99)),FIND(":",TRIM(MID(SUBSTITUTE(G256,";",REPT(" ",99)),1,99)))+1,99)),IF(TRIM(MID(SUBSTITUTE(G256,";",REPT(" ",99)),100,99))="","",IFERROR(VLOOKUP(--LEFT(TRIM(MID(SUBSTITUTE(G256,";",REPT(" ",99)),100,99)),FIND(":",TRIM(MID(SUBSTITUTE(G256,";",REPT(" ",99)),100,99)))-1),_Lookup!$A:$B,2,FALSE),"?")&amp;"×"&amp;MID(TRIM(MID(SUBSTITUTE(G256,";",REPT(" ",99)),100,99)),FIND(":",TRIM(MID(SUBSTITUTE(G256,";",REPT(" ",99)),100,99)))+1,99)),IF(TRIM(MID(SUBSTITUTE(G256,";",REPT(" ",99)),199,99))="","",IFERROR(VLOOKUP(--LEFT(TRIM(MID(SUBSTITUTE(G256,";",REPT(" ",99)),199,99)),FIND(":",TRIM(MID(SUBSTITUTE(G256,";",REPT(" ",99)),199,99)))-1),_Lookup!$A:$B,2,FALSE),"?")&amp;"×"&amp;MID(TRIM(MID(SUBSTITUTE(G256,";",REPT(" ",99)),199,99)),FIND(":",TRIM(MID(SUBSTITUTE(G256,";",REPT(" ",99)),199,99)))+1,99)),IF(TRIM(MID(SUBSTITUTE(G256,";",REPT(" ",99)),298,99))="","",IFERROR(VLOOKUP(--LEFT(TRIM(MID(SUBSTITUTE(G256,";",REPT(" ",99)),298,99)),FIND(":",TRIM(MID(SUBSTITUTE(G256,";",REPT(" ",99)),298,99)))-1),_Lookup!$A:$B,2,FALSE),"?")&amp;"×"&amp;MID(TRIM(MID(SUBSTITUTE(G256,";",REPT(" ",99)),298,99)),FIND(":",TRIM(MID(SUBSTITUTE(G256,";",REPT(" ",99)),298,99)))+1,99)),IF(TRIM(MID(SUBSTITUTE(G256,";",REPT(" ",99)),397,99))="","",IFERROR(VLOOKUP(--LEFT(TRIM(MID(SUBSTITUTE(G256,";",REPT(" ",99)),397,99)),FIND(":",TRIM(MID(SUBSTITUTE(G256,";",REPT(" ",99)),397,99)))-1),_Lookup!$A:$B,2,FALSE),"?")&amp;"×"&amp;MID(TRIM(MID(SUBSTITUTE(G256,";",REPT(" ",99)),397,99)),FIND(":",TRIM(MID(SUBSTITUTE(G256,";",REPT(" ",99)),397,99)))+1,99))))</f>
        <v/>
      </c>
    </row>
    <row r="257">
      <c r="C257" s="11">
        <f>IFERROR(VLOOKUP(B257,ItemData_Equipment!$A:$B,2,FALSE),"")</f>
        <v/>
      </c>
      <c r="H257" s="11">
        <f>IF(G257="","",TEXTJOIN("; ",TRUE,IF(TRIM(MID(SUBSTITUTE(G257,";",REPT(" ",99)),1,99))="","",IFERROR(VLOOKUP(--LEFT(TRIM(MID(SUBSTITUTE(G257,";",REPT(" ",99)),1,99)),FIND(":",TRIM(MID(SUBSTITUTE(G257,";",REPT(" ",99)),1,99)))-1),_Lookup!$A:$B,2,FALSE),"?")&amp;"×"&amp;MID(TRIM(MID(SUBSTITUTE(G257,";",REPT(" ",99)),1,99)),FIND(":",TRIM(MID(SUBSTITUTE(G257,";",REPT(" ",99)),1,99)))+1,99)),IF(TRIM(MID(SUBSTITUTE(G257,";",REPT(" ",99)),100,99))="","",IFERROR(VLOOKUP(--LEFT(TRIM(MID(SUBSTITUTE(G257,";",REPT(" ",99)),100,99)),FIND(":",TRIM(MID(SUBSTITUTE(G257,";",REPT(" ",99)),100,99)))-1),_Lookup!$A:$B,2,FALSE),"?")&amp;"×"&amp;MID(TRIM(MID(SUBSTITUTE(G257,";",REPT(" ",99)),100,99)),FIND(":",TRIM(MID(SUBSTITUTE(G257,";",REPT(" ",99)),100,99)))+1,99)),IF(TRIM(MID(SUBSTITUTE(G257,";",REPT(" ",99)),199,99))="","",IFERROR(VLOOKUP(--LEFT(TRIM(MID(SUBSTITUTE(G257,";",REPT(" ",99)),199,99)),FIND(":",TRIM(MID(SUBSTITUTE(G257,";",REPT(" ",99)),199,99)))-1),_Lookup!$A:$B,2,FALSE),"?")&amp;"×"&amp;MID(TRIM(MID(SUBSTITUTE(G257,";",REPT(" ",99)),199,99)),FIND(":",TRIM(MID(SUBSTITUTE(G257,";",REPT(" ",99)),199,99)))+1,99)),IF(TRIM(MID(SUBSTITUTE(G257,";",REPT(" ",99)),298,99))="","",IFERROR(VLOOKUP(--LEFT(TRIM(MID(SUBSTITUTE(G257,";",REPT(" ",99)),298,99)),FIND(":",TRIM(MID(SUBSTITUTE(G257,";",REPT(" ",99)),298,99)))-1),_Lookup!$A:$B,2,FALSE),"?")&amp;"×"&amp;MID(TRIM(MID(SUBSTITUTE(G257,";",REPT(" ",99)),298,99)),FIND(":",TRIM(MID(SUBSTITUTE(G257,";",REPT(" ",99)),298,99)))+1,99)),IF(TRIM(MID(SUBSTITUTE(G257,";",REPT(" ",99)),397,99))="","",IFERROR(VLOOKUP(--LEFT(TRIM(MID(SUBSTITUTE(G257,";",REPT(" ",99)),397,99)),FIND(":",TRIM(MID(SUBSTITUTE(G257,";",REPT(" ",99)),397,99)))-1),_Lookup!$A:$B,2,FALSE),"?")&amp;"×"&amp;MID(TRIM(MID(SUBSTITUTE(G257,";",REPT(" ",99)),397,99)),FIND(":",TRIM(MID(SUBSTITUTE(G257,";",REPT(" ",99)),397,99)))+1,99))))</f>
        <v/>
      </c>
    </row>
    <row r="258">
      <c r="C258" s="11">
        <f>IFERROR(VLOOKUP(B258,ItemData_Equipment!$A:$B,2,FALSE),"")</f>
        <v/>
      </c>
      <c r="H258" s="11">
        <f>IF(G258="","",TEXTJOIN("; ",TRUE,IF(TRIM(MID(SUBSTITUTE(G258,";",REPT(" ",99)),1,99))="","",IFERROR(VLOOKUP(--LEFT(TRIM(MID(SUBSTITUTE(G258,";",REPT(" ",99)),1,99)),FIND(":",TRIM(MID(SUBSTITUTE(G258,";",REPT(" ",99)),1,99)))-1),_Lookup!$A:$B,2,FALSE),"?")&amp;"×"&amp;MID(TRIM(MID(SUBSTITUTE(G258,";",REPT(" ",99)),1,99)),FIND(":",TRIM(MID(SUBSTITUTE(G258,";",REPT(" ",99)),1,99)))+1,99)),IF(TRIM(MID(SUBSTITUTE(G258,";",REPT(" ",99)),100,99))="","",IFERROR(VLOOKUP(--LEFT(TRIM(MID(SUBSTITUTE(G258,";",REPT(" ",99)),100,99)),FIND(":",TRIM(MID(SUBSTITUTE(G258,";",REPT(" ",99)),100,99)))-1),_Lookup!$A:$B,2,FALSE),"?")&amp;"×"&amp;MID(TRIM(MID(SUBSTITUTE(G258,";",REPT(" ",99)),100,99)),FIND(":",TRIM(MID(SUBSTITUTE(G258,";",REPT(" ",99)),100,99)))+1,99)),IF(TRIM(MID(SUBSTITUTE(G258,";",REPT(" ",99)),199,99))="","",IFERROR(VLOOKUP(--LEFT(TRIM(MID(SUBSTITUTE(G258,";",REPT(" ",99)),199,99)),FIND(":",TRIM(MID(SUBSTITUTE(G258,";",REPT(" ",99)),199,99)))-1),_Lookup!$A:$B,2,FALSE),"?")&amp;"×"&amp;MID(TRIM(MID(SUBSTITUTE(G258,";",REPT(" ",99)),199,99)),FIND(":",TRIM(MID(SUBSTITUTE(G258,";",REPT(" ",99)),199,99)))+1,99)),IF(TRIM(MID(SUBSTITUTE(G258,";",REPT(" ",99)),298,99))="","",IFERROR(VLOOKUP(--LEFT(TRIM(MID(SUBSTITUTE(G258,";",REPT(" ",99)),298,99)),FIND(":",TRIM(MID(SUBSTITUTE(G258,";",REPT(" ",99)),298,99)))-1),_Lookup!$A:$B,2,FALSE),"?")&amp;"×"&amp;MID(TRIM(MID(SUBSTITUTE(G258,";",REPT(" ",99)),298,99)),FIND(":",TRIM(MID(SUBSTITUTE(G258,";",REPT(" ",99)),298,99)))+1,99)),IF(TRIM(MID(SUBSTITUTE(G258,";",REPT(" ",99)),397,99))="","",IFERROR(VLOOKUP(--LEFT(TRIM(MID(SUBSTITUTE(G258,";",REPT(" ",99)),397,99)),FIND(":",TRIM(MID(SUBSTITUTE(G258,";",REPT(" ",99)),397,99)))-1),_Lookup!$A:$B,2,FALSE),"?")&amp;"×"&amp;MID(TRIM(MID(SUBSTITUTE(G258,";",REPT(" ",99)),397,99)),FIND(":",TRIM(MID(SUBSTITUTE(G258,";",REPT(" ",99)),397,99)))+1,99))))</f>
        <v/>
      </c>
    </row>
    <row r="259">
      <c r="C259" s="11">
        <f>IFERROR(VLOOKUP(B259,ItemData_Equipment!$A:$B,2,FALSE),"")</f>
        <v/>
      </c>
      <c r="H259" s="11">
        <f>IF(G259="","",TEXTJOIN("; ",TRUE,IF(TRIM(MID(SUBSTITUTE(G259,";",REPT(" ",99)),1,99))="","",IFERROR(VLOOKUP(--LEFT(TRIM(MID(SUBSTITUTE(G259,";",REPT(" ",99)),1,99)),FIND(":",TRIM(MID(SUBSTITUTE(G259,";",REPT(" ",99)),1,99)))-1),_Lookup!$A:$B,2,FALSE),"?")&amp;"×"&amp;MID(TRIM(MID(SUBSTITUTE(G259,";",REPT(" ",99)),1,99)),FIND(":",TRIM(MID(SUBSTITUTE(G259,";",REPT(" ",99)),1,99)))+1,99)),IF(TRIM(MID(SUBSTITUTE(G259,";",REPT(" ",99)),100,99))="","",IFERROR(VLOOKUP(--LEFT(TRIM(MID(SUBSTITUTE(G259,";",REPT(" ",99)),100,99)),FIND(":",TRIM(MID(SUBSTITUTE(G259,";",REPT(" ",99)),100,99)))-1),_Lookup!$A:$B,2,FALSE),"?")&amp;"×"&amp;MID(TRIM(MID(SUBSTITUTE(G259,";",REPT(" ",99)),100,99)),FIND(":",TRIM(MID(SUBSTITUTE(G259,";",REPT(" ",99)),100,99)))+1,99)),IF(TRIM(MID(SUBSTITUTE(G259,";",REPT(" ",99)),199,99))="","",IFERROR(VLOOKUP(--LEFT(TRIM(MID(SUBSTITUTE(G259,";",REPT(" ",99)),199,99)),FIND(":",TRIM(MID(SUBSTITUTE(G259,";",REPT(" ",99)),199,99)))-1),_Lookup!$A:$B,2,FALSE),"?")&amp;"×"&amp;MID(TRIM(MID(SUBSTITUTE(G259,";",REPT(" ",99)),199,99)),FIND(":",TRIM(MID(SUBSTITUTE(G259,";",REPT(" ",99)),199,99)))+1,99)),IF(TRIM(MID(SUBSTITUTE(G259,";",REPT(" ",99)),298,99))="","",IFERROR(VLOOKUP(--LEFT(TRIM(MID(SUBSTITUTE(G259,";",REPT(" ",99)),298,99)),FIND(":",TRIM(MID(SUBSTITUTE(G259,";",REPT(" ",99)),298,99)))-1),_Lookup!$A:$B,2,FALSE),"?")&amp;"×"&amp;MID(TRIM(MID(SUBSTITUTE(G259,";",REPT(" ",99)),298,99)),FIND(":",TRIM(MID(SUBSTITUTE(G259,";",REPT(" ",99)),298,99)))+1,99)),IF(TRIM(MID(SUBSTITUTE(G259,";",REPT(" ",99)),397,99))="","",IFERROR(VLOOKUP(--LEFT(TRIM(MID(SUBSTITUTE(G259,";",REPT(" ",99)),397,99)),FIND(":",TRIM(MID(SUBSTITUTE(G259,";",REPT(" ",99)),397,99)))-1),_Lookup!$A:$B,2,FALSE),"?")&amp;"×"&amp;MID(TRIM(MID(SUBSTITUTE(G259,";",REPT(" ",99)),397,99)),FIND(":",TRIM(MID(SUBSTITUTE(G259,";",REPT(" ",99)),397,99)))+1,99))))</f>
        <v/>
      </c>
    </row>
    <row r="260">
      <c r="C260" s="11">
        <f>IFERROR(VLOOKUP(B260,ItemData_Equipment!$A:$B,2,FALSE),"")</f>
        <v/>
      </c>
      <c r="H260" s="11">
        <f>IF(G260="","",TEXTJOIN("; ",TRUE,IF(TRIM(MID(SUBSTITUTE(G260,";",REPT(" ",99)),1,99))="","",IFERROR(VLOOKUP(--LEFT(TRIM(MID(SUBSTITUTE(G260,";",REPT(" ",99)),1,99)),FIND(":",TRIM(MID(SUBSTITUTE(G260,";",REPT(" ",99)),1,99)))-1),_Lookup!$A:$B,2,FALSE),"?")&amp;"×"&amp;MID(TRIM(MID(SUBSTITUTE(G260,";",REPT(" ",99)),1,99)),FIND(":",TRIM(MID(SUBSTITUTE(G260,";",REPT(" ",99)),1,99)))+1,99)),IF(TRIM(MID(SUBSTITUTE(G260,";",REPT(" ",99)),100,99))="","",IFERROR(VLOOKUP(--LEFT(TRIM(MID(SUBSTITUTE(G260,";",REPT(" ",99)),100,99)),FIND(":",TRIM(MID(SUBSTITUTE(G260,";",REPT(" ",99)),100,99)))-1),_Lookup!$A:$B,2,FALSE),"?")&amp;"×"&amp;MID(TRIM(MID(SUBSTITUTE(G260,";",REPT(" ",99)),100,99)),FIND(":",TRIM(MID(SUBSTITUTE(G260,";",REPT(" ",99)),100,99)))+1,99)),IF(TRIM(MID(SUBSTITUTE(G260,";",REPT(" ",99)),199,99))="","",IFERROR(VLOOKUP(--LEFT(TRIM(MID(SUBSTITUTE(G260,";",REPT(" ",99)),199,99)),FIND(":",TRIM(MID(SUBSTITUTE(G260,";",REPT(" ",99)),199,99)))-1),_Lookup!$A:$B,2,FALSE),"?")&amp;"×"&amp;MID(TRIM(MID(SUBSTITUTE(G260,";",REPT(" ",99)),199,99)),FIND(":",TRIM(MID(SUBSTITUTE(G260,";",REPT(" ",99)),199,99)))+1,99)),IF(TRIM(MID(SUBSTITUTE(G260,";",REPT(" ",99)),298,99))="","",IFERROR(VLOOKUP(--LEFT(TRIM(MID(SUBSTITUTE(G260,";",REPT(" ",99)),298,99)),FIND(":",TRIM(MID(SUBSTITUTE(G260,";",REPT(" ",99)),298,99)))-1),_Lookup!$A:$B,2,FALSE),"?")&amp;"×"&amp;MID(TRIM(MID(SUBSTITUTE(G260,";",REPT(" ",99)),298,99)),FIND(":",TRIM(MID(SUBSTITUTE(G260,";",REPT(" ",99)),298,99)))+1,99)),IF(TRIM(MID(SUBSTITUTE(G260,";",REPT(" ",99)),397,99))="","",IFERROR(VLOOKUP(--LEFT(TRIM(MID(SUBSTITUTE(G260,";",REPT(" ",99)),397,99)),FIND(":",TRIM(MID(SUBSTITUTE(G260,";",REPT(" ",99)),397,99)))-1),_Lookup!$A:$B,2,FALSE),"?")&amp;"×"&amp;MID(TRIM(MID(SUBSTITUTE(G260,";",REPT(" ",99)),397,99)),FIND(":",TRIM(MID(SUBSTITUTE(G260,";",REPT(" ",99)),397,99)))+1,99))))</f>
        <v/>
      </c>
    </row>
    <row r="261">
      <c r="C261" s="11">
        <f>IFERROR(VLOOKUP(B261,ItemData_Equipment!$A:$B,2,FALSE),"")</f>
        <v/>
      </c>
      <c r="H261" s="11">
        <f>IF(G261="","",TEXTJOIN("; ",TRUE,IF(TRIM(MID(SUBSTITUTE(G261,";",REPT(" ",99)),1,99))="","",IFERROR(VLOOKUP(--LEFT(TRIM(MID(SUBSTITUTE(G261,";",REPT(" ",99)),1,99)),FIND(":",TRIM(MID(SUBSTITUTE(G261,";",REPT(" ",99)),1,99)))-1),_Lookup!$A:$B,2,FALSE),"?")&amp;"×"&amp;MID(TRIM(MID(SUBSTITUTE(G261,";",REPT(" ",99)),1,99)),FIND(":",TRIM(MID(SUBSTITUTE(G261,";",REPT(" ",99)),1,99)))+1,99)),IF(TRIM(MID(SUBSTITUTE(G261,";",REPT(" ",99)),100,99))="","",IFERROR(VLOOKUP(--LEFT(TRIM(MID(SUBSTITUTE(G261,";",REPT(" ",99)),100,99)),FIND(":",TRIM(MID(SUBSTITUTE(G261,";",REPT(" ",99)),100,99)))-1),_Lookup!$A:$B,2,FALSE),"?")&amp;"×"&amp;MID(TRIM(MID(SUBSTITUTE(G261,";",REPT(" ",99)),100,99)),FIND(":",TRIM(MID(SUBSTITUTE(G261,";",REPT(" ",99)),100,99)))+1,99)),IF(TRIM(MID(SUBSTITUTE(G261,";",REPT(" ",99)),199,99))="","",IFERROR(VLOOKUP(--LEFT(TRIM(MID(SUBSTITUTE(G261,";",REPT(" ",99)),199,99)),FIND(":",TRIM(MID(SUBSTITUTE(G261,";",REPT(" ",99)),199,99)))-1),_Lookup!$A:$B,2,FALSE),"?")&amp;"×"&amp;MID(TRIM(MID(SUBSTITUTE(G261,";",REPT(" ",99)),199,99)),FIND(":",TRIM(MID(SUBSTITUTE(G261,";",REPT(" ",99)),199,99)))+1,99)),IF(TRIM(MID(SUBSTITUTE(G261,";",REPT(" ",99)),298,99))="","",IFERROR(VLOOKUP(--LEFT(TRIM(MID(SUBSTITUTE(G261,";",REPT(" ",99)),298,99)),FIND(":",TRIM(MID(SUBSTITUTE(G261,";",REPT(" ",99)),298,99)))-1),_Lookup!$A:$B,2,FALSE),"?")&amp;"×"&amp;MID(TRIM(MID(SUBSTITUTE(G261,";",REPT(" ",99)),298,99)),FIND(":",TRIM(MID(SUBSTITUTE(G261,";",REPT(" ",99)),298,99)))+1,99)),IF(TRIM(MID(SUBSTITUTE(G261,";",REPT(" ",99)),397,99))="","",IFERROR(VLOOKUP(--LEFT(TRIM(MID(SUBSTITUTE(G261,";",REPT(" ",99)),397,99)),FIND(":",TRIM(MID(SUBSTITUTE(G261,";",REPT(" ",99)),397,99)))-1),_Lookup!$A:$B,2,FALSE),"?")&amp;"×"&amp;MID(TRIM(MID(SUBSTITUTE(G261,";",REPT(" ",99)),397,99)),FIND(":",TRIM(MID(SUBSTITUTE(G261,";",REPT(" ",99)),397,99)))+1,99))))</f>
        <v/>
      </c>
    </row>
    <row r="262">
      <c r="C262" s="11">
        <f>IFERROR(VLOOKUP(B262,ItemData_Equipment!$A:$B,2,FALSE),"")</f>
        <v/>
      </c>
      <c r="H262" s="11">
        <f>IF(G262="","",TEXTJOIN("; ",TRUE,IF(TRIM(MID(SUBSTITUTE(G262,";",REPT(" ",99)),1,99))="","",IFERROR(VLOOKUP(--LEFT(TRIM(MID(SUBSTITUTE(G262,";",REPT(" ",99)),1,99)),FIND(":",TRIM(MID(SUBSTITUTE(G262,";",REPT(" ",99)),1,99)))-1),_Lookup!$A:$B,2,FALSE),"?")&amp;"×"&amp;MID(TRIM(MID(SUBSTITUTE(G262,";",REPT(" ",99)),1,99)),FIND(":",TRIM(MID(SUBSTITUTE(G262,";",REPT(" ",99)),1,99)))+1,99)),IF(TRIM(MID(SUBSTITUTE(G262,";",REPT(" ",99)),100,99))="","",IFERROR(VLOOKUP(--LEFT(TRIM(MID(SUBSTITUTE(G262,";",REPT(" ",99)),100,99)),FIND(":",TRIM(MID(SUBSTITUTE(G262,";",REPT(" ",99)),100,99)))-1),_Lookup!$A:$B,2,FALSE),"?")&amp;"×"&amp;MID(TRIM(MID(SUBSTITUTE(G262,";",REPT(" ",99)),100,99)),FIND(":",TRIM(MID(SUBSTITUTE(G262,";",REPT(" ",99)),100,99)))+1,99)),IF(TRIM(MID(SUBSTITUTE(G262,";",REPT(" ",99)),199,99))="","",IFERROR(VLOOKUP(--LEFT(TRIM(MID(SUBSTITUTE(G262,";",REPT(" ",99)),199,99)),FIND(":",TRIM(MID(SUBSTITUTE(G262,";",REPT(" ",99)),199,99)))-1),_Lookup!$A:$B,2,FALSE),"?")&amp;"×"&amp;MID(TRIM(MID(SUBSTITUTE(G262,";",REPT(" ",99)),199,99)),FIND(":",TRIM(MID(SUBSTITUTE(G262,";",REPT(" ",99)),199,99)))+1,99)),IF(TRIM(MID(SUBSTITUTE(G262,";",REPT(" ",99)),298,99))="","",IFERROR(VLOOKUP(--LEFT(TRIM(MID(SUBSTITUTE(G262,";",REPT(" ",99)),298,99)),FIND(":",TRIM(MID(SUBSTITUTE(G262,";",REPT(" ",99)),298,99)))-1),_Lookup!$A:$B,2,FALSE),"?")&amp;"×"&amp;MID(TRIM(MID(SUBSTITUTE(G262,";",REPT(" ",99)),298,99)),FIND(":",TRIM(MID(SUBSTITUTE(G262,";",REPT(" ",99)),298,99)))+1,99)),IF(TRIM(MID(SUBSTITUTE(G262,";",REPT(" ",99)),397,99))="","",IFERROR(VLOOKUP(--LEFT(TRIM(MID(SUBSTITUTE(G262,";",REPT(" ",99)),397,99)),FIND(":",TRIM(MID(SUBSTITUTE(G262,";",REPT(" ",99)),397,99)))-1),_Lookup!$A:$B,2,FALSE),"?")&amp;"×"&amp;MID(TRIM(MID(SUBSTITUTE(G262,";",REPT(" ",99)),397,99)),FIND(":",TRIM(MID(SUBSTITUTE(G262,";",REPT(" ",99)),397,99)))+1,99))))</f>
        <v/>
      </c>
    </row>
    <row r="263">
      <c r="C263" s="11">
        <f>IFERROR(VLOOKUP(B263,ItemData_Equipment!$A:$B,2,FALSE),"")</f>
        <v/>
      </c>
      <c r="H263" s="11">
        <f>IF(G263="","",TEXTJOIN("; ",TRUE,IF(TRIM(MID(SUBSTITUTE(G263,";",REPT(" ",99)),1,99))="","",IFERROR(VLOOKUP(--LEFT(TRIM(MID(SUBSTITUTE(G263,";",REPT(" ",99)),1,99)),FIND(":",TRIM(MID(SUBSTITUTE(G263,";",REPT(" ",99)),1,99)))-1),_Lookup!$A:$B,2,FALSE),"?")&amp;"×"&amp;MID(TRIM(MID(SUBSTITUTE(G263,";",REPT(" ",99)),1,99)),FIND(":",TRIM(MID(SUBSTITUTE(G263,";",REPT(" ",99)),1,99)))+1,99)),IF(TRIM(MID(SUBSTITUTE(G263,";",REPT(" ",99)),100,99))="","",IFERROR(VLOOKUP(--LEFT(TRIM(MID(SUBSTITUTE(G263,";",REPT(" ",99)),100,99)),FIND(":",TRIM(MID(SUBSTITUTE(G263,";",REPT(" ",99)),100,99)))-1),_Lookup!$A:$B,2,FALSE),"?")&amp;"×"&amp;MID(TRIM(MID(SUBSTITUTE(G263,";",REPT(" ",99)),100,99)),FIND(":",TRIM(MID(SUBSTITUTE(G263,";",REPT(" ",99)),100,99)))+1,99)),IF(TRIM(MID(SUBSTITUTE(G263,";",REPT(" ",99)),199,99))="","",IFERROR(VLOOKUP(--LEFT(TRIM(MID(SUBSTITUTE(G263,";",REPT(" ",99)),199,99)),FIND(":",TRIM(MID(SUBSTITUTE(G263,";",REPT(" ",99)),199,99)))-1),_Lookup!$A:$B,2,FALSE),"?")&amp;"×"&amp;MID(TRIM(MID(SUBSTITUTE(G263,";",REPT(" ",99)),199,99)),FIND(":",TRIM(MID(SUBSTITUTE(G263,";",REPT(" ",99)),199,99)))+1,99)),IF(TRIM(MID(SUBSTITUTE(G263,";",REPT(" ",99)),298,99))="","",IFERROR(VLOOKUP(--LEFT(TRIM(MID(SUBSTITUTE(G263,";",REPT(" ",99)),298,99)),FIND(":",TRIM(MID(SUBSTITUTE(G263,";",REPT(" ",99)),298,99)))-1),_Lookup!$A:$B,2,FALSE),"?")&amp;"×"&amp;MID(TRIM(MID(SUBSTITUTE(G263,";",REPT(" ",99)),298,99)),FIND(":",TRIM(MID(SUBSTITUTE(G263,";",REPT(" ",99)),298,99)))+1,99)),IF(TRIM(MID(SUBSTITUTE(G263,";",REPT(" ",99)),397,99))="","",IFERROR(VLOOKUP(--LEFT(TRIM(MID(SUBSTITUTE(G263,";",REPT(" ",99)),397,99)),FIND(":",TRIM(MID(SUBSTITUTE(G263,";",REPT(" ",99)),397,99)))-1),_Lookup!$A:$B,2,FALSE),"?")&amp;"×"&amp;MID(TRIM(MID(SUBSTITUTE(G263,";",REPT(" ",99)),397,99)),FIND(":",TRIM(MID(SUBSTITUTE(G263,";",REPT(" ",99)),397,99)))+1,99))))</f>
        <v/>
      </c>
    </row>
    <row r="264">
      <c r="C264" s="11">
        <f>IFERROR(VLOOKUP(B264,ItemData_Equipment!$A:$B,2,FALSE),"")</f>
        <v/>
      </c>
      <c r="H264" s="11">
        <f>IF(G264="","",TEXTJOIN("; ",TRUE,IF(TRIM(MID(SUBSTITUTE(G264,";",REPT(" ",99)),1,99))="","",IFERROR(VLOOKUP(--LEFT(TRIM(MID(SUBSTITUTE(G264,";",REPT(" ",99)),1,99)),FIND(":",TRIM(MID(SUBSTITUTE(G264,";",REPT(" ",99)),1,99)))-1),_Lookup!$A:$B,2,FALSE),"?")&amp;"×"&amp;MID(TRIM(MID(SUBSTITUTE(G264,";",REPT(" ",99)),1,99)),FIND(":",TRIM(MID(SUBSTITUTE(G264,";",REPT(" ",99)),1,99)))+1,99)),IF(TRIM(MID(SUBSTITUTE(G264,";",REPT(" ",99)),100,99))="","",IFERROR(VLOOKUP(--LEFT(TRIM(MID(SUBSTITUTE(G264,";",REPT(" ",99)),100,99)),FIND(":",TRIM(MID(SUBSTITUTE(G264,";",REPT(" ",99)),100,99)))-1),_Lookup!$A:$B,2,FALSE),"?")&amp;"×"&amp;MID(TRIM(MID(SUBSTITUTE(G264,";",REPT(" ",99)),100,99)),FIND(":",TRIM(MID(SUBSTITUTE(G264,";",REPT(" ",99)),100,99)))+1,99)),IF(TRIM(MID(SUBSTITUTE(G264,";",REPT(" ",99)),199,99))="","",IFERROR(VLOOKUP(--LEFT(TRIM(MID(SUBSTITUTE(G264,";",REPT(" ",99)),199,99)),FIND(":",TRIM(MID(SUBSTITUTE(G264,";",REPT(" ",99)),199,99)))-1),_Lookup!$A:$B,2,FALSE),"?")&amp;"×"&amp;MID(TRIM(MID(SUBSTITUTE(G264,";",REPT(" ",99)),199,99)),FIND(":",TRIM(MID(SUBSTITUTE(G264,";",REPT(" ",99)),199,99)))+1,99)),IF(TRIM(MID(SUBSTITUTE(G264,";",REPT(" ",99)),298,99))="","",IFERROR(VLOOKUP(--LEFT(TRIM(MID(SUBSTITUTE(G264,";",REPT(" ",99)),298,99)),FIND(":",TRIM(MID(SUBSTITUTE(G264,";",REPT(" ",99)),298,99)))-1),_Lookup!$A:$B,2,FALSE),"?")&amp;"×"&amp;MID(TRIM(MID(SUBSTITUTE(G264,";",REPT(" ",99)),298,99)),FIND(":",TRIM(MID(SUBSTITUTE(G264,";",REPT(" ",99)),298,99)))+1,99)),IF(TRIM(MID(SUBSTITUTE(G264,";",REPT(" ",99)),397,99))="","",IFERROR(VLOOKUP(--LEFT(TRIM(MID(SUBSTITUTE(G264,";",REPT(" ",99)),397,99)),FIND(":",TRIM(MID(SUBSTITUTE(G264,";",REPT(" ",99)),397,99)))-1),_Lookup!$A:$B,2,FALSE),"?")&amp;"×"&amp;MID(TRIM(MID(SUBSTITUTE(G264,";",REPT(" ",99)),397,99)),FIND(":",TRIM(MID(SUBSTITUTE(G264,";",REPT(" ",99)),397,99)))+1,99))))</f>
        <v/>
      </c>
    </row>
    <row r="265">
      <c r="C265" s="11">
        <f>IFERROR(VLOOKUP(B265,ItemData_Equipment!$A:$B,2,FALSE),"")</f>
        <v/>
      </c>
      <c r="H265" s="11">
        <f>IF(G265="","",TEXTJOIN("; ",TRUE,IF(TRIM(MID(SUBSTITUTE(G265,";",REPT(" ",99)),1,99))="","",IFERROR(VLOOKUP(--LEFT(TRIM(MID(SUBSTITUTE(G265,";",REPT(" ",99)),1,99)),FIND(":",TRIM(MID(SUBSTITUTE(G265,";",REPT(" ",99)),1,99)))-1),_Lookup!$A:$B,2,FALSE),"?")&amp;"×"&amp;MID(TRIM(MID(SUBSTITUTE(G265,";",REPT(" ",99)),1,99)),FIND(":",TRIM(MID(SUBSTITUTE(G265,";",REPT(" ",99)),1,99)))+1,99)),IF(TRIM(MID(SUBSTITUTE(G265,";",REPT(" ",99)),100,99))="","",IFERROR(VLOOKUP(--LEFT(TRIM(MID(SUBSTITUTE(G265,";",REPT(" ",99)),100,99)),FIND(":",TRIM(MID(SUBSTITUTE(G265,";",REPT(" ",99)),100,99)))-1),_Lookup!$A:$B,2,FALSE),"?")&amp;"×"&amp;MID(TRIM(MID(SUBSTITUTE(G265,";",REPT(" ",99)),100,99)),FIND(":",TRIM(MID(SUBSTITUTE(G265,";",REPT(" ",99)),100,99)))+1,99)),IF(TRIM(MID(SUBSTITUTE(G265,";",REPT(" ",99)),199,99))="","",IFERROR(VLOOKUP(--LEFT(TRIM(MID(SUBSTITUTE(G265,";",REPT(" ",99)),199,99)),FIND(":",TRIM(MID(SUBSTITUTE(G265,";",REPT(" ",99)),199,99)))-1),_Lookup!$A:$B,2,FALSE),"?")&amp;"×"&amp;MID(TRIM(MID(SUBSTITUTE(G265,";",REPT(" ",99)),199,99)),FIND(":",TRIM(MID(SUBSTITUTE(G265,";",REPT(" ",99)),199,99)))+1,99)),IF(TRIM(MID(SUBSTITUTE(G265,";",REPT(" ",99)),298,99))="","",IFERROR(VLOOKUP(--LEFT(TRIM(MID(SUBSTITUTE(G265,";",REPT(" ",99)),298,99)),FIND(":",TRIM(MID(SUBSTITUTE(G265,";",REPT(" ",99)),298,99)))-1),_Lookup!$A:$B,2,FALSE),"?")&amp;"×"&amp;MID(TRIM(MID(SUBSTITUTE(G265,";",REPT(" ",99)),298,99)),FIND(":",TRIM(MID(SUBSTITUTE(G265,";",REPT(" ",99)),298,99)))+1,99)),IF(TRIM(MID(SUBSTITUTE(G265,";",REPT(" ",99)),397,99))="","",IFERROR(VLOOKUP(--LEFT(TRIM(MID(SUBSTITUTE(G265,";",REPT(" ",99)),397,99)),FIND(":",TRIM(MID(SUBSTITUTE(G265,";",REPT(" ",99)),397,99)))-1),_Lookup!$A:$B,2,FALSE),"?")&amp;"×"&amp;MID(TRIM(MID(SUBSTITUTE(G265,";",REPT(" ",99)),397,99)),FIND(":",TRIM(MID(SUBSTITUTE(G265,";",REPT(" ",99)),397,99)))+1,99))))</f>
        <v/>
      </c>
    </row>
    <row r="266">
      <c r="C266" s="11">
        <f>IFERROR(VLOOKUP(B266,ItemData_Equipment!$A:$B,2,FALSE),"")</f>
        <v/>
      </c>
      <c r="H266" s="11">
        <f>IF(G266="","",TEXTJOIN("; ",TRUE,IF(TRIM(MID(SUBSTITUTE(G266,";",REPT(" ",99)),1,99))="","",IFERROR(VLOOKUP(--LEFT(TRIM(MID(SUBSTITUTE(G266,";",REPT(" ",99)),1,99)),FIND(":",TRIM(MID(SUBSTITUTE(G266,";",REPT(" ",99)),1,99)))-1),_Lookup!$A:$B,2,FALSE),"?")&amp;"×"&amp;MID(TRIM(MID(SUBSTITUTE(G266,";",REPT(" ",99)),1,99)),FIND(":",TRIM(MID(SUBSTITUTE(G266,";",REPT(" ",99)),1,99)))+1,99)),IF(TRIM(MID(SUBSTITUTE(G266,";",REPT(" ",99)),100,99))="","",IFERROR(VLOOKUP(--LEFT(TRIM(MID(SUBSTITUTE(G266,";",REPT(" ",99)),100,99)),FIND(":",TRIM(MID(SUBSTITUTE(G266,";",REPT(" ",99)),100,99)))-1),_Lookup!$A:$B,2,FALSE),"?")&amp;"×"&amp;MID(TRIM(MID(SUBSTITUTE(G266,";",REPT(" ",99)),100,99)),FIND(":",TRIM(MID(SUBSTITUTE(G266,";",REPT(" ",99)),100,99)))+1,99)),IF(TRIM(MID(SUBSTITUTE(G266,";",REPT(" ",99)),199,99))="","",IFERROR(VLOOKUP(--LEFT(TRIM(MID(SUBSTITUTE(G266,";",REPT(" ",99)),199,99)),FIND(":",TRIM(MID(SUBSTITUTE(G266,";",REPT(" ",99)),199,99)))-1),_Lookup!$A:$B,2,FALSE),"?")&amp;"×"&amp;MID(TRIM(MID(SUBSTITUTE(G266,";",REPT(" ",99)),199,99)),FIND(":",TRIM(MID(SUBSTITUTE(G266,";",REPT(" ",99)),199,99)))+1,99)),IF(TRIM(MID(SUBSTITUTE(G266,";",REPT(" ",99)),298,99))="","",IFERROR(VLOOKUP(--LEFT(TRIM(MID(SUBSTITUTE(G266,";",REPT(" ",99)),298,99)),FIND(":",TRIM(MID(SUBSTITUTE(G266,";",REPT(" ",99)),298,99)))-1),_Lookup!$A:$B,2,FALSE),"?")&amp;"×"&amp;MID(TRIM(MID(SUBSTITUTE(G266,";",REPT(" ",99)),298,99)),FIND(":",TRIM(MID(SUBSTITUTE(G266,";",REPT(" ",99)),298,99)))+1,99)),IF(TRIM(MID(SUBSTITUTE(G266,";",REPT(" ",99)),397,99))="","",IFERROR(VLOOKUP(--LEFT(TRIM(MID(SUBSTITUTE(G266,";",REPT(" ",99)),397,99)),FIND(":",TRIM(MID(SUBSTITUTE(G266,";",REPT(" ",99)),397,99)))-1),_Lookup!$A:$B,2,FALSE),"?")&amp;"×"&amp;MID(TRIM(MID(SUBSTITUTE(G266,";",REPT(" ",99)),397,99)),FIND(":",TRIM(MID(SUBSTITUTE(G266,";",REPT(" ",99)),397,99)))+1,99))))</f>
        <v/>
      </c>
    </row>
    <row r="267">
      <c r="C267" s="11">
        <f>IFERROR(VLOOKUP(B267,ItemData_Equipment!$A:$B,2,FALSE),"")</f>
        <v/>
      </c>
      <c r="H267" s="11">
        <f>IF(G267="","",TEXTJOIN("; ",TRUE,IF(TRIM(MID(SUBSTITUTE(G267,";",REPT(" ",99)),1,99))="","",IFERROR(VLOOKUP(--LEFT(TRIM(MID(SUBSTITUTE(G267,";",REPT(" ",99)),1,99)),FIND(":",TRIM(MID(SUBSTITUTE(G267,";",REPT(" ",99)),1,99)))-1),_Lookup!$A:$B,2,FALSE),"?")&amp;"×"&amp;MID(TRIM(MID(SUBSTITUTE(G267,";",REPT(" ",99)),1,99)),FIND(":",TRIM(MID(SUBSTITUTE(G267,";",REPT(" ",99)),1,99)))+1,99)),IF(TRIM(MID(SUBSTITUTE(G267,";",REPT(" ",99)),100,99))="","",IFERROR(VLOOKUP(--LEFT(TRIM(MID(SUBSTITUTE(G267,";",REPT(" ",99)),100,99)),FIND(":",TRIM(MID(SUBSTITUTE(G267,";",REPT(" ",99)),100,99)))-1),_Lookup!$A:$B,2,FALSE),"?")&amp;"×"&amp;MID(TRIM(MID(SUBSTITUTE(G267,";",REPT(" ",99)),100,99)),FIND(":",TRIM(MID(SUBSTITUTE(G267,";",REPT(" ",99)),100,99)))+1,99)),IF(TRIM(MID(SUBSTITUTE(G267,";",REPT(" ",99)),199,99))="","",IFERROR(VLOOKUP(--LEFT(TRIM(MID(SUBSTITUTE(G267,";",REPT(" ",99)),199,99)),FIND(":",TRIM(MID(SUBSTITUTE(G267,";",REPT(" ",99)),199,99)))-1),_Lookup!$A:$B,2,FALSE),"?")&amp;"×"&amp;MID(TRIM(MID(SUBSTITUTE(G267,";",REPT(" ",99)),199,99)),FIND(":",TRIM(MID(SUBSTITUTE(G267,";",REPT(" ",99)),199,99)))+1,99)),IF(TRIM(MID(SUBSTITUTE(G267,";",REPT(" ",99)),298,99))="","",IFERROR(VLOOKUP(--LEFT(TRIM(MID(SUBSTITUTE(G267,";",REPT(" ",99)),298,99)),FIND(":",TRIM(MID(SUBSTITUTE(G267,";",REPT(" ",99)),298,99)))-1),_Lookup!$A:$B,2,FALSE),"?")&amp;"×"&amp;MID(TRIM(MID(SUBSTITUTE(G267,";",REPT(" ",99)),298,99)),FIND(":",TRIM(MID(SUBSTITUTE(G267,";",REPT(" ",99)),298,99)))+1,99)),IF(TRIM(MID(SUBSTITUTE(G267,";",REPT(" ",99)),397,99))="","",IFERROR(VLOOKUP(--LEFT(TRIM(MID(SUBSTITUTE(G267,";",REPT(" ",99)),397,99)),FIND(":",TRIM(MID(SUBSTITUTE(G267,";",REPT(" ",99)),397,99)))-1),_Lookup!$A:$B,2,FALSE),"?")&amp;"×"&amp;MID(TRIM(MID(SUBSTITUTE(G267,";",REPT(" ",99)),397,99)),FIND(":",TRIM(MID(SUBSTITUTE(G267,";",REPT(" ",99)),397,99)))+1,99))))</f>
        <v/>
      </c>
    </row>
    <row r="268">
      <c r="C268" s="11">
        <f>IFERROR(VLOOKUP(B268,ItemData_Equipment!$A:$B,2,FALSE),"")</f>
        <v/>
      </c>
      <c r="H268" s="11">
        <f>IF(G268="","",TEXTJOIN("; ",TRUE,IF(TRIM(MID(SUBSTITUTE(G268,";",REPT(" ",99)),1,99))="","",IFERROR(VLOOKUP(--LEFT(TRIM(MID(SUBSTITUTE(G268,";",REPT(" ",99)),1,99)),FIND(":",TRIM(MID(SUBSTITUTE(G268,";",REPT(" ",99)),1,99)))-1),_Lookup!$A:$B,2,FALSE),"?")&amp;"×"&amp;MID(TRIM(MID(SUBSTITUTE(G268,";",REPT(" ",99)),1,99)),FIND(":",TRIM(MID(SUBSTITUTE(G268,";",REPT(" ",99)),1,99)))+1,99)),IF(TRIM(MID(SUBSTITUTE(G268,";",REPT(" ",99)),100,99))="","",IFERROR(VLOOKUP(--LEFT(TRIM(MID(SUBSTITUTE(G268,";",REPT(" ",99)),100,99)),FIND(":",TRIM(MID(SUBSTITUTE(G268,";",REPT(" ",99)),100,99)))-1),_Lookup!$A:$B,2,FALSE),"?")&amp;"×"&amp;MID(TRIM(MID(SUBSTITUTE(G268,";",REPT(" ",99)),100,99)),FIND(":",TRIM(MID(SUBSTITUTE(G268,";",REPT(" ",99)),100,99)))+1,99)),IF(TRIM(MID(SUBSTITUTE(G268,";",REPT(" ",99)),199,99))="","",IFERROR(VLOOKUP(--LEFT(TRIM(MID(SUBSTITUTE(G268,";",REPT(" ",99)),199,99)),FIND(":",TRIM(MID(SUBSTITUTE(G268,";",REPT(" ",99)),199,99)))-1),_Lookup!$A:$B,2,FALSE),"?")&amp;"×"&amp;MID(TRIM(MID(SUBSTITUTE(G268,";",REPT(" ",99)),199,99)),FIND(":",TRIM(MID(SUBSTITUTE(G268,";",REPT(" ",99)),199,99)))+1,99)),IF(TRIM(MID(SUBSTITUTE(G268,";",REPT(" ",99)),298,99))="","",IFERROR(VLOOKUP(--LEFT(TRIM(MID(SUBSTITUTE(G268,";",REPT(" ",99)),298,99)),FIND(":",TRIM(MID(SUBSTITUTE(G268,";",REPT(" ",99)),298,99)))-1),_Lookup!$A:$B,2,FALSE),"?")&amp;"×"&amp;MID(TRIM(MID(SUBSTITUTE(G268,";",REPT(" ",99)),298,99)),FIND(":",TRIM(MID(SUBSTITUTE(G268,";",REPT(" ",99)),298,99)))+1,99)),IF(TRIM(MID(SUBSTITUTE(G268,";",REPT(" ",99)),397,99))="","",IFERROR(VLOOKUP(--LEFT(TRIM(MID(SUBSTITUTE(G268,";",REPT(" ",99)),397,99)),FIND(":",TRIM(MID(SUBSTITUTE(G268,";",REPT(" ",99)),397,99)))-1),_Lookup!$A:$B,2,FALSE),"?")&amp;"×"&amp;MID(TRIM(MID(SUBSTITUTE(G268,";",REPT(" ",99)),397,99)),FIND(":",TRIM(MID(SUBSTITUTE(G268,";",REPT(" ",99)),397,99)))+1,99))))</f>
        <v/>
      </c>
    </row>
    <row r="269">
      <c r="C269" s="11">
        <f>IFERROR(VLOOKUP(B269,ItemData_Equipment!$A:$B,2,FALSE),"")</f>
        <v/>
      </c>
      <c r="H269" s="11">
        <f>IF(G269="","",TEXTJOIN("; ",TRUE,IF(TRIM(MID(SUBSTITUTE(G269,";",REPT(" ",99)),1,99))="","",IFERROR(VLOOKUP(--LEFT(TRIM(MID(SUBSTITUTE(G269,";",REPT(" ",99)),1,99)),FIND(":",TRIM(MID(SUBSTITUTE(G269,";",REPT(" ",99)),1,99)))-1),_Lookup!$A:$B,2,FALSE),"?")&amp;"×"&amp;MID(TRIM(MID(SUBSTITUTE(G269,";",REPT(" ",99)),1,99)),FIND(":",TRIM(MID(SUBSTITUTE(G269,";",REPT(" ",99)),1,99)))+1,99)),IF(TRIM(MID(SUBSTITUTE(G269,";",REPT(" ",99)),100,99))="","",IFERROR(VLOOKUP(--LEFT(TRIM(MID(SUBSTITUTE(G269,";",REPT(" ",99)),100,99)),FIND(":",TRIM(MID(SUBSTITUTE(G269,";",REPT(" ",99)),100,99)))-1),_Lookup!$A:$B,2,FALSE),"?")&amp;"×"&amp;MID(TRIM(MID(SUBSTITUTE(G269,";",REPT(" ",99)),100,99)),FIND(":",TRIM(MID(SUBSTITUTE(G269,";",REPT(" ",99)),100,99)))+1,99)),IF(TRIM(MID(SUBSTITUTE(G269,";",REPT(" ",99)),199,99))="","",IFERROR(VLOOKUP(--LEFT(TRIM(MID(SUBSTITUTE(G269,";",REPT(" ",99)),199,99)),FIND(":",TRIM(MID(SUBSTITUTE(G269,";",REPT(" ",99)),199,99)))-1),_Lookup!$A:$B,2,FALSE),"?")&amp;"×"&amp;MID(TRIM(MID(SUBSTITUTE(G269,";",REPT(" ",99)),199,99)),FIND(":",TRIM(MID(SUBSTITUTE(G269,";",REPT(" ",99)),199,99)))+1,99)),IF(TRIM(MID(SUBSTITUTE(G269,";",REPT(" ",99)),298,99))="","",IFERROR(VLOOKUP(--LEFT(TRIM(MID(SUBSTITUTE(G269,";",REPT(" ",99)),298,99)),FIND(":",TRIM(MID(SUBSTITUTE(G269,";",REPT(" ",99)),298,99)))-1),_Lookup!$A:$B,2,FALSE),"?")&amp;"×"&amp;MID(TRIM(MID(SUBSTITUTE(G269,";",REPT(" ",99)),298,99)),FIND(":",TRIM(MID(SUBSTITUTE(G269,";",REPT(" ",99)),298,99)))+1,99)),IF(TRIM(MID(SUBSTITUTE(G269,";",REPT(" ",99)),397,99))="","",IFERROR(VLOOKUP(--LEFT(TRIM(MID(SUBSTITUTE(G269,";",REPT(" ",99)),397,99)),FIND(":",TRIM(MID(SUBSTITUTE(G269,";",REPT(" ",99)),397,99)))-1),_Lookup!$A:$B,2,FALSE),"?")&amp;"×"&amp;MID(TRIM(MID(SUBSTITUTE(G269,";",REPT(" ",99)),397,99)),FIND(":",TRIM(MID(SUBSTITUTE(G269,";",REPT(" ",99)),397,99)))+1,99))))</f>
        <v/>
      </c>
    </row>
    <row r="270">
      <c r="C270" s="11">
        <f>IFERROR(VLOOKUP(B270,ItemData_Equipment!$A:$B,2,FALSE),"")</f>
        <v/>
      </c>
      <c r="H270" s="11">
        <f>IF(G270="","",TEXTJOIN("; ",TRUE,IF(TRIM(MID(SUBSTITUTE(G270,";",REPT(" ",99)),1,99))="","",IFERROR(VLOOKUP(--LEFT(TRIM(MID(SUBSTITUTE(G270,";",REPT(" ",99)),1,99)),FIND(":",TRIM(MID(SUBSTITUTE(G270,";",REPT(" ",99)),1,99)))-1),_Lookup!$A:$B,2,FALSE),"?")&amp;"×"&amp;MID(TRIM(MID(SUBSTITUTE(G270,";",REPT(" ",99)),1,99)),FIND(":",TRIM(MID(SUBSTITUTE(G270,";",REPT(" ",99)),1,99)))+1,99)),IF(TRIM(MID(SUBSTITUTE(G270,";",REPT(" ",99)),100,99))="","",IFERROR(VLOOKUP(--LEFT(TRIM(MID(SUBSTITUTE(G270,";",REPT(" ",99)),100,99)),FIND(":",TRIM(MID(SUBSTITUTE(G270,";",REPT(" ",99)),100,99)))-1),_Lookup!$A:$B,2,FALSE),"?")&amp;"×"&amp;MID(TRIM(MID(SUBSTITUTE(G270,";",REPT(" ",99)),100,99)),FIND(":",TRIM(MID(SUBSTITUTE(G270,";",REPT(" ",99)),100,99)))+1,99)),IF(TRIM(MID(SUBSTITUTE(G270,";",REPT(" ",99)),199,99))="","",IFERROR(VLOOKUP(--LEFT(TRIM(MID(SUBSTITUTE(G270,";",REPT(" ",99)),199,99)),FIND(":",TRIM(MID(SUBSTITUTE(G270,";",REPT(" ",99)),199,99)))-1),_Lookup!$A:$B,2,FALSE),"?")&amp;"×"&amp;MID(TRIM(MID(SUBSTITUTE(G270,";",REPT(" ",99)),199,99)),FIND(":",TRIM(MID(SUBSTITUTE(G270,";",REPT(" ",99)),199,99)))+1,99)),IF(TRIM(MID(SUBSTITUTE(G270,";",REPT(" ",99)),298,99))="","",IFERROR(VLOOKUP(--LEFT(TRIM(MID(SUBSTITUTE(G270,";",REPT(" ",99)),298,99)),FIND(":",TRIM(MID(SUBSTITUTE(G270,";",REPT(" ",99)),298,99)))-1),_Lookup!$A:$B,2,FALSE),"?")&amp;"×"&amp;MID(TRIM(MID(SUBSTITUTE(G270,";",REPT(" ",99)),298,99)),FIND(":",TRIM(MID(SUBSTITUTE(G270,";",REPT(" ",99)),298,99)))+1,99)),IF(TRIM(MID(SUBSTITUTE(G270,";",REPT(" ",99)),397,99))="","",IFERROR(VLOOKUP(--LEFT(TRIM(MID(SUBSTITUTE(G270,";",REPT(" ",99)),397,99)),FIND(":",TRIM(MID(SUBSTITUTE(G270,";",REPT(" ",99)),397,99)))-1),_Lookup!$A:$B,2,FALSE),"?")&amp;"×"&amp;MID(TRIM(MID(SUBSTITUTE(G270,";",REPT(" ",99)),397,99)),FIND(":",TRIM(MID(SUBSTITUTE(G270,";",REPT(" ",99)),397,99)))+1,99))))</f>
        <v/>
      </c>
    </row>
    <row r="271">
      <c r="C271" s="11">
        <f>IFERROR(VLOOKUP(B271,ItemData_Equipment!$A:$B,2,FALSE),"")</f>
        <v/>
      </c>
      <c r="H271" s="11">
        <f>IF(G271="","",TEXTJOIN("; ",TRUE,IF(TRIM(MID(SUBSTITUTE(G271,";",REPT(" ",99)),1,99))="","",IFERROR(VLOOKUP(--LEFT(TRIM(MID(SUBSTITUTE(G271,";",REPT(" ",99)),1,99)),FIND(":",TRIM(MID(SUBSTITUTE(G271,";",REPT(" ",99)),1,99)))-1),_Lookup!$A:$B,2,FALSE),"?")&amp;"×"&amp;MID(TRIM(MID(SUBSTITUTE(G271,";",REPT(" ",99)),1,99)),FIND(":",TRIM(MID(SUBSTITUTE(G271,";",REPT(" ",99)),1,99)))+1,99)),IF(TRIM(MID(SUBSTITUTE(G271,";",REPT(" ",99)),100,99))="","",IFERROR(VLOOKUP(--LEFT(TRIM(MID(SUBSTITUTE(G271,";",REPT(" ",99)),100,99)),FIND(":",TRIM(MID(SUBSTITUTE(G271,";",REPT(" ",99)),100,99)))-1),_Lookup!$A:$B,2,FALSE),"?")&amp;"×"&amp;MID(TRIM(MID(SUBSTITUTE(G271,";",REPT(" ",99)),100,99)),FIND(":",TRIM(MID(SUBSTITUTE(G271,";",REPT(" ",99)),100,99)))+1,99)),IF(TRIM(MID(SUBSTITUTE(G271,";",REPT(" ",99)),199,99))="","",IFERROR(VLOOKUP(--LEFT(TRIM(MID(SUBSTITUTE(G271,";",REPT(" ",99)),199,99)),FIND(":",TRIM(MID(SUBSTITUTE(G271,";",REPT(" ",99)),199,99)))-1),_Lookup!$A:$B,2,FALSE),"?")&amp;"×"&amp;MID(TRIM(MID(SUBSTITUTE(G271,";",REPT(" ",99)),199,99)),FIND(":",TRIM(MID(SUBSTITUTE(G271,";",REPT(" ",99)),199,99)))+1,99)),IF(TRIM(MID(SUBSTITUTE(G271,";",REPT(" ",99)),298,99))="","",IFERROR(VLOOKUP(--LEFT(TRIM(MID(SUBSTITUTE(G271,";",REPT(" ",99)),298,99)),FIND(":",TRIM(MID(SUBSTITUTE(G271,";",REPT(" ",99)),298,99)))-1),_Lookup!$A:$B,2,FALSE),"?")&amp;"×"&amp;MID(TRIM(MID(SUBSTITUTE(G271,";",REPT(" ",99)),298,99)),FIND(":",TRIM(MID(SUBSTITUTE(G271,";",REPT(" ",99)),298,99)))+1,99)),IF(TRIM(MID(SUBSTITUTE(G271,";",REPT(" ",99)),397,99))="","",IFERROR(VLOOKUP(--LEFT(TRIM(MID(SUBSTITUTE(G271,";",REPT(" ",99)),397,99)),FIND(":",TRIM(MID(SUBSTITUTE(G271,";",REPT(" ",99)),397,99)))-1),_Lookup!$A:$B,2,FALSE),"?")&amp;"×"&amp;MID(TRIM(MID(SUBSTITUTE(G271,";",REPT(" ",99)),397,99)),FIND(":",TRIM(MID(SUBSTITUTE(G271,";",REPT(" ",99)),397,99)))+1,99))))</f>
        <v/>
      </c>
    </row>
    <row r="272">
      <c r="C272" s="11">
        <f>IFERROR(VLOOKUP(B272,ItemData_Equipment!$A:$B,2,FALSE),"")</f>
        <v/>
      </c>
      <c r="H272" s="11">
        <f>IF(G272="","",TEXTJOIN("; ",TRUE,IF(TRIM(MID(SUBSTITUTE(G272,";",REPT(" ",99)),1,99))="","",IFERROR(VLOOKUP(--LEFT(TRIM(MID(SUBSTITUTE(G272,";",REPT(" ",99)),1,99)),FIND(":",TRIM(MID(SUBSTITUTE(G272,";",REPT(" ",99)),1,99)))-1),_Lookup!$A:$B,2,FALSE),"?")&amp;"×"&amp;MID(TRIM(MID(SUBSTITUTE(G272,";",REPT(" ",99)),1,99)),FIND(":",TRIM(MID(SUBSTITUTE(G272,";",REPT(" ",99)),1,99)))+1,99)),IF(TRIM(MID(SUBSTITUTE(G272,";",REPT(" ",99)),100,99))="","",IFERROR(VLOOKUP(--LEFT(TRIM(MID(SUBSTITUTE(G272,";",REPT(" ",99)),100,99)),FIND(":",TRIM(MID(SUBSTITUTE(G272,";",REPT(" ",99)),100,99)))-1),_Lookup!$A:$B,2,FALSE),"?")&amp;"×"&amp;MID(TRIM(MID(SUBSTITUTE(G272,";",REPT(" ",99)),100,99)),FIND(":",TRIM(MID(SUBSTITUTE(G272,";",REPT(" ",99)),100,99)))+1,99)),IF(TRIM(MID(SUBSTITUTE(G272,";",REPT(" ",99)),199,99))="","",IFERROR(VLOOKUP(--LEFT(TRIM(MID(SUBSTITUTE(G272,";",REPT(" ",99)),199,99)),FIND(":",TRIM(MID(SUBSTITUTE(G272,";",REPT(" ",99)),199,99)))-1),_Lookup!$A:$B,2,FALSE),"?")&amp;"×"&amp;MID(TRIM(MID(SUBSTITUTE(G272,";",REPT(" ",99)),199,99)),FIND(":",TRIM(MID(SUBSTITUTE(G272,";",REPT(" ",99)),199,99)))+1,99)),IF(TRIM(MID(SUBSTITUTE(G272,";",REPT(" ",99)),298,99))="","",IFERROR(VLOOKUP(--LEFT(TRIM(MID(SUBSTITUTE(G272,";",REPT(" ",99)),298,99)),FIND(":",TRIM(MID(SUBSTITUTE(G272,";",REPT(" ",99)),298,99)))-1),_Lookup!$A:$B,2,FALSE),"?")&amp;"×"&amp;MID(TRIM(MID(SUBSTITUTE(G272,";",REPT(" ",99)),298,99)),FIND(":",TRIM(MID(SUBSTITUTE(G272,";",REPT(" ",99)),298,99)))+1,99)),IF(TRIM(MID(SUBSTITUTE(G272,";",REPT(" ",99)),397,99))="","",IFERROR(VLOOKUP(--LEFT(TRIM(MID(SUBSTITUTE(G272,";",REPT(" ",99)),397,99)),FIND(":",TRIM(MID(SUBSTITUTE(G272,";",REPT(" ",99)),397,99)))-1),_Lookup!$A:$B,2,FALSE),"?")&amp;"×"&amp;MID(TRIM(MID(SUBSTITUTE(G272,";",REPT(" ",99)),397,99)),FIND(":",TRIM(MID(SUBSTITUTE(G272,";",REPT(" ",99)),397,99)))+1,99))))</f>
        <v/>
      </c>
    </row>
    <row r="273">
      <c r="C273" s="11">
        <f>IFERROR(VLOOKUP(B273,ItemData_Equipment!$A:$B,2,FALSE),"")</f>
        <v/>
      </c>
      <c r="H273" s="11">
        <f>IF(G273="","",TEXTJOIN("; ",TRUE,IF(TRIM(MID(SUBSTITUTE(G273,";",REPT(" ",99)),1,99))="","",IFERROR(VLOOKUP(--LEFT(TRIM(MID(SUBSTITUTE(G273,";",REPT(" ",99)),1,99)),FIND(":",TRIM(MID(SUBSTITUTE(G273,";",REPT(" ",99)),1,99)))-1),_Lookup!$A:$B,2,FALSE),"?")&amp;"×"&amp;MID(TRIM(MID(SUBSTITUTE(G273,";",REPT(" ",99)),1,99)),FIND(":",TRIM(MID(SUBSTITUTE(G273,";",REPT(" ",99)),1,99)))+1,99)),IF(TRIM(MID(SUBSTITUTE(G273,";",REPT(" ",99)),100,99))="","",IFERROR(VLOOKUP(--LEFT(TRIM(MID(SUBSTITUTE(G273,";",REPT(" ",99)),100,99)),FIND(":",TRIM(MID(SUBSTITUTE(G273,";",REPT(" ",99)),100,99)))-1),_Lookup!$A:$B,2,FALSE),"?")&amp;"×"&amp;MID(TRIM(MID(SUBSTITUTE(G273,";",REPT(" ",99)),100,99)),FIND(":",TRIM(MID(SUBSTITUTE(G273,";",REPT(" ",99)),100,99)))+1,99)),IF(TRIM(MID(SUBSTITUTE(G273,";",REPT(" ",99)),199,99))="","",IFERROR(VLOOKUP(--LEFT(TRIM(MID(SUBSTITUTE(G273,";",REPT(" ",99)),199,99)),FIND(":",TRIM(MID(SUBSTITUTE(G273,";",REPT(" ",99)),199,99)))-1),_Lookup!$A:$B,2,FALSE),"?")&amp;"×"&amp;MID(TRIM(MID(SUBSTITUTE(G273,";",REPT(" ",99)),199,99)),FIND(":",TRIM(MID(SUBSTITUTE(G273,";",REPT(" ",99)),199,99)))+1,99)),IF(TRIM(MID(SUBSTITUTE(G273,";",REPT(" ",99)),298,99))="","",IFERROR(VLOOKUP(--LEFT(TRIM(MID(SUBSTITUTE(G273,";",REPT(" ",99)),298,99)),FIND(":",TRIM(MID(SUBSTITUTE(G273,";",REPT(" ",99)),298,99)))-1),_Lookup!$A:$B,2,FALSE),"?")&amp;"×"&amp;MID(TRIM(MID(SUBSTITUTE(G273,";",REPT(" ",99)),298,99)),FIND(":",TRIM(MID(SUBSTITUTE(G273,";",REPT(" ",99)),298,99)))+1,99)),IF(TRIM(MID(SUBSTITUTE(G273,";",REPT(" ",99)),397,99))="","",IFERROR(VLOOKUP(--LEFT(TRIM(MID(SUBSTITUTE(G273,";",REPT(" ",99)),397,99)),FIND(":",TRIM(MID(SUBSTITUTE(G273,";",REPT(" ",99)),397,99)))-1),_Lookup!$A:$B,2,FALSE),"?")&amp;"×"&amp;MID(TRIM(MID(SUBSTITUTE(G273,";",REPT(" ",99)),397,99)),FIND(":",TRIM(MID(SUBSTITUTE(G273,";",REPT(" ",99)),397,99)))+1,99))))</f>
        <v/>
      </c>
    </row>
    <row r="274">
      <c r="C274" s="11">
        <f>IFERROR(VLOOKUP(B274,ItemData_Equipment!$A:$B,2,FALSE),"")</f>
        <v/>
      </c>
      <c r="H274" s="11">
        <f>IF(G274="","",TEXTJOIN("; ",TRUE,IF(TRIM(MID(SUBSTITUTE(G274,";",REPT(" ",99)),1,99))="","",IFERROR(VLOOKUP(--LEFT(TRIM(MID(SUBSTITUTE(G274,";",REPT(" ",99)),1,99)),FIND(":",TRIM(MID(SUBSTITUTE(G274,";",REPT(" ",99)),1,99)))-1),_Lookup!$A:$B,2,FALSE),"?")&amp;"×"&amp;MID(TRIM(MID(SUBSTITUTE(G274,";",REPT(" ",99)),1,99)),FIND(":",TRIM(MID(SUBSTITUTE(G274,";",REPT(" ",99)),1,99)))+1,99)),IF(TRIM(MID(SUBSTITUTE(G274,";",REPT(" ",99)),100,99))="","",IFERROR(VLOOKUP(--LEFT(TRIM(MID(SUBSTITUTE(G274,";",REPT(" ",99)),100,99)),FIND(":",TRIM(MID(SUBSTITUTE(G274,";",REPT(" ",99)),100,99)))-1),_Lookup!$A:$B,2,FALSE),"?")&amp;"×"&amp;MID(TRIM(MID(SUBSTITUTE(G274,";",REPT(" ",99)),100,99)),FIND(":",TRIM(MID(SUBSTITUTE(G274,";",REPT(" ",99)),100,99)))+1,99)),IF(TRIM(MID(SUBSTITUTE(G274,";",REPT(" ",99)),199,99))="","",IFERROR(VLOOKUP(--LEFT(TRIM(MID(SUBSTITUTE(G274,";",REPT(" ",99)),199,99)),FIND(":",TRIM(MID(SUBSTITUTE(G274,";",REPT(" ",99)),199,99)))-1),_Lookup!$A:$B,2,FALSE),"?")&amp;"×"&amp;MID(TRIM(MID(SUBSTITUTE(G274,";",REPT(" ",99)),199,99)),FIND(":",TRIM(MID(SUBSTITUTE(G274,";",REPT(" ",99)),199,99)))+1,99)),IF(TRIM(MID(SUBSTITUTE(G274,";",REPT(" ",99)),298,99))="","",IFERROR(VLOOKUP(--LEFT(TRIM(MID(SUBSTITUTE(G274,";",REPT(" ",99)),298,99)),FIND(":",TRIM(MID(SUBSTITUTE(G274,";",REPT(" ",99)),298,99)))-1),_Lookup!$A:$B,2,FALSE),"?")&amp;"×"&amp;MID(TRIM(MID(SUBSTITUTE(G274,";",REPT(" ",99)),298,99)),FIND(":",TRIM(MID(SUBSTITUTE(G274,";",REPT(" ",99)),298,99)))+1,99)),IF(TRIM(MID(SUBSTITUTE(G274,";",REPT(" ",99)),397,99))="","",IFERROR(VLOOKUP(--LEFT(TRIM(MID(SUBSTITUTE(G274,";",REPT(" ",99)),397,99)),FIND(":",TRIM(MID(SUBSTITUTE(G274,";",REPT(" ",99)),397,99)))-1),_Lookup!$A:$B,2,FALSE),"?")&amp;"×"&amp;MID(TRIM(MID(SUBSTITUTE(G274,";",REPT(" ",99)),397,99)),FIND(":",TRIM(MID(SUBSTITUTE(G274,";",REPT(" ",99)),397,99)))+1,99))))</f>
        <v/>
      </c>
    </row>
    <row r="275">
      <c r="C275" s="11">
        <f>IFERROR(VLOOKUP(B275,ItemData_Equipment!$A:$B,2,FALSE),"")</f>
        <v/>
      </c>
      <c r="H275" s="11">
        <f>IF(G275="","",TEXTJOIN("; ",TRUE,IF(TRIM(MID(SUBSTITUTE(G275,";",REPT(" ",99)),1,99))="","",IFERROR(VLOOKUP(--LEFT(TRIM(MID(SUBSTITUTE(G275,";",REPT(" ",99)),1,99)),FIND(":",TRIM(MID(SUBSTITUTE(G275,";",REPT(" ",99)),1,99)))-1),_Lookup!$A:$B,2,FALSE),"?")&amp;"×"&amp;MID(TRIM(MID(SUBSTITUTE(G275,";",REPT(" ",99)),1,99)),FIND(":",TRIM(MID(SUBSTITUTE(G275,";",REPT(" ",99)),1,99)))+1,99)),IF(TRIM(MID(SUBSTITUTE(G275,";",REPT(" ",99)),100,99))="","",IFERROR(VLOOKUP(--LEFT(TRIM(MID(SUBSTITUTE(G275,";",REPT(" ",99)),100,99)),FIND(":",TRIM(MID(SUBSTITUTE(G275,";",REPT(" ",99)),100,99)))-1),_Lookup!$A:$B,2,FALSE),"?")&amp;"×"&amp;MID(TRIM(MID(SUBSTITUTE(G275,";",REPT(" ",99)),100,99)),FIND(":",TRIM(MID(SUBSTITUTE(G275,";",REPT(" ",99)),100,99)))+1,99)),IF(TRIM(MID(SUBSTITUTE(G275,";",REPT(" ",99)),199,99))="","",IFERROR(VLOOKUP(--LEFT(TRIM(MID(SUBSTITUTE(G275,";",REPT(" ",99)),199,99)),FIND(":",TRIM(MID(SUBSTITUTE(G275,";",REPT(" ",99)),199,99)))-1),_Lookup!$A:$B,2,FALSE),"?")&amp;"×"&amp;MID(TRIM(MID(SUBSTITUTE(G275,";",REPT(" ",99)),199,99)),FIND(":",TRIM(MID(SUBSTITUTE(G275,";",REPT(" ",99)),199,99)))+1,99)),IF(TRIM(MID(SUBSTITUTE(G275,";",REPT(" ",99)),298,99))="","",IFERROR(VLOOKUP(--LEFT(TRIM(MID(SUBSTITUTE(G275,";",REPT(" ",99)),298,99)),FIND(":",TRIM(MID(SUBSTITUTE(G275,";",REPT(" ",99)),298,99)))-1),_Lookup!$A:$B,2,FALSE),"?")&amp;"×"&amp;MID(TRIM(MID(SUBSTITUTE(G275,";",REPT(" ",99)),298,99)),FIND(":",TRIM(MID(SUBSTITUTE(G275,";",REPT(" ",99)),298,99)))+1,99)),IF(TRIM(MID(SUBSTITUTE(G275,";",REPT(" ",99)),397,99))="","",IFERROR(VLOOKUP(--LEFT(TRIM(MID(SUBSTITUTE(G275,";",REPT(" ",99)),397,99)),FIND(":",TRIM(MID(SUBSTITUTE(G275,";",REPT(" ",99)),397,99)))-1),_Lookup!$A:$B,2,FALSE),"?")&amp;"×"&amp;MID(TRIM(MID(SUBSTITUTE(G275,";",REPT(" ",99)),397,99)),FIND(":",TRIM(MID(SUBSTITUTE(G275,";",REPT(" ",99)),397,99)))+1,99))))</f>
        <v/>
      </c>
    </row>
    <row r="276">
      <c r="C276" s="11">
        <f>IFERROR(VLOOKUP(B276,ItemData_Equipment!$A:$B,2,FALSE),"")</f>
        <v/>
      </c>
      <c r="H276" s="11">
        <f>IF(G276="","",TEXTJOIN("; ",TRUE,IF(TRIM(MID(SUBSTITUTE(G276,";",REPT(" ",99)),1,99))="","",IFERROR(VLOOKUP(--LEFT(TRIM(MID(SUBSTITUTE(G276,";",REPT(" ",99)),1,99)),FIND(":",TRIM(MID(SUBSTITUTE(G276,";",REPT(" ",99)),1,99)))-1),_Lookup!$A:$B,2,FALSE),"?")&amp;"×"&amp;MID(TRIM(MID(SUBSTITUTE(G276,";",REPT(" ",99)),1,99)),FIND(":",TRIM(MID(SUBSTITUTE(G276,";",REPT(" ",99)),1,99)))+1,99)),IF(TRIM(MID(SUBSTITUTE(G276,";",REPT(" ",99)),100,99))="","",IFERROR(VLOOKUP(--LEFT(TRIM(MID(SUBSTITUTE(G276,";",REPT(" ",99)),100,99)),FIND(":",TRIM(MID(SUBSTITUTE(G276,";",REPT(" ",99)),100,99)))-1),_Lookup!$A:$B,2,FALSE),"?")&amp;"×"&amp;MID(TRIM(MID(SUBSTITUTE(G276,";",REPT(" ",99)),100,99)),FIND(":",TRIM(MID(SUBSTITUTE(G276,";",REPT(" ",99)),100,99)))+1,99)),IF(TRIM(MID(SUBSTITUTE(G276,";",REPT(" ",99)),199,99))="","",IFERROR(VLOOKUP(--LEFT(TRIM(MID(SUBSTITUTE(G276,";",REPT(" ",99)),199,99)),FIND(":",TRIM(MID(SUBSTITUTE(G276,";",REPT(" ",99)),199,99)))-1),_Lookup!$A:$B,2,FALSE),"?")&amp;"×"&amp;MID(TRIM(MID(SUBSTITUTE(G276,";",REPT(" ",99)),199,99)),FIND(":",TRIM(MID(SUBSTITUTE(G276,";",REPT(" ",99)),199,99)))+1,99)),IF(TRIM(MID(SUBSTITUTE(G276,";",REPT(" ",99)),298,99))="","",IFERROR(VLOOKUP(--LEFT(TRIM(MID(SUBSTITUTE(G276,";",REPT(" ",99)),298,99)),FIND(":",TRIM(MID(SUBSTITUTE(G276,";",REPT(" ",99)),298,99)))-1),_Lookup!$A:$B,2,FALSE),"?")&amp;"×"&amp;MID(TRIM(MID(SUBSTITUTE(G276,";",REPT(" ",99)),298,99)),FIND(":",TRIM(MID(SUBSTITUTE(G276,";",REPT(" ",99)),298,99)))+1,99)),IF(TRIM(MID(SUBSTITUTE(G276,";",REPT(" ",99)),397,99))="","",IFERROR(VLOOKUP(--LEFT(TRIM(MID(SUBSTITUTE(G276,";",REPT(" ",99)),397,99)),FIND(":",TRIM(MID(SUBSTITUTE(G276,";",REPT(" ",99)),397,99)))-1),_Lookup!$A:$B,2,FALSE),"?")&amp;"×"&amp;MID(TRIM(MID(SUBSTITUTE(G276,";",REPT(" ",99)),397,99)),FIND(":",TRIM(MID(SUBSTITUTE(G276,";",REPT(" ",99)),397,99)))+1,99))))</f>
        <v/>
      </c>
    </row>
    <row r="277">
      <c r="C277" s="11">
        <f>IFERROR(VLOOKUP(B277,ItemData_Equipment!$A:$B,2,FALSE),"")</f>
        <v/>
      </c>
      <c r="H277" s="11">
        <f>IF(G277="","",TEXTJOIN("; ",TRUE,IF(TRIM(MID(SUBSTITUTE(G277,";",REPT(" ",99)),1,99))="","",IFERROR(VLOOKUP(--LEFT(TRIM(MID(SUBSTITUTE(G277,";",REPT(" ",99)),1,99)),FIND(":",TRIM(MID(SUBSTITUTE(G277,";",REPT(" ",99)),1,99)))-1),_Lookup!$A:$B,2,FALSE),"?")&amp;"×"&amp;MID(TRIM(MID(SUBSTITUTE(G277,";",REPT(" ",99)),1,99)),FIND(":",TRIM(MID(SUBSTITUTE(G277,";",REPT(" ",99)),1,99)))+1,99)),IF(TRIM(MID(SUBSTITUTE(G277,";",REPT(" ",99)),100,99))="","",IFERROR(VLOOKUP(--LEFT(TRIM(MID(SUBSTITUTE(G277,";",REPT(" ",99)),100,99)),FIND(":",TRIM(MID(SUBSTITUTE(G277,";",REPT(" ",99)),100,99)))-1),_Lookup!$A:$B,2,FALSE),"?")&amp;"×"&amp;MID(TRIM(MID(SUBSTITUTE(G277,";",REPT(" ",99)),100,99)),FIND(":",TRIM(MID(SUBSTITUTE(G277,";",REPT(" ",99)),100,99)))+1,99)),IF(TRIM(MID(SUBSTITUTE(G277,";",REPT(" ",99)),199,99))="","",IFERROR(VLOOKUP(--LEFT(TRIM(MID(SUBSTITUTE(G277,";",REPT(" ",99)),199,99)),FIND(":",TRIM(MID(SUBSTITUTE(G277,";",REPT(" ",99)),199,99)))-1),_Lookup!$A:$B,2,FALSE),"?")&amp;"×"&amp;MID(TRIM(MID(SUBSTITUTE(G277,";",REPT(" ",99)),199,99)),FIND(":",TRIM(MID(SUBSTITUTE(G277,";",REPT(" ",99)),199,99)))+1,99)),IF(TRIM(MID(SUBSTITUTE(G277,";",REPT(" ",99)),298,99))="","",IFERROR(VLOOKUP(--LEFT(TRIM(MID(SUBSTITUTE(G277,";",REPT(" ",99)),298,99)),FIND(":",TRIM(MID(SUBSTITUTE(G277,";",REPT(" ",99)),298,99)))-1),_Lookup!$A:$B,2,FALSE),"?")&amp;"×"&amp;MID(TRIM(MID(SUBSTITUTE(G277,";",REPT(" ",99)),298,99)),FIND(":",TRIM(MID(SUBSTITUTE(G277,";",REPT(" ",99)),298,99)))+1,99)),IF(TRIM(MID(SUBSTITUTE(G277,";",REPT(" ",99)),397,99))="","",IFERROR(VLOOKUP(--LEFT(TRIM(MID(SUBSTITUTE(G277,";",REPT(" ",99)),397,99)),FIND(":",TRIM(MID(SUBSTITUTE(G277,";",REPT(" ",99)),397,99)))-1),_Lookup!$A:$B,2,FALSE),"?")&amp;"×"&amp;MID(TRIM(MID(SUBSTITUTE(G277,";",REPT(" ",99)),397,99)),FIND(":",TRIM(MID(SUBSTITUTE(G277,";",REPT(" ",99)),397,99)))+1,99))))</f>
        <v/>
      </c>
    </row>
    <row r="278">
      <c r="C278" s="11">
        <f>IFERROR(VLOOKUP(B278,ItemData_Equipment!$A:$B,2,FALSE),"")</f>
        <v/>
      </c>
      <c r="H278" s="11">
        <f>IF(G278="","",TEXTJOIN("; ",TRUE,IF(TRIM(MID(SUBSTITUTE(G278,";",REPT(" ",99)),1,99))="","",IFERROR(VLOOKUP(--LEFT(TRIM(MID(SUBSTITUTE(G278,";",REPT(" ",99)),1,99)),FIND(":",TRIM(MID(SUBSTITUTE(G278,";",REPT(" ",99)),1,99)))-1),_Lookup!$A:$B,2,FALSE),"?")&amp;"×"&amp;MID(TRIM(MID(SUBSTITUTE(G278,";",REPT(" ",99)),1,99)),FIND(":",TRIM(MID(SUBSTITUTE(G278,";",REPT(" ",99)),1,99)))+1,99)),IF(TRIM(MID(SUBSTITUTE(G278,";",REPT(" ",99)),100,99))="","",IFERROR(VLOOKUP(--LEFT(TRIM(MID(SUBSTITUTE(G278,";",REPT(" ",99)),100,99)),FIND(":",TRIM(MID(SUBSTITUTE(G278,";",REPT(" ",99)),100,99)))-1),_Lookup!$A:$B,2,FALSE),"?")&amp;"×"&amp;MID(TRIM(MID(SUBSTITUTE(G278,";",REPT(" ",99)),100,99)),FIND(":",TRIM(MID(SUBSTITUTE(G278,";",REPT(" ",99)),100,99)))+1,99)),IF(TRIM(MID(SUBSTITUTE(G278,";",REPT(" ",99)),199,99))="","",IFERROR(VLOOKUP(--LEFT(TRIM(MID(SUBSTITUTE(G278,";",REPT(" ",99)),199,99)),FIND(":",TRIM(MID(SUBSTITUTE(G278,";",REPT(" ",99)),199,99)))-1),_Lookup!$A:$B,2,FALSE),"?")&amp;"×"&amp;MID(TRIM(MID(SUBSTITUTE(G278,";",REPT(" ",99)),199,99)),FIND(":",TRIM(MID(SUBSTITUTE(G278,";",REPT(" ",99)),199,99)))+1,99)),IF(TRIM(MID(SUBSTITUTE(G278,";",REPT(" ",99)),298,99))="","",IFERROR(VLOOKUP(--LEFT(TRIM(MID(SUBSTITUTE(G278,";",REPT(" ",99)),298,99)),FIND(":",TRIM(MID(SUBSTITUTE(G278,";",REPT(" ",99)),298,99)))-1),_Lookup!$A:$B,2,FALSE),"?")&amp;"×"&amp;MID(TRIM(MID(SUBSTITUTE(G278,";",REPT(" ",99)),298,99)),FIND(":",TRIM(MID(SUBSTITUTE(G278,";",REPT(" ",99)),298,99)))+1,99)),IF(TRIM(MID(SUBSTITUTE(G278,";",REPT(" ",99)),397,99))="","",IFERROR(VLOOKUP(--LEFT(TRIM(MID(SUBSTITUTE(G278,";",REPT(" ",99)),397,99)),FIND(":",TRIM(MID(SUBSTITUTE(G278,";",REPT(" ",99)),397,99)))-1),_Lookup!$A:$B,2,FALSE),"?")&amp;"×"&amp;MID(TRIM(MID(SUBSTITUTE(G278,";",REPT(" ",99)),397,99)),FIND(":",TRIM(MID(SUBSTITUTE(G278,";",REPT(" ",99)),397,99)))+1,99))))</f>
        <v/>
      </c>
    </row>
    <row r="279">
      <c r="C279" s="11">
        <f>IFERROR(VLOOKUP(B279,ItemData_Equipment!$A:$B,2,FALSE),"")</f>
        <v/>
      </c>
      <c r="H279" s="11">
        <f>IF(G279="","",TEXTJOIN("; ",TRUE,IF(TRIM(MID(SUBSTITUTE(G279,";",REPT(" ",99)),1,99))="","",IFERROR(VLOOKUP(--LEFT(TRIM(MID(SUBSTITUTE(G279,";",REPT(" ",99)),1,99)),FIND(":",TRIM(MID(SUBSTITUTE(G279,";",REPT(" ",99)),1,99)))-1),_Lookup!$A:$B,2,FALSE),"?")&amp;"×"&amp;MID(TRIM(MID(SUBSTITUTE(G279,";",REPT(" ",99)),1,99)),FIND(":",TRIM(MID(SUBSTITUTE(G279,";",REPT(" ",99)),1,99)))+1,99)),IF(TRIM(MID(SUBSTITUTE(G279,";",REPT(" ",99)),100,99))="","",IFERROR(VLOOKUP(--LEFT(TRIM(MID(SUBSTITUTE(G279,";",REPT(" ",99)),100,99)),FIND(":",TRIM(MID(SUBSTITUTE(G279,";",REPT(" ",99)),100,99)))-1),_Lookup!$A:$B,2,FALSE),"?")&amp;"×"&amp;MID(TRIM(MID(SUBSTITUTE(G279,";",REPT(" ",99)),100,99)),FIND(":",TRIM(MID(SUBSTITUTE(G279,";",REPT(" ",99)),100,99)))+1,99)),IF(TRIM(MID(SUBSTITUTE(G279,";",REPT(" ",99)),199,99))="","",IFERROR(VLOOKUP(--LEFT(TRIM(MID(SUBSTITUTE(G279,";",REPT(" ",99)),199,99)),FIND(":",TRIM(MID(SUBSTITUTE(G279,";",REPT(" ",99)),199,99)))-1),_Lookup!$A:$B,2,FALSE),"?")&amp;"×"&amp;MID(TRIM(MID(SUBSTITUTE(G279,";",REPT(" ",99)),199,99)),FIND(":",TRIM(MID(SUBSTITUTE(G279,";",REPT(" ",99)),199,99)))+1,99)),IF(TRIM(MID(SUBSTITUTE(G279,";",REPT(" ",99)),298,99))="","",IFERROR(VLOOKUP(--LEFT(TRIM(MID(SUBSTITUTE(G279,";",REPT(" ",99)),298,99)),FIND(":",TRIM(MID(SUBSTITUTE(G279,";",REPT(" ",99)),298,99)))-1),_Lookup!$A:$B,2,FALSE),"?")&amp;"×"&amp;MID(TRIM(MID(SUBSTITUTE(G279,";",REPT(" ",99)),298,99)),FIND(":",TRIM(MID(SUBSTITUTE(G279,";",REPT(" ",99)),298,99)))+1,99)),IF(TRIM(MID(SUBSTITUTE(G279,";",REPT(" ",99)),397,99))="","",IFERROR(VLOOKUP(--LEFT(TRIM(MID(SUBSTITUTE(G279,";",REPT(" ",99)),397,99)),FIND(":",TRIM(MID(SUBSTITUTE(G279,";",REPT(" ",99)),397,99)))-1),_Lookup!$A:$B,2,FALSE),"?")&amp;"×"&amp;MID(TRIM(MID(SUBSTITUTE(G279,";",REPT(" ",99)),397,99)),FIND(":",TRIM(MID(SUBSTITUTE(G279,";",REPT(" ",99)),397,99)))+1,99))))</f>
        <v/>
      </c>
    </row>
    <row r="280">
      <c r="C280" s="11">
        <f>IFERROR(VLOOKUP(B280,ItemData_Equipment!$A:$B,2,FALSE),"")</f>
        <v/>
      </c>
      <c r="H280" s="11">
        <f>IF(G280="","",TEXTJOIN("; ",TRUE,IF(TRIM(MID(SUBSTITUTE(G280,";",REPT(" ",99)),1,99))="","",IFERROR(VLOOKUP(--LEFT(TRIM(MID(SUBSTITUTE(G280,";",REPT(" ",99)),1,99)),FIND(":",TRIM(MID(SUBSTITUTE(G280,";",REPT(" ",99)),1,99)))-1),_Lookup!$A:$B,2,FALSE),"?")&amp;"×"&amp;MID(TRIM(MID(SUBSTITUTE(G280,";",REPT(" ",99)),1,99)),FIND(":",TRIM(MID(SUBSTITUTE(G280,";",REPT(" ",99)),1,99)))+1,99)),IF(TRIM(MID(SUBSTITUTE(G280,";",REPT(" ",99)),100,99))="","",IFERROR(VLOOKUP(--LEFT(TRIM(MID(SUBSTITUTE(G280,";",REPT(" ",99)),100,99)),FIND(":",TRIM(MID(SUBSTITUTE(G280,";",REPT(" ",99)),100,99)))-1),_Lookup!$A:$B,2,FALSE),"?")&amp;"×"&amp;MID(TRIM(MID(SUBSTITUTE(G280,";",REPT(" ",99)),100,99)),FIND(":",TRIM(MID(SUBSTITUTE(G280,";",REPT(" ",99)),100,99)))+1,99)),IF(TRIM(MID(SUBSTITUTE(G280,";",REPT(" ",99)),199,99))="","",IFERROR(VLOOKUP(--LEFT(TRIM(MID(SUBSTITUTE(G280,";",REPT(" ",99)),199,99)),FIND(":",TRIM(MID(SUBSTITUTE(G280,";",REPT(" ",99)),199,99)))-1),_Lookup!$A:$B,2,FALSE),"?")&amp;"×"&amp;MID(TRIM(MID(SUBSTITUTE(G280,";",REPT(" ",99)),199,99)),FIND(":",TRIM(MID(SUBSTITUTE(G280,";",REPT(" ",99)),199,99)))+1,99)),IF(TRIM(MID(SUBSTITUTE(G280,";",REPT(" ",99)),298,99))="","",IFERROR(VLOOKUP(--LEFT(TRIM(MID(SUBSTITUTE(G280,";",REPT(" ",99)),298,99)),FIND(":",TRIM(MID(SUBSTITUTE(G280,";",REPT(" ",99)),298,99)))-1),_Lookup!$A:$B,2,FALSE),"?")&amp;"×"&amp;MID(TRIM(MID(SUBSTITUTE(G280,";",REPT(" ",99)),298,99)),FIND(":",TRIM(MID(SUBSTITUTE(G280,";",REPT(" ",99)),298,99)))+1,99)),IF(TRIM(MID(SUBSTITUTE(G280,";",REPT(" ",99)),397,99))="","",IFERROR(VLOOKUP(--LEFT(TRIM(MID(SUBSTITUTE(G280,";",REPT(" ",99)),397,99)),FIND(":",TRIM(MID(SUBSTITUTE(G280,";",REPT(" ",99)),397,99)))-1),_Lookup!$A:$B,2,FALSE),"?")&amp;"×"&amp;MID(TRIM(MID(SUBSTITUTE(G280,";",REPT(" ",99)),397,99)),FIND(":",TRIM(MID(SUBSTITUTE(G280,";",REPT(" ",99)),397,99)))+1,99))))</f>
        <v/>
      </c>
    </row>
    <row r="281">
      <c r="C281" s="11">
        <f>IFERROR(VLOOKUP(B281,ItemData_Equipment!$A:$B,2,FALSE),"")</f>
        <v/>
      </c>
      <c r="H281" s="11">
        <f>IF(G281="","",TEXTJOIN("; ",TRUE,IF(TRIM(MID(SUBSTITUTE(G281,";",REPT(" ",99)),1,99))="","",IFERROR(VLOOKUP(--LEFT(TRIM(MID(SUBSTITUTE(G281,";",REPT(" ",99)),1,99)),FIND(":",TRIM(MID(SUBSTITUTE(G281,";",REPT(" ",99)),1,99)))-1),_Lookup!$A:$B,2,FALSE),"?")&amp;"×"&amp;MID(TRIM(MID(SUBSTITUTE(G281,";",REPT(" ",99)),1,99)),FIND(":",TRIM(MID(SUBSTITUTE(G281,";",REPT(" ",99)),1,99)))+1,99)),IF(TRIM(MID(SUBSTITUTE(G281,";",REPT(" ",99)),100,99))="","",IFERROR(VLOOKUP(--LEFT(TRIM(MID(SUBSTITUTE(G281,";",REPT(" ",99)),100,99)),FIND(":",TRIM(MID(SUBSTITUTE(G281,";",REPT(" ",99)),100,99)))-1),_Lookup!$A:$B,2,FALSE),"?")&amp;"×"&amp;MID(TRIM(MID(SUBSTITUTE(G281,";",REPT(" ",99)),100,99)),FIND(":",TRIM(MID(SUBSTITUTE(G281,";",REPT(" ",99)),100,99)))+1,99)),IF(TRIM(MID(SUBSTITUTE(G281,";",REPT(" ",99)),199,99))="","",IFERROR(VLOOKUP(--LEFT(TRIM(MID(SUBSTITUTE(G281,";",REPT(" ",99)),199,99)),FIND(":",TRIM(MID(SUBSTITUTE(G281,";",REPT(" ",99)),199,99)))-1),_Lookup!$A:$B,2,FALSE),"?")&amp;"×"&amp;MID(TRIM(MID(SUBSTITUTE(G281,";",REPT(" ",99)),199,99)),FIND(":",TRIM(MID(SUBSTITUTE(G281,";",REPT(" ",99)),199,99)))+1,99)),IF(TRIM(MID(SUBSTITUTE(G281,";",REPT(" ",99)),298,99))="","",IFERROR(VLOOKUP(--LEFT(TRIM(MID(SUBSTITUTE(G281,";",REPT(" ",99)),298,99)),FIND(":",TRIM(MID(SUBSTITUTE(G281,";",REPT(" ",99)),298,99)))-1),_Lookup!$A:$B,2,FALSE),"?")&amp;"×"&amp;MID(TRIM(MID(SUBSTITUTE(G281,";",REPT(" ",99)),298,99)),FIND(":",TRIM(MID(SUBSTITUTE(G281,";",REPT(" ",99)),298,99)))+1,99)),IF(TRIM(MID(SUBSTITUTE(G281,";",REPT(" ",99)),397,99))="","",IFERROR(VLOOKUP(--LEFT(TRIM(MID(SUBSTITUTE(G281,";",REPT(" ",99)),397,99)),FIND(":",TRIM(MID(SUBSTITUTE(G281,";",REPT(" ",99)),397,99)))-1),_Lookup!$A:$B,2,FALSE),"?")&amp;"×"&amp;MID(TRIM(MID(SUBSTITUTE(G281,";",REPT(" ",99)),397,99)),FIND(":",TRIM(MID(SUBSTITUTE(G281,";",REPT(" ",99)),397,99)))+1,99))))</f>
        <v/>
      </c>
    </row>
    <row r="282">
      <c r="C282" s="11">
        <f>IFERROR(VLOOKUP(B282,ItemData_Equipment!$A:$B,2,FALSE),"")</f>
        <v/>
      </c>
      <c r="H282" s="11">
        <f>IF(G282="","",TEXTJOIN("; ",TRUE,IF(TRIM(MID(SUBSTITUTE(G282,";",REPT(" ",99)),1,99))="","",IFERROR(VLOOKUP(--LEFT(TRIM(MID(SUBSTITUTE(G282,";",REPT(" ",99)),1,99)),FIND(":",TRIM(MID(SUBSTITUTE(G282,";",REPT(" ",99)),1,99)))-1),_Lookup!$A:$B,2,FALSE),"?")&amp;"×"&amp;MID(TRIM(MID(SUBSTITUTE(G282,";",REPT(" ",99)),1,99)),FIND(":",TRIM(MID(SUBSTITUTE(G282,";",REPT(" ",99)),1,99)))+1,99)),IF(TRIM(MID(SUBSTITUTE(G282,";",REPT(" ",99)),100,99))="","",IFERROR(VLOOKUP(--LEFT(TRIM(MID(SUBSTITUTE(G282,";",REPT(" ",99)),100,99)),FIND(":",TRIM(MID(SUBSTITUTE(G282,";",REPT(" ",99)),100,99)))-1),_Lookup!$A:$B,2,FALSE),"?")&amp;"×"&amp;MID(TRIM(MID(SUBSTITUTE(G282,";",REPT(" ",99)),100,99)),FIND(":",TRIM(MID(SUBSTITUTE(G282,";",REPT(" ",99)),100,99)))+1,99)),IF(TRIM(MID(SUBSTITUTE(G282,";",REPT(" ",99)),199,99))="","",IFERROR(VLOOKUP(--LEFT(TRIM(MID(SUBSTITUTE(G282,";",REPT(" ",99)),199,99)),FIND(":",TRIM(MID(SUBSTITUTE(G282,";",REPT(" ",99)),199,99)))-1),_Lookup!$A:$B,2,FALSE),"?")&amp;"×"&amp;MID(TRIM(MID(SUBSTITUTE(G282,";",REPT(" ",99)),199,99)),FIND(":",TRIM(MID(SUBSTITUTE(G282,";",REPT(" ",99)),199,99)))+1,99)),IF(TRIM(MID(SUBSTITUTE(G282,";",REPT(" ",99)),298,99))="","",IFERROR(VLOOKUP(--LEFT(TRIM(MID(SUBSTITUTE(G282,";",REPT(" ",99)),298,99)),FIND(":",TRIM(MID(SUBSTITUTE(G282,";",REPT(" ",99)),298,99)))-1),_Lookup!$A:$B,2,FALSE),"?")&amp;"×"&amp;MID(TRIM(MID(SUBSTITUTE(G282,";",REPT(" ",99)),298,99)),FIND(":",TRIM(MID(SUBSTITUTE(G282,";",REPT(" ",99)),298,99)))+1,99)),IF(TRIM(MID(SUBSTITUTE(G282,";",REPT(" ",99)),397,99))="","",IFERROR(VLOOKUP(--LEFT(TRIM(MID(SUBSTITUTE(G282,";",REPT(" ",99)),397,99)),FIND(":",TRIM(MID(SUBSTITUTE(G282,";",REPT(" ",99)),397,99)))-1),_Lookup!$A:$B,2,FALSE),"?")&amp;"×"&amp;MID(TRIM(MID(SUBSTITUTE(G282,";",REPT(" ",99)),397,99)),FIND(":",TRIM(MID(SUBSTITUTE(G282,";",REPT(" ",99)),397,99)))+1,99))))</f>
        <v/>
      </c>
    </row>
    <row r="283">
      <c r="C283" s="11">
        <f>IFERROR(VLOOKUP(B283,ItemData_Equipment!$A:$B,2,FALSE),"")</f>
        <v/>
      </c>
      <c r="H283" s="11">
        <f>IF(G283="","",TEXTJOIN("; ",TRUE,IF(TRIM(MID(SUBSTITUTE(G283,";",REPT(" ",99)),1,99))="","",IFERROR(VLOOKUP(--LEFT(TRIM(MID(SUBSTITUTE(G283,";",REPT(" ",99)),1,99)),FIND(":",TRIM(MID(SUBSTITUTE(G283,";",REPT(" ",99)),1,99)))-1),_Lookup!$A:$B,2,FALSE),"?")&amp;"×"&amp;MID(TRIM(MID(SUBSTITUTE(G283,";",REPT(" ",99)),1,99)),FIND(":",TRIM(MID(SUBSTITUTE(G283,";",REPT(" ",99)),1,99)))+1,99)),IF(TRIM(MID(SUBSTITUTE(G283,";",REPT(" ",99)),100,99))="","",IFERROR(VLOOKUP(--LEFT(TRIM(MID(SUBSTITUTE(G283,";",REPT(" ",99)),100,99)),FIND(":",TRIM(MID(SUBSTITUTE(G283,";",REPT(" ",99)),100,99)))-1),_Lookup!$A:$B,2,FALSE),"?")&amp;"×"&amp;MID(TRIM(MID(SUBSTITUTE(G283,";",REPT(" ",99)),100,99)),FIND(":",TRIM(MID(SUBSTITUTE(G283,";",REPT(" ",99)),100,99)))+1,99)),IF(TRIM(MID(SUBSTITUTE(G283,";",REPT(" ",99)),199,99))="","",IFERROR(VLOOKUP(--LEFT(TRIM(MID(SUBSTITUTE(G283,";",REPT(" ",99)),199,99)),FIND(":",TRIM(MID(SUBSTITUTE(G283,";",REPT(" ",99)),199,99)))-1),_Lookup!$A:$B,2,FALSE),"?")&amp;"×"&amp;MID(TRIM(MID(SUBSTITUTE(G283,";",REPT(" ",99)),199,99)),FIND(":",TRIM(MID(SUBSTITUTE(G283,";",REPT(" ",99)),199,99)))+1,99)),IF(TRIM(MID(SUBSTITUTE(G283,";",REPT(" ",99)),298,99))="","",IFERROR(VLOOKUP(--LEFT(TRIM(MID(SUBSTITUTE(G283,";",REPT(" ",99)),298,99)),FIND(":",TRIM(MID(SUBSTITUTE(G283,";",REPT(" ",99)),298,99)))-1),_Lookup!$A:$B,2,FALSE),"?")&amp;"×"&amp;MID(TRIM(MID(SUBSTITUTE(G283,";",REPT(" ",99)),298,99)),FIND(":",TRIM(MID(SUBSTITUTE(G283,";",REPT(" ",99)),298,99)))+1,99)),IF(TRIM(MID(SUBSTITUTE(G283,";",REPT(" ",99)),397,99))="","",IFERROR(VLOOKUP(--LEFT(TRIM(MID(SUBSTITUTE(G283,";",REPT(" ",99)),397,99)),FIND(":",TRIM(MID(SUBSTITUTE(G283,";",REPT(" ",99)),397,99)))-1),_Lookup!$A:$B,2,FALSE),"?")&amp;"×"&amp;MID(TRIM(MID(SUBSTITUTE(G283,";",REPT(" ",99)),397,99)),FIND(":",TRIM(MID(SUBSTITUTE(G283,";",REPT(" ",99)),397,99)))+1,99))))</f>
        <v/>
      </c>
    </row>
    <row r="284">
      <c r="C284" s="11">
        <f>IFERROR(VLOOKUP(B284,ItemData_Equipment!$A:$B,2,FALSE),"")</f>
        <v/>
      </c>
      <c r="H284" s="11">
        <f>IF(G284="","",TEXTJOIN("; ",TRUE,IF(TRIM(MID(SUBSTITUTE(G284,";",REPT(" ",99)),1,99))="","",IFERROR(VLOOKUP(--LEFT(TRIM(MID(SUBSTITUTE(G284,";",REPT(" ",99)),1,99)),FIND(":",TRIM(MID(SUBSTITUTE(G284,";",REPT(" ",99)),1,99)))-1),_Lookup!$A:$B,2,FALSE),"?")&amp;"×"&amp;MID(TRIM(MID(SUBSTITUTE(G284,";",REPT(" ",99)),1,99)),FIND(":",TRIM(MID(SUBSTITUTE(G284,";",REPT(" ",99)),1,99)))+1,99)),IF(TRIM(MID(SUBSTITUTE(G284,";",REPT(" ",99)),100,99))="","",IFERROR(VLOOKUP(--LEFT(TRIM(MID(SUBSTITUTE(G284,";",REPT(" ",99)),100,99)),FIND(":",TRIM(MID(SUBSTITUTE(G284,";",REPT(" ",99)),100,99)))-1),_Lookup!$A:$B,2,FALSE),"?")&amp;"×"&amp;MID(TRIM(MID(SUBSTITUTE(G284,";",REPT(" ",99)),100,99)),FIND(":",TRIM(MID(SUBSTITUTE(G284,";",REPT(" ",99)),100,99)))+1,99)),IF(TRIM(MID(SUBSTITUTE(G284,";",REPT(" ",99)),199,99))="","",IFERROR(VLOOKUP(--LEFT(TRIM(MID(SUBSTITUTE(G284,";",REPT(" ",99)),199,99)),FIND(":",TRIM(MID(SUBSTITUTE(G284,";",REPT(" ",99)),199,99)))-1),_Lookup!$A:$B,2,FALSE),"?")&amp;"×"&amp;MID(TRIM(MID(SUBSTITUTE(G284,";",REPT(" ",99)),199,99)),FIND(":",TRIM(MID(SUBSTITUTE(G284,";",REPT(" ",99)),199,99)))+1,99)),IF(TRIM(MID(SUBSTITUTE(G284,";",REPT(" ",99)),298,99))="","",IFERROR(VLOOKUP(--LEFT(TRIM(MID(SUBSTITUTE(G284,";",REPT(" ",99)),298,99)),FIND(":",TRIM(MID(SUBSTITUTE(G284,";",REPT(" ",99)),298,99)))-1),_Lookup!$A:$B,2,FALSE),"?")&amp;"×"&amp;MID(TRIM(MID(SUBSTITUTE(G284,";",REPT(" ",99)),298,99)),FIND(":",TRIM(MID(SUBSTITUTE(G284,";",REPT(" ",99)),298,99)))+1,99)),IF(TRIM(MID(SUBSTITUTE(G284,";",REPT(" ",99)),397,99))="","",IFERROR(VLOOKUP(--LEFT(TRIM(MID(SUBSTITUTE(G284,";",REPT(" ",99)),397,99)),FIND(":",TRIM(MID(SUBSTITUTE(G284,";",REPT(" ",99)),397,99)))-1),_Lookup!$A:$B,2,FALSE),"?")&amp;"×"&amp;MID(TRIM(MID(SUBSTITUTE(G284,";",REPT(" ",99)),397,99)),FIND(":",TRIM(MID(SUBSTITUTE(G284,";",REPT(" ",99)),397,99)))+1,99))))</f>
        <v/>
      </c>
    </row>
    <row r="285">
      <c r="C285" s="11">
        <f>IFERROR(VLOOKUP(B285,ItemData_Equipment!$A:$B,2,FALSE),"")</f>
        <v/>
      </c>
      <c r="H285" s="11">
        <f>IF(G285="","",TEXTJOIN("; ",TRUE,IF(TRIM(MID(SUBSTITUTE(G285,";",REPT(" ",99)),1,99))="","",IFERROR(VLOOKUP(--LEFT(TRIM(MID(SUBSTITUTE(G285,";",REPT(" ",99)),1,99)),FIND(":",TRIM(MID(SUBSTITUTE(G285,";",REPT(" ",99)),1,99)))-1),_Lookup!$A:$B,2,FALSE),"?")&amp;"×"&amp;MID(TRIM(MID(SUBSTITUTE(G285,";",REPT(" ",99)),1,99)),FIND(":",TRIM(MID(SUBSTITUTE(G285,";",REPT(" ",99)),1,99)))+1,99)),IF(TRIM(MID(SUBSTITUTE(G285,";",REPT(" ",99)),100,99))="","",IFERROR(VLOOKUP(--LEFT(TRIM(MID(SUBSTITUTE(G285,";",REPT(" ",99)),100,99)),FIND(":",TRIM(MID(SUBSTITUTE(G285,";",REPT(" ",99)),100,99)))-1),_Lookup!$A:$B,2,FALSE),"?")&amp;"×"&amp;MID(TRIM(MID(SUBSTITUTE(G285,";",REPT(" ",99)),100,99)),FIND(":",TRIM(MID(SUBSTITUTE(G285,";",REPT(" ",99)),100,99)))+1,99)),IF(TRIM(MID(SUBSTITUTE(G285,";",REPT(" ",99)),199,99))="","",IFERROR(VLOOKUP(--LEFT(TRIM(MID(SUBSTITUTE(G285,";",REPT(" ",99)),199,99)),FIND(":",TRIM(MID(SUBSTITUTE(G285,";",REPT(" ",99)),199,99)))-1),_Lookup!$A:$B,2,FALSE),"?")&amp;"×"&amp;MID(TRIM(MID(SUBSTITUTE(G285,";",REPT(" ",99)),199,99)),FIND(":",TRIM(MID(SUBSTITUTE(G285,";",REPT(" ",99)),199,99)))+1,99)),IF(TRIM(MID(SUBSTITUTE(G285,";",REPT(" ",99)),298,99))="","",IFERROR(VLOOKUP(--LEFT(TRIM(MID(SUBSTITUTE(G285,";",REPT(" ",99)),298,99)),FIND(":",TRIM(MID(SUBSTITUTE(G285,";",REPT(" ",99)),298,99)))-1),_Lookup!$A:$B,2,FALSE),"?")&amp;"×"&amp;MID(TRIM(MID(SUBSTITUTE(G285,";",REPT(" ",99)),298,99)),FIND(":",TRIM(MID(SUBSTITUTE(G285,";",REPT(" ",99)),298,99)))+1,99)),IF(TRIM(MID(SUBSTITUTE(G285,";",REPT(" ",99)),397,99))="","",IFERROR(VLOOKUP(--LEFT(TRIM(MID(SUBSTITUTE(G285,";",REPT(" ",99)),397,99)),FIND(":",TRIM(MID(SUBSTITUTE(G285,";",REPT(" ",99)),397,99)))-1),_Lookup!$A:$B,2,FALSE),"?")&amp;"×"&amp;MID(TRIM(MID(SUBSTITUTE(G285,";",REPT(" ",99)),397,99)),FIND(":",TRIM(MID(SUBSTITUTE(G285,";",REPT(" ",99)),397,99)))+1,99))))</f>
        <v/>
      </c>
    </row>
    <row r="286">
      <c r="C286" s="11">
        <f>IFERROR(VLOOKUP(B286,ItemData_Equipment!$A:$B,2,FALSE),"")</f>
        <v/>
      </c>
      <c r="H286" s="11">
        <f>IF(G286="","",TEXTJOIN("; ",TRUE,IF(TRIM(MID(SUBSTITUTE(G286,";",REPT(" ",99)),1,99))="","",IFERROR(VLOOKUP(--LEFT(TRIM(MID(SUBSTITUTE(G286,";",REPT(" ",99)),1,99)),FIND(":",TRIM(MID(SUBSTITUTE(G286,";",REPT(" ",99)),1,99)))-1),_Lookup!$A:$B,2,FALSE),"?")&amp;"×"&amp;MID(TRIM(MID(SUBSTITUTE(G286,";",REPT(" ",99)),1,99)),FIND(":",TRIM(MID(SUBSTITUTE(G286,";",REPT(" ",99)),1,99)))+1,99)),IF(TRIM(MID(SUBSTITUTE(G286,";",REPT(" ",99)),100,99))="","",IFERROR(VLOOKUP(--LEFT(TRIM(MID(SUBSTITUTE(G286,";",REPT(" ",99)),100,99)),FIND(":",TRIM(MID(SUBSTITUTE(G286,";",REPT(" ",99)),100,99)))-1),_Lookup!$A:$B,2,FALSE),"?")&amp;"×"&amp;MID(TRIM(MID(SUBSTITUTE(G286,";",REPT(" ",99)),100,99)),FIND(":",TRIM(MID(SUBSTITUTE(G286,";",REPT(" ",99)),100,99)))+1,99)),IF(TRIM(MID(SUBSTITUTE(G286,";",REPT(" ",99)),199,99))="","",IFERROR(VLOOKUP(--LEFT(TRIM(MID(SUBSTITUTE(G286,";",REPT(" ",99)),199,99)),FIND(":",TRIM(MID(SUBSTITUTE(G286,";",REPT(" ",99)),199,99)))-1),_Lookup!$A:$B,2,FALSE),"?")&amp;"×"&amp;MID(TRIM(MID(SUBSTITUTE(G286,";",REPT(" ",99)),199,99)),FIND(":",TRIM(MID(SUBSTITUTE(G286,";",REPT(" ",99)),199,99)))+1,99)),IF(TRIM(MID(SUBSTITUTE(G286,";",REPT(" ",99)),298,99))="","",IFERROR(VLOOKUP(--LEFT(TRIM(MID(SUBSTITUTE(G286,";",REPT(" ",99)),298,99)),FIND(":",TRIM(MID(SUBSTITUTE(G286,";",REPT(" ",99)),298,99)))-1),_Lookup!$A:$B,2,FALSE),"?")&amp;"×"&amp;MID(TRIM(MID(SUBSTITUTE(G286,";",REPT(" ",99)),298,99)),FIND(":",TRIM(MID(SUBSTITUTE(G286,";",REPT(" ",99)),298,99)))+1,99)),IF(TRIM(MID(SUBSTITUTE(G286,";",REPT(" ",99)),397,99))="","",IFERROR(VLOOKUP(--LEFT(TRIM(MID(SUBSTITUTE(G286,";",REPT(" ",99)),397,99)),FIND(":",TRIM(MID(SUBSTITUTE(G286,";",REPT(" ",99)),397,99)))-1),_Lookup!$A:$B,2,FALSE),"?")&amp;"×"&amp;MID(TRIM(MID(SUBSTITUTE(G286,";",REPT(" ",99)),397,99)),FIND(":",TRIM(MID(SUBSTITUTE(G286,";",REPT(" ",99)),397,99)))+1,99))))</f>
        <v/>
      </c>
    </row>
    <row r="287">
      <c r="C287" s="11">
        <f>IFERROR(VLOOKUP(B287,ItemData_Equipment!$A:$B,2,FALSE),"")</f>
        <v/>
      </c>
      <c r="H287" s="11">
        <f>IF(G287="","",TEXTJOIN("; ",TRUE,IF(TRIM(MID(SUBSTITUTE(G287,";",REPT(" ",99)),1,99))="","",IFERROR(VLOOKUP(--LEFT(TRIM(MID(SUBSTITUTE(G287,";",REPT(" ",99)),1,99)),FIND(":",TRIM(MID(SUBSTITUTE(G287,";",REPT(" ",99)),1,99)))-1),_Lookup!$A:$B,2,FALSE),"?")&amp;"×"&amp;MID(TRIM(MID(SUBSTITUTE(G287,";",REPT(" ",99)),1,99)),FIND(":",TRIM(MID(SUBSTITUTE(G287,";",REPT(" ",99)),1,99)))+1,99)),IF(TRIM(MID(SUBSTITUTE(G287,";",REPT(" ",99)),100,99))="","",IFERROR(VLOOKUP(--LEFT(TRIM(MID(SUBSTITUTE(G287,";",REPT(" ",99)),100,99)),FIND(":",TRIM(MID(SUBSTITUTE(G287,";",REPT(" ",99)),100,99)))-1),_Lookup!$A:$B,2,FALSE),"?")&amp;"×"&amp;MID(TRIM(MID(SUBSTITUTE(G287,";",REPT(" ",99)),100,99)),FIND(":",TRIM(MID(SUBSTITUTE(G287,";",REPT(" ",99)),100,99)))+1,99)),IF(TRIM(MID(SUBSTITUTE(G287,";",REPT(" ",99)),199,99))="","",IFERROR(VLOOKUP(--LEFT(TRIM(MID(SUBSTITUTE(G287,";",REPT(" ",99)),199,99)),FIND(":",TRIM(MID(SUBSTITUTE(G287,";",REPT(" ",99)),199,99)))-1),_Lookup!$A:$B,2,FALSE),"?")&amp;"×"&amp;MID(TRIM(MID(SUBSTITUTE(G287,";",REPT(" ",99)),199,99)),FIND(":",TRIM(MID(SUBSTITUTE(G287,";",REPT(" ",99)),199,99)))+1,99)),IF(TRIM(MID(SUBSTITUTE(G287,";",REPT(" ",99)),298,99))="","",IFERROR(VLOOKUP(--LEFT(TRIM(MID(SUBSTITUTE(G287,";",REPT(" ",99)),298,99)),FIND(":",TRIM(MID(SUBSTITUTE(G287,";",REPT(" ",99)),298,99)))-1),_Lookup!$A:$B,2,FALSE),"?")&amp;"×"&amp;MID(TRIM(MID(SUBSTITUTE(G287,";",REPT(" ",99)),298,99)),FIND(":",TRIM(MID(SUBSTITUTE(G287,";",REPT(" ",99)),298,99)))+1,99)),IF(TRIM(MID(SUBSTITUTE(G287,";",REPT(" ",99)),397,99))="","",IFERROR(VLOOKUP(--LEFT(TRIM(MID(SUBSTITUTE(G287,";",REPT(" ",99)),397,99)),FIND(":",TRIM(MID(SUBSTITUTE(G287,";",REPT(" ",99)),397,99)))-1),_Lookup!$A:$B,2,FALSE),"?")&amp;"×"&amp;MID(TRIM(MID(SUBSTITUTE(G287,";",REPT(" ",99)),397,99)),FIND(":",TRIM(MID(SUBSTITUTE(G287,";",REPT(" ",99)),397,99)))+1,99))))</f>
        <v/>
      </c>
    </row>
    <row r="288">
      <c r="C288" s="11">
        <f>IFERROR(VLOOKUP(B288,ItemData_Equipment!$A:$B,2,FALSE),"")</f>
        <v/>
      </c>
      <c r="H288" s="11">
        <f>IF(G288="","",TEXTJOIN("; ",TRUE,IF(TRIM(MID(SUBSTITUTE(G288,";",REPT(" ",99)),1,99))="","",IFERROR(VLOOKUP(--LEFT(TRIM(MID(SUBSTITUTE(G288,";",REPT(" ",99)),1,99)),FIND(":",TRIM(MID(SUBSTITUTE(G288,";",REPT(" ",99)),1,99)))-1),_Lookup!$A:$B,2,FALSE),"?")&amp;"×"&amp;MID(TRIM(MID(SUBSTITUTE(G288,";",REPT(" ",99)),1,99)),FIND(":",TRIM(MID(SUBSTITUTE(G288,";",REPT(" ",99)),1,99)))+1,99)),IF(TRIM(MID(SUBSTITUTE(G288,";",REPT(" ",99)),100,99))="","",IFERROR(VLOOKUP(--LEFT(TRIM(MID(SUBSTITUTE(G288,";",REPT(" ",99)),100,99)),FIND(":",TRIM(MID(SUBSTITUTE(G288,";",REPT(" ",99)),100,99)))-1),_Lookup!$A:$B,2,FALSE),"?")&amp;"×"&amp;MID(TRIM(MID(SUBSTITUTE(G288,";",REPT(" ",99)),100,99)),FIND(":",TRIM(MID(SUBSTITUTE(G288,";",REPT(" ",99)),100,99)))+1,99)),IF(TRIM(MID(SUBSTITUTE(G288,";",REPT(" ",99)),199,99))="","",IFERROR(VLOOKUP(--LEFT(TRIM(MID(SUBSTITUTE(G288,";",REPT(" ",99)),199,99)),FIND(":",TRIM(MID(SUBSTITUTE(G288,";",REPT(" ",99)),199,99)))-1),_Lookup!$A:$B,2,FALSE),"?")&amp;"×"&amp;MID(TRIM(MID(SUBSTITUTE(G288,";",REPT(" ",99)),199,99)),FIND(":",TRIM(MID(SUBSTITUTE(G288,";",REPT(" ",99)),199,99)))+1,99)),IF(TRIM(MID(SUBSTITUTE(G288,";",REPT(" ",99)),298,99))="","",IFERROR(VLOOKUP(--LEFT(TRIM(MID(SUBSTITUTE(G288,";",REPT(" ",99)),298,99)),FIND(":",TRIM(MID(SUBSTITUTE(G288,";",REPT(" ",99)),298,99)))-1),_Lookup!$A:$B,2,FALSE),"?")&amp;"×"&amp;MID(TRIM(MID(SUBSTITUTE(G288,";",REPT(" ",99)),298,99)),FIND(":",TRIM(MID(SUBSTITUTE(G288,";",REPT(" ",99)),298,99)))+1,99)),IF(TRIM(MID(SUBSTITUTE(G288,";",REPT(" ",99)),397,99))="","",IFERROR(VLOOKUP(--LEFT(TRIM(MID(SUBSTITUTE(G288,";",REPT(" ",99)),397,99)),FIND(":",TRIM(MID(SUBSTITUTE(G288,";",REPT(" ",99)),397,99)))-1),_Lookup!$A:$B,2,FALSE),"?")&amp;"×"&amp;MID(TRIM(MID(SUBSTITUTE(G288,";",REPT(" ",99)),397,99)),FIND(":",TRIM(MID(SUBSTITUTE(G288,";",REPT(" ",99)),397,99)))+1,99))))</f>
        <v/>
      </c>
    </row>
    <row r="289">
      <c r="C289" s="11">
        <f>IFERROR(VLOOKUP(B289,ItemData_Equipment!$A:$B,2,FALSE),"")</f>
        <v/>
      </c>
      <c r="H289" s="11">
        <f>IF(G289="","",TEXTJOIN("; ",TRUE,IF(TRIM(MID(SUBSTITUTE(G289,";",REPT(" ",99)),1,99))="","",IFERROR(VLOOKUP(--LEFT(TRIM(MID(SUBSTITUTE(G289,";",REPT(" ",99)),1,99)),FIND(":",TRIM(MID(SUBSTITUTE(G289,";",REPT(" ",99)),1,99)))-1),_Lookup!$A:$B,2,FALSE),"?")&amp;"×"&amp;MID(TRIM(MID(SUBSTITUTE(G289,";",REPT(" ",99)),1,99)),FIND(":",TRIM(MID(SUBSTITUTE(G289,";",REPT(" ",99)),1,99)))+1,99)),IF(TRIM(MID(SUBSTITUTE(G289,";",REPT(" ",99)),100,99))="","",IFERROR(VLOOKUP(--LEFT(TRIM(MID(SUBSTITUTE(G289,";",REPT(" ",99)),100,99)),FIND(":",TRIM(MID(SUBSTITUTE(G289,";",REPT(" ",99)),100,99)))-1),_Lookup!$A:$B,2,FALSE),"?")&amp;"×"&amp;MID(TRIM(MID(SUBSTITUTE(G289,";",REPT(" ",99)),100,99)),FIND(":",TRIM(MID(SUBSTITUTE(G289,";",REPT(" ",99)),100,99)))+1,99)),IF(TRIM(MID(SUBSTITUTE(G289,";",REPT(" ",99)),199,99))="","",IFERROR(VLOOKUP(--LEFT(TRIM(MID(SUBSTITUTE(G289,";",REPT(" ",99)),199,99)),FIND(":",TRIM(MID(SUBSTITUTE(G289,";",REPT(" ",99)),199,99)))-1),_Lookup!$A:$B,2,FALSE),"?")&amp;"×"&amp;MID(TRIM(MID(SUBSTITUTE(G289,";",REPT(" ",99)),199,99)),FIND(":",TRIM(MID(SUBSTITUTE(G289,";",REPT(" ",99)),199,99)))+1,99)),IF(TRIM(MID(SUBSTITUTE(G289,";",REPT(" ",99)),298,99))="","",IFERROR(VLOOKUP(--LEFT(TRIM(MID(SUBSTITUTE(G289,";",REPT(" ",99)),298,99)),FIND(":",TRIM(MID(SUBSTITUTE(G289,";",REPT(" ",99)),298,99)))-1),_Lookup!$A:$B,2,FALSE),"?")&amp;"×"&amp;MID(TRIM(MID(SUBSTITUTE(G289,";",REPT(" ",99)),298,99)),FIND(":",TRIM(MID(SUBSTITUTE(G289,";",REPT(" ",99)),298,99)))+1,99)),IF(TRIM(MID(SUBSTITUTE(G289,";",REPT(" ",99)),397,99))="","",IFERROR(VLOOKUP(--LEFT(TRIM(MID(SUBSTITUTE(G289,";",REPT(" ",99)),397,99)),FIND(":",TRIM(MID(SUBSTITUTE(G289,";",REPT(" ",99)),397,99)))-1),_Lookup!$A:$B,2,FALSE),"?")&amp;"×"&amp;MID(TRIM(MID(SUBSTITUTE(G289,";",REPT(" ",99)),397,99)),FIND(":",TRIM(MID(SUBSTITUTE(G289,";",REPT(" ",99)),397,99)))+1,99))))</f>
        <v/>
      </c>
    </row>
    <row r="290">
      <c r="C290" s="11">
        <f>IFERROR(VLOOKUP(B290,ItemData_Equipment!$A:$B,2,FALSE),"")</f>
        <v/>
      </c>
      <c r="H290" s="11">
        <f>IF(G290="","",TEXTJOIN("; ",TRUE,IF(TRIM(MID(SUBSTITUTE(G290,";",REPT(" ",99)),1,99))="","",IFERROR(VLOOKUP(--LEFT(TRIM(MID(SUBSTITUTE(G290,";",REPT(" ",99)),1,99)),FIND(":",TRIM(MID(SUBSTITUTE(G290,";",REPT(" ",99)),1,99)))-1),_Lookup!$A:$B,2,FALSE),"?")&amp;"×"&amp;MID(TRIM(MID(SUBSTITUTE(G290,";",REPT(" ",99)),1,99)),FIND(":",TRIM(MID(SUBSTITUTE(G290,";",REPT(" ",99)),1,99)))+1,99)),IF(TRIM(MID(SUBSTITUTE(G290,";",REPT(" ",99)),100,99))="","",IFERROR(VLOOKUP(--LEFT(TRIM(MID(SUBSTITUTE(G290,";",REPT(" ",99)),100,99)),FIND(":",TRIM(MID(SUBSTITUTE(G290,";",REPT(" ",99)),100,99)))-1),_Lookup!$A:$B,2,FALSE),"?")&amp;"×"&amp;MID(TRIM(MID(SUBSTITUTE(G290,";",REPT(" ",99)),100,99)),FIND(":",TRIM(MID(SUBSTITUTE(G290,";",REPT(" ",99)),100,99)))+1,99)),IF(TRIM(MID(SUBSTITUTE(G290,";",REPT(" ",99)),199,99))="","",IFERROR(VLOOKUP(--LEFT(TRIM(MID(SUBSTITUTE(G290,";",REPT(" ",99)),199,99)),FIND(":",TRIM(MID(SUBSTITUTE(G290,";",REPT(" ",99)),199,99)))-1),_Lookup!$A:$B,2,FALSE),"?")&amp;"×"&amp;MID(TRIM(MID(SUBSTITUTE(G290,";",REPT(" ",99)),199,99)),FIND(":",TRIM(MID(SUBSTITUTE(G290,";",REPT(" ",99)),199,99)))+1,99)),IF(TRIM(MID(SUBSTITUTE(G290,";",REPT(" ",99)),298,99))="","",IFERROR(VLOOKUP(--LEFT(TRIM(MID(SUBSTITUTE(G290,";",REPT(" ",99)),298,99)),FIND(":",TRIM(MID(SUBSTITUTE(G290,";",REPT(" ",99)),298,99)))-1),_Lookup!$A:$B,2,FALSE),"?")&amp;"×"&amp;MID(TRIM(MID(SUBSTITUTE(G290,";",REPT(" ",99)),298,99)),FIND(":",TRIM(MID(SUBSTITUTE(G290,";",REPT(" ",99)),298,99)))+1,99)),IF(TRIM(MID(SUBSTITUTE(G290,";",REPT(" ",99)),397,99))="","",IFERROR(VLOOKUP(--LEFT(TRIM(MID(SUBSTITUTE(G290,";",REPT(" ",99)),397,99)),FIND(":",TRIM(MID(SUBSTITUTE(G290,";",REPT(" ",99)),397,99)))-1),_Lookup!$A:$B,2,FALSE),"?")&amp;"×"&amp;MID(TRIM(MID(SUBSTITUTE(G290,";",REPT(" ",99)),397,99)),FIND(":",TRIM(MID(SUBSTITUTE(G290,";",REPT(" ",99)),397,99)))+1,99))))</f>
        <v/>
      </c>
    </row>
    <row r="291">
      <c r="C291" s="11">
        <f>IFERROR(VLOOKUP(B291,ItemData_Equipment!$A:$B,2,FALSE),"")</f>
        <v/>
      </c>
      <c r="H291" s="11">
        <f>IF(G291="","",TEXTJOIN("; ",TRUE,IF(TRIM(MID(SUBSTITUTE(G291,";",REPT(" ",99)),1,99))="","",IFERROR(VLOOKUP(--LEFT(TRIM(MID(SUBSTITUTE(G291,";",REPT(" ",99)),1,99)),FIND(":",TRIM(MID(SUBSTITUTE(G291,";",REPT(" ",99)),1,99)))-1),_Lookup!$A:$B,2,FALSE),"?")&amp;"×"&amp;MID(TRIM(MID(SUBSTITUTE(G291,";",REPT(" ",99)),1,99)),FIND(":",TRIM(MID(SUBSTITUTE(G291,";",REPT(" ",99)),1,99)))+1,99)),IF(TRIM(MID(SUBSTITUTE(G291,";",REPT(" ",99)),100,99))="","",IFERROR(VLOOKUP(--LEFT(TRIM(MID(SUBSTITUTE(G291,";",REPT(" ",99)),100,99)),FIND(":",TRIM(MID(SUBSTITUTE(G291,";",REPT(" ",99)),100,99)))-1),_Lookup!$A:$B,2,FALSE),"?")&amp;"×"&amp;MID(TRIM(MID(SUBSTITUTE(G291,";",REPT(" ",99)),100,99)),FIND(":",TRIM(MID(SUBSTITUTE(G291,";",REPT(" ",99)),100,99)))+1,99)),IF(TRIM(MID(SUBSTITUTE(G291,";",REPT(" ",99)),199,99))="","",IFERROR(VLOOKUP(--LEFT(TRIM(MID(SUBSTITUTE(G291,";",REPT(" ",99)),199,99)),FIND(":",TRIM(MID(SUBSTITUTE(G291,";",REPT(" ",99)),199,99)))-1),_Lookup!$A:$B,2,FALSE),"?")&amp;"×"&amp;MID(TRIM(MID(SUBSTITUTE(G291,";",REPT(" ",99)),199,99)),FIND(":",TRIM(MID(SUBSTITUTE(G291,";",REPT(" ",99)),199,99)))+1,99)),IF(TRIM(MID(SUBSTITUTE(G291,";",REPT(" ",99)),298,99))="","",IFERROR(VLOOKUP(--LEFT(TRIM(MID(SUBSTITUTE(G291,";",REPT(" ",99)),298,99)),FIND(":",TRIM(MID(SUBSTITUTE(G291,";",REPT(" ",99)),298,99)))-1),_Lookup!$A:$B,2,FALSE),"?")&amp;"×"&amp;MID(TRIM(MID(SUBSTITUTE(G291,";",REPT(" ",99)),298,99)),FIND(":",TRIM(MID(SUBSTITUTE(G291,";",REPT(" ",99)),298,99)))+1,99)),IF(TRIM(MID(SUBSTITUTE(G291,";",REPT(" ",99)),397,99))="","",IFERROR(VLOOKUP(--LEFT(TRIM(MID(SUBSTITUTE(G291,";",REPT(" ",99)),397,99)),FIND(":",TRIM(MID(SUBSTITUTE(G291,";",REPT(" ",99)),397,99)))-1),_Lookup!$A:$B,2,FALSE),"?")&amp;"×"&amp;MID(TRIM(MID(SUBSTITUTE(G291,";",REPT(" ",99)),397,99)),FIND(":",TRIM(MID(SUBSTITUTE(G291,";",REPT(" ",99)),397,99)))+1,99))))</f>
        <v/>
      </c>
    </row>
    <row r="292">
      <c r="C292" s="11">
        <f>IFERROR(VLOOKUP(B292,ItemData_Equipment!$A:$B,2,FALSE),"")</f>
        <v/>
      </c>
      <c r="H292" s="11">
        <f>IF(G292="","",TEXTJOIN("; ",TRUE,IF(TRIM(MID(SUBSTITUTE(G292,";",REPT(" ",99)),1,99))="","",IFERROR(VLOOKUP(--LEFT(TRIM(MID(SUBSTITUTE(G292,";",REPT(" ",99)),1,99)),FIND(":",TRIM(MID(SUBSTITUTE(G292,";",REPT(" ",99)),1,99)))-1),_Lookup!$A:$B,2,FALSE),"?")&amp;"×"&amp;MID(TRIM(MID(SUBSTITUTE(G292,";",REPT(" ",99)),1,99)),FIND(":",TRIM(MID(SUBSTITUTE(G292,";",REPT(" ",99)),1,99)))+1,99)),IF(TRIM(MID(SUBSTITUTE(G292,";",REPT(" ",99)),100,99))="","",IFERROR(VLOOKUP(--LEFT(TRIM(MID(SUBSTITUTE(G292,";",REPT(" ",99)),100,99)),FIND(":",TRIM(MID(SUBSTITUTE(G292,";",REPT(" ",99)),100,99)))-1),_Lookup!$A:$B,2,FALSE),"?")&amp;"×"&amp;MID(TRIM(MID(SUBSTITUTE(G292,";",REPT(" ",99)),100,99)),FIND(":",TRIM(MID(SUBSTITUTE(G292,";",REPT(" ",99)),100,99)))+1,99)),IF(TRIM(MID(SUBSTITUTE(G292,";",REPT(" ",99)),199,99))="","",IFERROR(VLOOKUP(--LEFT(TRIM(MID(SUBSTITUTE(G292,";",REPT(" ",99)),199,99)),FIND(":",TRIM(MID(SUBSTITUTE(G292,";",REPT(" ",99)),199,99)))-1),_Lookup!$A:$B,2,FALSE),"?")&amp;"×"&amp;MID(TRIM(MID(SUBSTITUTE(G292,";",REPT(" ",99)),199,99)),FIND(":",TRIM(MID(SUBSTITUTE(G292,";",REPT(" ",99)),199,99)))+1,99)),IF(TRIM(MID(SUBSTITUTE(G292,";",REPT(" ",99)),298,99))="","",IFERROR(VLOOKUP(--LEFT(TRIM(MID(SUBSTITUTE(G292,";",REPT(" ",99)),298,99)),FIND(":",TRIM(MID(SUBSTITUTE(G292,";",REPT(" ",99)),298,99)))-1),_Lookup!$A:$B,2,FALSE),"?")&amp;"×"&amp;MID(TRIM(MID(SUBSTITUTE(G292,";",REPT(" ",99)),298,99)),FIND(":",TRIM(MID(SUBSTITUTE(G292,";",REPT(" ",99)),298,99)))+1,99)),IF(TRIM(MID(SUBSTITUTE(G292,";",REPT(" ",99)),397,99))="","",IFERROR(VLOOKUP(--LEFT(TRIM(MID(SUBSTITUTE(G292,";",REPT(" ",99)),397,99)),FIND(":",TRIM(MID(SUBSTITUTE(G292,";",REPT(" ",99)),397,99)))-1),_Lookup!$A:$B,2,FALSE),"?")&amp;"×"&amp;MID(TRIM(MID(SUBSTITUTE(G292,";",REPT(" ",99)),397,99)),FIND(":",TRIM(MID(SUBSTITUTE(G292,";",REPT(" ",99)),397,99)))+1,99))))</f>
        <v/>
      </c>
    </row>
    <row r="293">
      <c r="C293" s="11">
        <f>IFERROR(VLOOKUP(B293,ItemData_Equipment!$A:$B,2,FALSE),"")</f>
        <v/>
      </c>
      <c r="H293" s="11">
        <f>IF(G293="","",TEXTJOIN("; ",TRUE,IF(TRIM(MID(SUBSTITUTE(G293,";",REPT(" ",99)),1,99))="","",IFERROR(VLOOKUP(--LEFT(TRIM(MID(SUBSTITUTE(G293,";",REPT(" ",99)),1,99)),FIND(":",TRIM(MID(SUBSTITUTE(G293,";",REPT(" ",99)),1,99)))-1),_Lookup!$A:$B,2,FALSE),"?")&amp;"×"&amp;MID(TRIM(MID(SUBSTITUTE(G293,";",REPT(" ",99)),1,99)),FIND(":",TRIM(MID(SUBSTITUTE(G293,";",REPT(" ",99)),1,99)))+1,99)),IF(TRIM(MID(SUBSTITUTE(G293,";",REPT(" ",99)),100,99))="","",IFERROR(VLOOKUP(--LEFT(TRIM(MID(SUBSTITUTE(G293,";",REPT(" ",99)),100,99)),FIND(":",TRIM(MID(SUBSTITUTE(G293,";",REPT(" ",99)),100,99)))-1),_Lookup!$A:$B,2,FALSE),"?")&amp;"×"&amp;MID(TRIM(MID(SUBSTITUTE(G293,";",REPT(" ",99)),100,99)),FIND(":",TRIM(MID(SUBSTITUTE(G293,";",REPT(" ",99)),100,99)))+1,99)),IF(TRIM(MID(SUBSTITUTE(G293,";",REPT(" ",99)),199,99))="","",IFERROR(VLOOKUP(--LEFT(TRIM(MID(SUBSTITUTE(G293,";",REPT(" ",99)),199,99)),FIND(":",TRIM(MID(SUBSTITUTE(G293,";",REPT(" ",99)),199,99)))-1),_Lookup!$A:$B,2,FALSE),"?")&amp;"×"&amp;MID(TRIM(MID(SUBSTITUTE(G293,";",REPT(" ",99)),199,99)),FIND(":",TRIM(MID(SUBSTITUTE(G293,";",REPT(" ",99)),199,99)))+1,99)),IF(TRIM(MID(SUBSTITUTE(G293,";",REPT(" ",99)),298,99))="","",IFERROR(VLOOKUP(--LEFT(TRIM(MID(SUBSTITUTE(G293,";",REPT(" ",99)),298,99)),FIND(":",TRIM(MID(SUBSTITUTE(G293,";",REPT(" ",99)),298,99)))-1),_Lookup!$A:$B,2,FALSE),"?")&amp;"×"&amp;MID(TRIM(MID(SUBSTITUTE(G293,";",REPT(" ",99)),298,99)),FIND(":",TRIM(MID(SUBSTITUTE(G293,";",REPT(" ",99)),298,99)))+1,99)),IF(TRIM(MID(SUBSTITUTE(G293,";",REPT(" ",99)),397,99))="","",IFERROR(VLOOKUP(--LEFT(TRIM(MID(SUBSTITUTE(G293,";",REPT(" ",99)),397,99)),FIND(":",TRIM(MID(SUBSTITUTE(G293,";",REPT(" ",99)),397,99)))-1),_Lookup!$A:$B,2,FALSE),"?")&amp;"×"&amp;MID(TRIM(MID(SUBSTITUTE(G293,";",REPT(" ",99)),397,99)),FIND(":",TRIM(MID(SUBSTITUTE(G293,";",REPT(" ",99)),397,99)))+1,99))))</f>
        <v/>
      </c>
    </row>
    <row r="294">
      <c r="C294" s="11">
        <f>IFERROR(VLOOKUP(B294,ItemData_Equipment!$A:$B,2,FALSE),"")</f>
        <v/>
      </c>
      <c r="H294" s="11">
        <f>IF(G294="","",TEXTJOIN("; ",TRUE,IF(TRIM(MID(SUBSTITUTE(G294,";",REPT(" ",99)),1,99))="","",IFERROR(VLOOKUP(--LEFT(TRIM(MID(SUBSTITUTE(G294,";",REPT(" ",99)),1,99)),FIND(":",TRIM(MID(SUBSTITUTE(G294,";",REPT(" ",99)),1,99)))-1),_Lookup!$A:$B,2,FALSE),"?")&amp;"×"&amp;MID(TRIM(MID(SUBSTITUTE(G294,";",REPT(" ",99)),1,99)),FIND(":",TRIM(MID(SUBSTITUTE(G294,";",REPT(" ",99)),1,99)))+1,99)),IF(TRIM(MID(SUBSTITUTE(G294,";",REPT(" ",99)),100,99))="","",IFERROR(VLOOKUP(--LEFT(TRIM(MID(SUBSTITUTE(G294,";",REPT(" ",99)),100,99)),FIND(":",TRIM(MID(SUBSTITUTE(G294,";",REPT(" ",99)),100,99)))-1),_Lookup!$A:$B,2,FALSE),"?")&amp;"×"&amp;MID(TRIM(MID(SUBSTITUTE(G294,";",REPT(" ",99)),100,99)),FIND(":",TRIM(MID(SUBSTITUTE(G294,";",REPT(" ",99)),100,99)))+1,99)),IF(TRIM(MID(SUBSTITUTE(G294,";",REPT(" ",99)),199,99))="","",IFERROR(VLOOKUP(--LEFT(TRIM(MID(SUBSTITUTE(G294,";",REPT(" ",99)),199,99)),FIND(":",TRIM(MID(SUBSTITUTE(G294,";",REPT(" ",99)),199,99)))-1),_Lookup!$A:$B,2,FALSE),"?")&amp;"×"&amp;MID(TRIM(MID(SUBSTITUTE(G294,";",REPT(" ",99)),199,99)),FIND(":",TRIM(MID(SUBSTITUTE(G294,";",REPT(" ",99)),199,99)))+1,99)),IF(TRIM(MID(SUBSTITUTE(G294,";",REPT(" ",99)),298,99))="","",IFERROR(VLOOKUP(--LEFT(TRIM(MID(SUBSTITUTE(G294,";",REPT(" ",99)),298,99)),FIND(":",TRIM(MID(SUBSTITUTE(G294,";",REPT(" ",99)),298,99)))-1),_Lookup!$A:$B,2,FALSE),"?")&amp;"×"&amp;MID(TRIM(MID(SUBSTITUTE(G294,";",REPT(" ",99)),298,99)),FIND(":",TRIM(MID(SUBSTITUTE(G294,";",REPT(" ",99)),298,99)))+1,99)),IF(TRIM(MID(SUBSTITUTE(G294,";",REPT(" ",99)),397,99))="","",IFERROR(VLOOKUP(--LEFT(TRIM(MID(SUBSTITUTE(G294,";",REPT(" ",99)),397,99)),FIND(":",TRIM(MID(SUBSTITUTE(G294,";",REPT(" ",99)),397,99)))-1),_Lookup!$A:$B,2,FALSE),"?")&amp;"×"&amp;MID(TRIM(MID(SUBSTITUTE(G294,";",REPT(" ",99)),397,99)),FIND(":",TRIM(MID(SUBSTITUTE(G294,";",REPT(" ",99)),397,99)))+1,99))))</f>
        <v/>
      </c>
    </row>
    <row r="295">
      <c r="C295" s="11">
        <f>IFERROR(VLOOKUP(B295,ItemData_Equipment!$A:$B,2,FALSE),"")</f>
        <v/>
      </c>
      <c r="H295" s="11">
        <f>IF(G295="","",TEXTJOIN("; ",TRUE,IF(TRIM(MID(SUBSTITUTE(G295,";",REPT(" ",99)),1,99))="","",IFERROR(VLOOKUP(--LEFT(TRIM(MID(SUBSTITUTE(G295,";",REPT(" ",99)),1,99)),FIND(":",TRIM(MID(SUBSTITUTE(G295,";",REPT(" ",99)),1,99)))-1),_Lookup!$A:$B,2,FALSE),"?")&amp;"×"&amp;MID(TRIM(MID(SUBSTITUTE(G295,";",REPT(" ",99)),1,99)),FIND(":",TRIM(MID(SUBSTITUTE(G295,";",REPT(" ",99)),1,99)))+1,99)),IF(TRIM(MID(SUBSTITUTE(G295,";",REPT(" ",99)),100,99))="","",IFERROR(VLOOKUP(--LEFT(TRIM(MID(SUBSTITUTE(G295,";",REPT(" ",99)),100,99)),FIND(":",TRIM(MID(SUBSTITUTE(G295,";",REPT(" ",99)),100,99)))-1),_Lookup!$A:$B,2,FALSE),"?")&amp;"×"&amp;MID(TRIM(MID(SUBSTITUTE(G295,";",REPT(" ",99)),100,99)),FIND(":",TRIM(MID(SUBSTITUTE(G295,";",REPT(" ",99)),100,99)))+1,99)),IF(TRIM(MID(SUBSTITUTE(G295,";",REPT(" ",99)),199,99))="","",IFERROR(VLOOKUP(--LEFT(TRIM(MID(SUBSTITUTE(G295,";",REPT(" ",99)),199,99)),FIND(":",TRIM(MID(SUBSTITUTE(G295,";",REPT(" ",99)),199,99)))-1),_Lookup!$A:$B,2,FALSE),"?")&amp;"×"&amp;MID(TRIM(MID(SUBSTITUTE(G295,";",REPT(" ",99)),199,99)),FIND(":",TRIM(MID(SUBSTITUTE(G295,";",REPT(" ",99)),199,99)))+1,99)),IF(TRIM(MID(SUBSTITUTE(G295,";",REPT(" ",99)),298,99))="","",IFERROR(VLOOKUP(--LEFT(TRIM(MID(SUBSTITUTE(G295,";",REPT(" ",99)),298,99)),FIND(":",TRIM(MID(SUBSTITUTE(G295,";",REPT(" ",99)),298,99)))-1),_Lookup!$A:$B,2,FALSE),"?")&amp;"×"&amp;MID(TRIM(MID(SUBSTITUTE(G295,";",REPT(" ",99)),298,99)),FIND(":",TRIM(MID(SUBSTITUTE(G295,";",REPT(" ",99)),298,99)))+1,99)),IF(TRIM(MID(SUBSTITUTE(G295,";",REPT(" ",99)),397,99))="","",IFERROR(VLOOKUP(--LEFT(TRIM(MID(SUBSTITUTE(G295,";",REPT(" ",99)),397,99)),FIND(":",TRIM(MID(SUBSTITUTE(G295,";",REPT(" ",99)),397,99)))-1),_Lookup!$A:$B,2,FALSE),"?")&amp;"×"&amp;MID(TRIM(MID(SUBSTITUTE(G295,";",REPT(" ",99)),397,99)),FIND(":",TRIM(MID(SUBSTITUTE(G295,";",REPT(" ",99)),397,99)))+1,99))))</f>
        <v/>
      </c>
    </row>
    <row r="296">
      <c r="C296" s="11">
        <f>IFERROR(VLOOKUP(B296,ItemData_Equipment!$A:$B,2,FALSE),"")</f>
        <v/>
      </c>
      <c r="H296" s="11">
        <f>IF(G296="","",TEXTJOIN("; ",TRUE,IF(TRIM(MID(SUBSTITUTE(G296,";",REPT(" ",99)),1,99))="","",IFERROR(VLOOKUP(--LEFT(TRIM(MID(SUBSTITUTE(G296,";",REPT(" ",99)),1,99)),FIND(":",TRIM(MID(SUBSTITUTE(G296,";",REPT(" ",99)),1,99)))-1),_Lookup!$A:$B,2,FALSE),"?")&amp;"×"&amp;MID(TRIM(MID(SUBSTITUTE(G296,";",REPT(" ",99)),1,99)),FIND(":",TRIM(MID(SUBSTITUTE(G296,";",REPT(" ",99)),1,99)))+1,99)),IF(TRIM(MID(SUBSTITUTE(G296,";",REPT(" ",99)),100,99))="","",IFERROR(VLOOKUP(--LEFT(TRIM(MID(SUBSTITUTE(G296,";",REPT(" ",99)),100,99)),FIND(":",TRIM(MID(SUBSTITUTE(G296,";",REPT(" ",99)),100,99)))-1),_Lookup!$A:$B,2,FALSE),"?")&amp;"×"&amp;MID(TRIM(MID(SUBSTITUTE(G296,";",REPT(" ",99)),100,99)),FIND(":",TRIM(MID(SUBSTITUTE(G296,";",REPT(" ",99)),100,99)))+1,99)),IF(TRIM(MID(SUBSTITUTE(G296,";",REPT(" ",99)),199,99))="","",IFERROR(VLOOKUP(--LEFT(TRIM(MID(SUBSTITUTE(G296,";",REPT(" ",99)),199,99)),FIND(":",TRIM(MID(SUBSTITUTE(G296,";",REPT(" ",99)),199,99)))-1),_Lookup!$A:$B,2,FALSE),"?")&amp;"×"&amp;MID(TRIM(MID(SUBSTITUTE(G296,";",REPT(" ",99)),199,99)),FIND(":",TRIM(MID(SUBSTITUTE(G296,";",REPT(" ",99)),199,99)))+1,99)),IF(TRIM(MID(SUBSTITUTE(G296,";",REPT(" ",99)),298,99))="","",IFERROR(VLOOKUP(--LEFT(TRIM(MID(SUBSTITUTE(G296,";",REPT(" ",99)),298,99)),FIND(":",TRIM(MID(SUBSTITUTE(G296,";",REPT(" ",99)),298,99)))-1),_Lookup!$A:$B,2,FALSE),"?")&amp;"×"&amp;MID(TRIM(MID(SUBSTITUTE(G296,";",REPT(" ",99)),298,99)),FIND(":",TRIM(MID(SUBSTITUTE(G296,";",REPT(" ",99)),298,99)))+1,99)),IF(TRIM(MID(SUBSTITUTE(G296,";",REPT(" ",99)),397,99))="","",IFERROR(VLOOKUP(--LEFT(TRIM(MID(SUBSTITUTE(G296,";",REPT(" ",99)),397,99)),FIND(":",TRIM(MID(SUBSTITUTE(G296,";",REPT(" ",99)),397,99)))-1),_Lookup!$A:$B,2,FALSE),"?")&amp;"×"&amp;MID(TRIM(MID(SUBSTITUTE(G296,";",REPT(" ",99)),397,99)),FIND(":",TRIM(MID(SUBSTITUTE(G296,";",REPT(" ",99)),397,99)))+1,99))))</f>
        <v/>
      </c>
    </row>
    <row r="297">
      <c r="C297" s="11">
        <f>IFERROR(VLOOKUP(B297,ItemData_Equipment!$A:$B,2,FALSE),"")</f>
        <v/>
      </c>
      <c r="H297" s="11">
        <f>IF(G297="","",TEXTJOIN("; ",TRUE,IF(TRIM(MID(SUBSTITUTE(G297,";",REPT(" ",99)),1,99))="","",IFERROR(VLOOKUP(--LEFT(TRIM(MID(SUBSTITUTE(G297,";",REPT(" ",99)),1,99)),FIND(":",TRIM(MID(SUBSTITUTE(G297,";",REPT(" ",99)),1,99)))-1),_Lookup!$A:$B,2,FALSE),"?")&amp;"×"&amp;MID(TRIM(MID(SUBSTITUTE(G297,";",REPT(" ",99)),1,99)),FIND(":",TRIM(MID(SUBSTITUTE(G297,";",REPT(" ",99)),1,99)))+1,99)),IF(TRIM(MID(SUBSTITUTE(G297,";",REPT(" ",99)),100,99))="","",IFERROR(VLOOKUP(--LEFT(TRIM(MID(SUBSTITUTE(G297,";",REPT(" ",99)),100,99)),FIND(":",TRIM(MID(SUBSTITUTE(G297,";",REPT(" ",99)),100,99)))-1),_Lookup!$A:$B,2,FALSE),"?")&amp;"×"&amp;MID(TRIM(MID(SUBSTITUTE(G297,";",REPT(" ",99)),100,99)),FIND(":",TRIM(MID(SUBSTITUTE(G297,";",REPT(" ",99)),100,99)))+1,99)),IF(TRIM(MID(SUBSTITUTE(G297,";",REPT(" ",99)),199,99))="","",IFERROR(VLOOKUP(--LEFT(TRIM(MID(SUBSTITUTE(G297,";",REPT(" ",99)),199,99)),FIND(":",TRIM(MID(SUBSTITUTE(G297,";",REPT(" ",99)),199,99)))-1),_Lookup!$A:$B,2,FALSE),"?")&amp;"×"&amp;MID(TRIM(MID(SUBSTITUTE(G297,";",REPT(" ",99)),199,99)),FIND(":",TRIM(MID(SUBSTITUTE(G297,";",REPT(" ",99)),199,99)))+1,99)),IF(TRIM(MID(SUBSTITUTE(G297,";",REPT(" ",99)),298,99))="","",IFERROR(VLOOKUP(--LEFT(TRIM(MID(SUBSTITUTE(G297,";",REPT(" ",99)),298,99)),FIND(":",TRIM(MID(SUBSTITUTE(G297,";",REPT(" ",99)),298,99)))-1),_Lookup!$A:$B,2,FALSE),"?")&amp;"×"&amp;MID(TRIM(MID(SUBSTITUTE(G297,";",REPT(" ",99)),298,99)),FIND(":",TRIM(MID(SUBSTITUTE(G297,";",REPT(" ",99)),298,99)))+1,99)),IF(TRIM(MID(SUBSTITUTE(G297,";",REPT(" ",99)),397,99))="","",IFERROR(VLOOKUP(--LEFT(TRIM(MID(SUBSTITUTE(G297,";",REPT(" ",99)),397,99)),FIND(":",TRIM(MID(SUBSTITUTE(G297,";",REPT(" ",99)),397,99)))-1),_Lookup!$A:$B,2,FALSE),"?")&amp;"×"&amp;MID(TRIM(MID(SUBSTITUTE(G297,";",REPT(" ",99)),397,99)),FIND(":",TRIM(MID(SUBSTITUTE(G297,";",REPT(" ",99)),397,99)))+1,99))))</f>
        <v/>
      </c>
    </row>
    <row r="298">
      <c r="C298" s="11">
        <f>IFERROR(VLOOKUP(B298,ItemData_Equipment!$A:$B,2,FALSE),"")</f>
        <v/>
      </c>
      <c r="H298" s="11">
        <f>IF(G298="","",TEXTJOIN("; ",TRUE,IF(TRIM(MID(SUBSTITUTE(G298,";",REPT(" ",99)),1,99))="","",IFERROR(VLOOKUP(--LEFT(TRIM(MID(SUBSTITUTE(G298,";",REPT(" ",99)),1,99)),FIND(":",TRIM(MID(SUBSTITUTE(G298,";",REPT(" ",99)),1,99)))-1),_Lookup!$A:$B,2,FALSE),"?")&amp;"×"&amp;MID(TRIM(MID(SUBSTITUTE(G298,";",REPT(" ",99)),1,99)),FIND(":",TRIM(MID(SUBSTITUTE(G298,";",REPT(" ",99)),1,99)))+1,99)),IF(TRIM(MID(SUBSTITUTE(G298,";",REPT(" ",99)),100,99))="","",IFERROR(VLOOKUP(--LEFT(TRIM(MID(SUBSTITUTE(G298,";",REPT(" ",99)),100,99)),FIND(":",TRIM(MID(SUBSTITUTE(G298,";",REPT(" ",99)),100,99)))-1),_Lookup!$A:$B,2,FALSE),"?")&amp;"×"&amp;MID(TRIM(MID(SUBSTITUTE(G298,";",REPT(" ",99)),100,99)),FIND(":",TRIM(MID(SUBSTITUTE(G298,";",REPT(" ",99)),100,99)))+1,99)),IF(TRIM(MID(SUBSTITUTE(G298,";",REPT(" ",99)),199,99))="","",IFERROR(VLOOKUP(--LEFT(TRIM(MID(SUBSTITUTE(G298,";",REPT(" ",99)),199,99)),FIND(":",TRIM(MID(SUBSTITUTE(G298,";",REPT(" ",99)),199,99)))-1),_Lookup!$A:$B,2,FALSE),"?")&amp;"×"&amp;MID(TRIM(MID(SUBSTITUTE(G298,";",REPT(" ",99)),199,99)),FIND(":",TRIM(MID(SUBSTITUTE(G298,";",REPT(" ",99)),199,99)))+1,99)),IF(TRIM(MID(SUBSTITUTE(G298,";",REPT(" ",99)),298,99))="","",IFERROR(VLOOKUP(--LEFT(TRIM(MID(SUBSTITUTE(G298,";",REPT(" ",99)),298,99)),FIND(":",TRIM(MID(SUBSTITUTE(G298,";",REPT(" ",99)),298,99)))-1),_Lookup!$A:$B,2,FALSE),"?")&amp;"×"&amp;MID(TRIM(MID(SUBSTITUTE(G298,";",REPT(" ",99)),298,99)),FIND(":",TRIM(MID(SUBSTITUTE(G298,";",REPT(" ",99)),298,99)))+1,99)),IF(TRIM(MID(SUBSTITUTE(G298,";",REPT(" ",99)),397,99))="","",IFERROR(VLOOKUP(--LEFT(TRIM(MID(SUBSTITUTE(G298,";",REPT(" ",99)),397,99)),FIND(":",TRIM(MID(SUBSTITUTE(G298,";",REPT(" ",99)),397,99)))-1),_Lookup!$A:$B,2,FALSE),"?")&amp;"×"&amp;MID(TRIM(MID(SUBSTITUTE(G298,";",REPT(" ",99)),397,99)),FIND(":",TRIM(MID(SUBSTITUTE(G298,";",REPT(" ",99)),397,99)))+1,99))))</f>
        <v/>
      </c>
    </row>
    <row r="299">
      <c r="C299" s="11">
        <f>IFERROR(VLOOKUP(B299,ItemData_Equipment!$A:$B,2,FALSE),"")</f>
        <v/>
      </c>
      <c r="H299" s="11">
        <f>IF(G299="","",TEXTJOIN("; ",TRUE,IF(TRIM(MID(SUBSTITUTE(G299,";",REPT(" ",99)),1,99))="","",IFERROR(VLOOKUP(--LEFT(TRIM(MID(SUBSTITUTE(G299,";",REPT(" ",99)),1,99)),FIND(":",TRIM(MID(SUBSTITUTE(G299,";",REPT(" ",99)),1,99)))-1),_Lookup!$A:$B,2,FALSE),"?")&amp;"×"&amp;MID(TRIM(MID(SUBSTITUTE(G299,";",REPT(" ",99)),1,99)),FIND(":",TRIM(MID(SUBSTITUTE(G299,";",REPT(" ",99)),1,99)))+1,99)),IF(TRIM(MID(SUBSTITUTE(G299,";",REPT(" ",99)),100,99))="","",IFERROR(VLOOKUP(--LEFT(TRIM(MID(SUBSTITUTE(G299,";",REPT(" ",99)),100,99)),FIND(":",TRIM(MID(SUBSTITUTE(G299,";",REPT(" ",99)),100,99)))-1),_Lookup!$A:$B,2,FALSE),"?")&amp;"×"&amp;MID(TRIM(MID(SUBSTITUTE(G299,";",REPT(" ",99)),100,99)),FIND(":",TRIM(MID(SUBSTITUTE(G299,";",REPT(" ",99)),100,99)))+1,99)),IF(TRIM(MID(SUBSTITUTE(G299,";",REPT(" ",99)),199,99))="","",IFERROR(VLOOKUP(--LEFT(TRIM(MID(SUBSTITUTE(G299,";",REPT(" ",99)),199,99)),FIND(":",TRIM(MID(SUBSTITUTE(G299,";",REPT(" ",99)),199,99)))-1),_Lookup!$A:$B,2,FALSE),"?")&amp;"×"&amp;MID(TRIM(MID(SUBSTITUTE(G299,";",REPT(" ",99)),199,99)),FIND(":",TRIM(MID(SUBSTITUTE(G299,";",REPT(" ",99)),199,99)))+1,99)),IF(TRIM(MID(SUBSTITUTE(G299,";",REPT(" ",99)),298,99))="","",IFERROR(VLOOKUP(--LEFT(TRIM(MID(SUBSTITUTE(G299,";",REPT(" ",99)),298,99)),FIND(":",TRIM(MID(SUBSTITUTE(G299,";",REPT(" ",99)),298,99)))-1),_Lookup!$A:$B,2,FALSE),"?")&amp;"×"&amp;MID(TRIM(MID(SUBSTITUTE(G299,";",REPT(" ",99)),298,99)),FIND(":",TRIM(MID(SUBSTITUTE(G299,";",REPT(" ",99)),298,99)))+1,99)),IF(TRIM(MID(SUBSTITUTE(G299,";",REPT(" ",99)),397,99))="","",IFERROR(VLOOKUP(--LEFT(TRIM(MID(SUBSTITUTE(G299,";",REPT(" ",99)),397,99)),FIND(":",TRIM(MID(SUBSTITUTE(G299,";",REPT(" ",99)),397,99)))-1),_Lookup!$A:$B,2,FALSE),"?")&amp;"×"&amp;MID(TRIM(MID(SUBSTITUTE(G299,";",REPT(" ",99)),397,99)),FIND(":",TRIM(MID(SUBSTITUTE(G299,";",REPT(" ",99)),397,99)))+1,99))))</f>
        <v/>
      </c>
    </row>
    <row r="300">
      <c r="C300" s="11">
        <f>IFERROR(VLOOKUP(B300,ItemData_Equipment!$A:$B,2,FALSE),"")</f>
        <v/>
      </c>
      <c r="H300" s="11">
        <f>IF(G300="","",TEXTJOIN("; ",TRUE,IF(TRIM(MID(SUBSTITUTE(G300,";",REPT(" ",99)),1,99))="","",IFERROR(VLOOKUP(--LEFT(TRIM(MID(SUBSTITUTE(G300,";",REPT(" ",99)),1,99)),FIND(":",TRIM(MID(SUBSTITUTE(G300,";",REPT(" ",99)),1,99)))-1),_Lookup!$A:$B,2,FALSE),"?")&amp;"×"&amp;MID(TRIM(MID(SUBSTITUTE(G300,";",REPT(" ",99)),1,99)),FIND(":",TRIM(MID(SUBSTITUTE(G300,";",REPT(" ",99)),1,99)))+1,99)),IF(TRIM(MID(SUBSTITUTE(G300,";",REPT(" ",99)),100,99))="","",IFERROR(VLOOKUP(--LEFT(TRIM(MID(SUBSTITUTE(G300,";",REPT(" ",99)),100,99)),FIND(":",TRIM(MID(SUBSTITUTE(G300,";",REPT(" ",99)),100,99)))-1),_Lookup!$A:$B,2,FALSE),"?")&amp;"×"&amp;MID(TRIM(MID(SUBSTITUTE(G300,";",REPT(" ",99)),100,99)),FIND(":",TRIM(MID(SUBSTITUTE(G300,";",REPT(" ",99)),100,99)))+1,99)),IF(TRIM(MID(SUBSTITUTE(G300,";",REPT(" ",99)),199,99))="","",IFERROR(VLOOKUP(--LEFT(TRIM(MID(SUBSTITUTE(G300,";",REPT(" ",99)),199,99)),FIND(":",TRIM(MID(SUBSTITUTE(G300,";",REPT(" ",99)),199,99)))-1),_Lookup!$A:$B,2,FALSE),"?")&amp;"×"&amp;MID(TRIM(MID(SUBSTITUTE(G300,";",REPT(" ",99)),199,99)),FIND(":",TRIM(MID(SUBSTITUTE(G300,";",REPT(" ",99)),199,99)))+1,99)),IF(TRIM(MID(SUBSTITUTE(G300,";",REPT(" ",99)),298,99))="","",IFERROR(VLOOKUP(--LEFT(TRIM(MID(SUBSTITUTE(G300,";",REPT(" ",99)),298,99)),FIND(":",TRIM(MID(SUBSTITUTE(G300,";",REPT(" ",99)),298,99)))-1),_Lookup!$A:$B,2,FALSE),"?")&amp;"×"&amp;MID(TRIM(MID(SUBSTITUTE(G300,";",REPT(" ",99)),298,99)),FIND(":",TRIM(MID(SUBSTITUTE(G300,";",REPT(" ",99)),298,99)))+1,99)),IF(TRIM(MID(SUBSTITUTE(G300,";",REPT(" ",99)),397,99))="","",IFERROR(VLOOKUP(--LEFT(TRIM(MID(SUBSTITUTE(G300,";",REPT(" ",99)),397,99)),FIND(":",TRIM(MID(SUBSTITUTE(G300,";",REPT(" ",99)),397,99)))-1),_Lookup!$A:$B,2,FALSE),"?")&amp;"×"&amp;MID(TRIM(MID(SUBSTITUTE(G300,";",REPT(" ",99)),397,99)),FIND(":",TRIM(MID(SUBSTITUTE(G300,";",REPT(" ",99)),397,99)))+1,99))))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L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8" customWidth="1" min="4" max="4"/>
    <col width="12" customWidth="1" min="5" max="5"/>
    <col width="14" customWidth="1" min="6" max="6"/>
    <col width="36" customWidth="1" min="7" max="7"/>
    <col width="18" customWidth="1" min="8" max="8"/>
    <col width="16" customWidth="1" min="9" max="9"/>
    <col width="10" customWidth="1" min="10" max="10"/>
    <col width="22" customWidth="1" min="12" max="12"/>
  </cols>
  <sheetData>
    <row r="1">
      <c r="A1" s="6" t="inlineStr">
        <is>
          <t>m_id</t>
        </is>
      </c>
      <c r="B1" s="6" t="inlineStr">
        <is>
          <t>m_name</t>
        </is>
      </c>
      <c r="C1" s="6" t="inlineStr">
        <is>
          <t>m_type</t>
        </is>
      </c>
      <c r="D1" s="6" t="inlineStr">
        <is>
          <t>m_tier</t>
        </is>
      </c>
      <c r="E1" s="6" t="inlineStr">
        <is>
          <t>m_basePrice</t>
        </is>
      </c>
      <c r="F1" s="6" t="inlineStr">
        <is>
          <t>m_mountingArea</t>
        </is>
      </c>
      <c r="G1" s="6" t="inlineStr">
        <is>
          <t>m_modifiers</t>
        </is>
      </c>
      <c r="H1" s="6" t="inlineStr">
        <is>
          <t>m_summonTarget_id</t>
        </is>
      </c>
      <c r="I1" s="9" t="inlineStr">
        <is>
          <t>#summonTarget_name</t>
        </is>
      </c>
      <c r="J1" s="6" t="inlineStr">
        <is>
          <t>m_craftMaterials</t>
        </is>
      </c>
      <c r="K1" s="6" t="inlineStr">
        <is>
          <t>m_craftGoldCost</t>
        </is>
      </c>
      <c r="L1" s="6" t="inlineStr">
        <is>
          <t>m_assetKey</t>
        </is>
      </c>
    </row>
    <row r="2" ht="42" customHeight="1">
      <c r="A2" s="7" t="inlineStr">
        <is>
          <t>고유 ID (int)</t>
        </is>
      </c>
      <c r="B2" s="7" t="inlineStr">
        <is>
          <t>이름</t>
        </is>
      </c>
      <c r="C2" s="7" t="inlineStr">
        <is>
          <t>Consumables 고정</t>
        </is>
      </c>
      <c r="D2" s="7" t="inlineStr">
        <is>
          <t>티어 (int)</t>
        </is>
      </c>
      <c r="E2" s="7" t="inlineStr">
        <is>
          <t>기준 판매가</t>
        </is>
      </c>
      <c r="F2" s="7" t="inlineStr">
        <is>
          <t>Bait 또는 Groundbait</t>
        </is>
      </c>
      <c r="G2" s="7" t="inlineStr">
        <is>
          <t>장착 중 효과 — 압축</t>
        </is>
      </c>
      <c r="H2" s="7" t="inlineStr">
        <is>
          <t>보스 소환 대상 (BattleFishData m_id, 빈칸=일반)</t>
        </is>
      </c>
      <c r="I2" s="10" t="inlineStr">
        <is>
          <t>표시 전용(#) — JSON 변환 제외. 자동(VLOOKUP), 입력 금지</t>
        </is>
      </c>
      <c r="J2" s="7" t="inlineStr">
        <is>
          <t>제작 재료 — 압축: materialId:count;...</t>
        </is>
      </c>
      <c r="K2" s="7" t="inlineStr">
        <is>
          <t>제작 골드</t>
        </is>
      </c>
      <c r="L2" s="7" t="inlineStr">
        <is>
          <t>에셋 키 오버라이드 — 빈칸=규약({클래스명}_{ID}). 여러 항목이 에셋을 공유하거나 스킨/예외일 때만 입력</t>
        </is>
      </c>
    </row>
    <row r="3">
      <c r="A3" s="8" t="n">
        <v>400001</v>
      </c>
      <c r="B3" s="8" t="inlineStr">
        <is>
          <t>새우 미끼</t>
        </is>
      </c>
      <c r="C3" s="8" t="inlineStr">
        <is>
          <t>Consumables</t>
        </is>
      </c>
      <c r="D3" s="8" t="n">
        <v>1</v>
      </c>
      <c r="E3" s="8" t="n">
        <v>30</v>
      </c>
      <c r="F3" s="8" t="inlineStr">
        <is>
          <t>Bait</t>
        </is>
      </c>
      <c r="G3" s="8" t="inlineStr">
        <is>
          <t>ProbabilityAtFishSize:Add:0.1</t>
        </is>
      </c>
      <c r="H3" s="8" t="n"/>
      <c r="I3" s="11">
        <f>IFERROR(VLOOKUP(H3,BattleFishData!$A:$B,2,FALSE),"")</f>
        <v/>
      </c>
      <c r="J3" s="8" t="inlineStr">
        <is>
          <t>300002:3</t>
        </is>
      </c>
      <c r="K3" s="8" t="n">
        <v>50</v>
      </c>
    </row>
    <row r="4">
      <c r="A4" s="8" t="n">
        <v>400002</v>
      </c>
      <c r="B4" s="8" t="inlineStr">
        <is>
          <t>보스 소환 미끼</t>
        </is>
      </c>
      <c r="C4" s="8" t="inlineStr">
        <is>
          <t>Consumables</t>
        </is>
      </c>
      <c r="D4" s="8" t="n">
        <v>1</v>
      </c>
      <c r="E4" s="8" t="n">
        <v>0</v>
      </c>
      <c r="F4" s="8" t="inlineStr">
        <is>
          <t>Bait</t>
        </is>
      </c>
      <c r="G4" s="8" t="n"/>
      <c r="H4" s="8" t="n">
        <v>500002</v>
      </c>
      <c r="I4" s="11">
        <f>IFERROR(VLOOKUP(H4,BattleFishData!$A:$B,2,FALSE),"")</f>
        <v/>
      </c>
      <c r="J4" s="8" t="inlineStr">
        <is>
          <t>300001:5;300002:5</t>
        </is>
      </c>
      <c r="K4" s="8" t="n">
        <v>200</v>
      </c>
    </row>
    <row r="5">
      <c r="I5" s="11">
        <f>IFERROR(VLOOKUP(H5,BattleFishData!$A:$B,2,FALSE),"")</f>
        <v/>
      </c>
    </row>
    <row r="6">
      <c r="I6" s="11">
        <f>IFERROR(VLOOKUP(H6,BattleFishData!$A:$B,2,FALSE),"")</f>
        <v/>
      </c>
    </row>
    <row r="7">
      <c r="I7" s="11">
        <f>IFERROR(VLOOKUP(H7,BattleFishData!$A:$B,2,FALSE),"")</f>
        <v/>
      </c>
    </row>
    <row r="8">
      <c r="I8" s="11">
        <f>IFERROR(VLOOKUP(H8,BattleFishData!$A:$B,2,FALSE),"")</f>
        <v/>
      </c>
    </row>
    <row r="9">
      <c r="I9" s="11">
        <f>IFERROR(VLOOKUP(H9,BattleFishData!$A:$B,2,FALSE),"")</f>
        <v/>
      </c>
    </row>
    <row r="10">
      <c r="I10" s="11">
        <f>IFERROR(VLOOKUP(H10,BattleFishData!$A:$B,2,FALSE),"")</f>
        <v/>
      </c>
    </row>
    <row r="11">
      <c r="I11" s="11">
        <f>IFERROR(VLOOKUP(H11,BattleFishData!$A:$B,2,FALSE),"")</f>
        <v/>
      </c>
    </row>
    <row r="12">
      <c r="I12" s="11">
        <f>IFERROR(VLOOKUP(H12,BattleFishData!$A:$B,2,FALSE),"")</f>
        <v/>
      </c>
    </row>
    <row r="13">
      <c r="I13" s="11">
        <f>IFERROR(VLOOKUP(H13,BattleFishData!$A:$B,2,FALSE),"")</f>
        <v/>
      </c>
    </row>
    <row r="14">
      <c r="I14" s="11">
        <f>IFERROR(VLOOKUP(H14,BattleFishData!$A:$B,2,FALSE),"")</f>
        <v/>
      </c>
    </row>
    <row r="15">
      <c r="I15" s="11">
        <f>IFERROR(VLOOKUP(H15,BattleFishData!$A:$B,2,FALSE),"")</f>
        <v/>
      </c>
    </row>
    <row r="16">
      <c r="I16" s="11">
        <f>IFERROR(VLOOKUP(H16,BattleFishData!$A:$B,2,FALSE),"")</f>
        <v/>
      </c>
    </row>
    <row r="17">
      <c r="I17" s="11">
        <f>IFERROR(VLOOKUP(H17,BattleFishData!$A:$B,2,FALSE),"")</f>
        <v/>
      </c>
    </row>
    <row r="18">
      <c r="I18" s="11">
        <f>IFERROR(VLOOKUP(H18,BattleFishData!$A:$B,2,FALSE),"")</f>
        <v/>
      </c>
    </row>
    <row r="19">
      <c r="I19" s="11">
        <f>IFERROR(VLOOKUP(H19,BattleFishData!$A:$B,2,FALSE),"")</f>
        <v/>
      </c>
    </row>
    <row r="20">
      <c r="I20" s="11">
        <f>IFERROR(VLOOKUP(H20,BattleFishData!$A:$B,2,FALSE),"")</f>
        <v/>
      </c>
    </row>
    <row r="21">
      <c r="I21" s="11">
        <f>IFERROR(VLOOKUP(H21,BattleFishData!$A:$B,2,FALSE),"")</f>
        <v/>
      </c>
    </row>
    <row r="22">
      <c r="I22" s="11">
        <f>IFERROR(VLOOKUP(H22,BattleFishData!$A:$B,2,FALSE),"")</f>
        <v/>
      </c>
    </row>
    <row r="23">
      <c r="I23" s="11">
        <f>IFERROR(VLOOKUP(H23,BattleFishData!$A:$B,2,FALSE),"")</f>
        <v/>
      </c>
    </row>
    <row r="24">
      <c r="I24" s="11">
        <f>IFERROR(VLOOKUP(H24,BattleFishData!$A:$B,2,FALSE),"")</f>
        <v/>
      </c>
    </row>
    <row r="25">
      <c r="I25" s="11">
        <f>IFERROR(VLOOKUP(H25,BattleFishData!$A:$B,2,FALSE),"")</f>
        <v/>
      </c>
    </row>
    <row r="26">
      <c r="I26" s="11">
        <f>IFERROR(VLOOKUP(H26,BattleFishData!$A:$B,2,FALSE),"")</f>
        <v/>
      </c>
    </row>
    <row r="27">
      <c r="I27" s="11">
        <f>IFERROR(VLOOKUP(H27,BattleFishData!$A:$B,2,FALSE),"")</f>
        <v/>
      </c>
    </row>
    <row r="28">
      <c r="I28" s="11">
        <f>IFERROR(VLOOKUP(H28,BattleFishData!$A:$B,2,FALSE),"")</f>
        <v/>
      </c>
    </row>
    <row r="29">
      <c r="I29" s="11">
        <f>IFERROR(VLOOKUP(H29,BattleFishData!$A:$B,2,FALSE),"")</f>
        <v/>
      </c>
    </row>
    <row r="30">
      <c r="I30" s="11">
        <f>IFERROR(VLOOKUP(H30,BattleFishData!$A:$B,2,FALSE),"")</f>
        <v/>
      </c>
    </row>
    <row r="31">
      <c r="I31" s="11">
        <f>IFERROR(VLOOKUP(H31,BattleFishData!$A:$B,2,FALSE),"")</f>
        <v/>
      </c>
    </row>
    <row r="32">
      <c r="I32" s="11">
        <f>IFERROR(VLOOKUP(H32,BattleFishData!$A:$B,2,FALSE),"")</f>
        <v/>
      </c>
    </row>
    <row r="33">
      <c r="I33" s="11">
        <f>IFERROR(VLOOKUP(H33,BattleFishData!$A:$B,2,FALSE),"")</f>
        <v/>
      </c>
    </row>
    <row r="34">
      <c r="I34" s="11">
        <f>IFERROR(VLOOKUP(H34,BattleFishData!$A:$B,2,FALSE),"")</f>
        <v/>
      </c>
    </row>
    <row r="35">
      <c r="I35" s="11">
        <f>IFERROR(VLOOKUP(H35,BattleFishData!$A:$B,2,FALSE),"")</f>
        <v/>
      </c>
    </row>
    <row r="36">
      <c r="I36" s="11">
        <f>IFERROR(VLOOKUP(H36,BattleFishData!$A:$B,2,FALSE),"")</f>
        <v/>
      </c>
    </row>
    <row r="37">
      <c r="I37" s="11">
        <f>IFERROR(VLOOKUP(H37,BattleFishData!$A:$B,2,FALSE),"")</f>
        <v/>
      </c>
    </row>
    <row r="38">
      <c r="I38" s="11">
        <f>IFERROR(VLOOKUP(H38,BattleFishData!$A:$B,2,FALSE),"")</f>
        <v/>
      </c>
    </row>
    <row r="39">
      <c r="I39" s="11">
        <f>IFERROR(VLOOKUP(H39,BattleFishData!$A:$B,2,FALSE),"")</f>
        <v/>
      </c>
    </row>
    <row r="40">
      <c r="I40" s="11">
        <f>IFERROR(VLOOKUP(H40,BattleFishData!$A:$B,2,FALSE),"")</f>
        <v/>
      </c>
    </row>
    <row r="41">
      <c r="I41" s="11">
        <f>IFERROR(VLOOKUP(H41,BattleFishData!$A:$B,2,FALSE),"")</f>
        <v/>
      </c>
    </row>
    <row r="42">
      <c r="I42" s="11">
        <f>IFERROR(VLOOKUP(H42,BattleFishData!$A:$B,2,FALSE),"")</f>
        <v/>
      </c>
    </row>
    <row r="43">
      <c r="I43" s="11">
        <f>IFERROR(VLOOKUP(H43,BattleFishData!$A:$B,2,FALSE),"")</f>
        <v/>
      </c>
    </row>
    <row r="44">
      <c r="I44" s="11">
        <f>IFERROR(VLOOKUP(H44,BattleFishData!$A:$B,2,FALSE),"")</f>
        <v/>
      </c>
    </row>
    <row r="45">
      <c r="I45" s="11">
        <f>IFERROR(VLOOKUP(H45,BattleFishData!$A:$B,2,FALSE),"")</f>
        <v/>
      </c>
    </row>
    <row r="46">
      <c r="I46" s="11">
        <f>IFERROR(VLOOKUP(H46,BattleFishData!$A:$B,2,FALSE),"")</f>
        <v/>
      </c>
    </row>
    <row r="47">
      <c r="I47" s="11">
        <f>IFERROR(VLOOKUP(H47,BattleFishData!$A:$B,2,FALSE),"")</f>
        <v/>
      </c>
    </row>
    <row r="48">
      <c r="I48" s="11">
        <f>IFERROR(VLOOKUP(H48,BattleFishData!$A:$B,2,FALSE),"")</f>
        <v/>
      </c>
    </row>
    <row r="49">
      <c r="I49" s="11">
        <f>IFERROR(VLOOKUP(H49,BattleFishData!$A:$B,2,FALSE),"")</f>
        <v/>
      </c>
    </row>
    <row r="50">
      <c r="I50" s="11">
        <f>IFERROR(VLOOKUP(H50,BattleFishData!$A:$B,2,FALSE),"")</f>
        <v/>
      </c>
    </row>
    <row r="51">
      <c r="I51" s="11">
        <f>IFERROR(VLOOKUP(H51,BattleFishData!$A:$B,2,FALSE),"")</f>
        <v/>
      </c>
    </row>
    <row r="52">
      <c r="I52" s="11">
        <f>IFERROR(VLOOKUP(H52,BattleFishData!$A:$B,2,FALSE),"")</f>
        <v/>
      </c>
    </row>
    <row r="53">
      <c r="I53" s="11">
        <f>IFERROR(VLOOKUP(H53,BattleFishData!$A:$B,2,FALSE),"")</f>
        <v/>
      </c>
    </row>
    <row r="54">
      <c r="I54" s="11">
        <f>IFERROR(VLOOKUP(H54,BattleFishData!$A:$B,2,FALSE),"")</f>
        <v/>
      </c>
    </row>
    <row r="55">
      <c r="I55" s="11">
        <f>IFERROR(VLOOKUP(H55,BattleFishData!$A:$B,2,FALSE),"")</f>
        <v/>
      </c>
    </row>
    <row r="56">
      <c r="I56" s="11">
        <f>IFERROR(VLOOKUP(H56,BattleFishData!$A:$B,2,FALSE),"")</f>
        <v/>
      </c>
    </row>
    <row r="57">
      <c r="I57" s="11">
        <f>IFERROR(VLOOKUP(H57,BattleFishData!$A:$B,2,FALSE),"")</f>
        <v/>
      </c>
    </row>
    <row r="58">
      <c r="I58" s="11">
        <f>IFERROR(VLOOKUP(H58,BattleFishData!$A:$B,2,FALSE),"")</f>
        <v/>
      </c>
    </row>
    <row r="59">
      <c r="I59" s="11">
        <f>IFERROR(VLOOKUP(H59,BattleFishData!$A:$B,2,FALSE),"")</f>
        <v/>
      </c>
    </row>
    <row r="60">
      <c r="I60" s="11">
        <f>IFERROR(VLOOKUP(H60,BattleFishData!$A:$B,2,FALSE),"")</f>
        <v/>
      </c>
    </row>
    <row r="61">
      <c r="I61" s="11">
        <f>IFERROR(VLOOKUP(H61,BattleFishData!$A:$B,2,FALSE),"")</f>
        <v/>
      </c>
    </row>
    <row r="62">
      <c r="I62" s="11">
        <f>IFERROR(VLOOKUP(H62,BattleFishData!$A:$B,2,FALSE),"")</f>
        <v/>
      </c>
    </row>
    <row r="63">
      <c r="I63" s="11">
        <f>IFERROR(VLOOKUP(H63,BattleFishData!$A:$B,2,FALSE),"")</f>
        <v/>
      </c>
    </row>
    <row r="64">
      <c r="I64" s="11">
        <f>IFERROR(VLOOKUP(H64,BattleFishData!$A:$B,2,FALSE),"")</f>
        <v/>
      </c>
    </row>
    <row r="65">
      <c r="I65" s="11">
        <f>IFERROR(VLOOKUP(H65,BattleFishData!$A:$B,2,FALSE),"")</f>
        <v/>
      </c>
    </row>
    <row r="66">
      <c r="I66" s="11">
        <f>IFERROR(VLOOKUP(H66,BattleFishData!$A:$B,2,FALSE),"")</f>
        <v/>
      </c>
    </row>
    <row r="67">
      <c r="I67" s="11">
        <f>IFERROR(VLOOKUP(H67,BattleFishData!$A:$B,2,FALSE),"")</f>
        <v/>
      </c>
    </row>
    <row r="68">
      <c r="I68" s="11">
        <f>IFERROR(VLOOKUP(H68,BattleFishData!$A:$B,2,FALSE),"")</f>
        <v/>
      </c>
    </row>
    <row r="69">
      <c r="I69" s="11">
        <f>IFERROR(VLOOKUP(H69,BattleFishData!$A:$B,2,FALSE),"")</f>
        <v/>
      </c>
    </row>
    <row r="70">
      <c r="I70" s="11">
        <f>IFERROR(VLOOKUP(H70,BattleFishData!$A:$B,2,FALSE),"")</f>
        <v/>
      </c>
    </row>
    <row r="71">
      <c r="I71" s="11">
        <f>IFERROR(VLOOKUP(H71,BattleFishData!$A:$B,2,FALSE),"")</f>
        <v/>
      </c>
    </row>
    <row r="72">
      <c r="I72" s="11">
        <f>IFERROR(VLOOKUP(H72,BattleFishData!$A:$B,2,FALSE),"")</f>
        <v/>
      </c>
    </row>
    <row r="73">
      <c r="I73" s="11">
        <f>IFERROR(VLOOKUP(H73,BattleFishData!$A:$B,2,FALSE),"")</f>
        <v/>
      </c>
    </row>
    <row r="74">
      <c r="I74" s="11">
        <f>IFERROR(VLOOKUP(H74,BattleFishData!$A:$B,2,FALSE),"")</f>
        <v/>
      </c>
    </row>
    <row r="75">
      <c r="I75" s="11">
        <f>IFERROR(VLOOKUP(H75,BattleFishData!$A:$B,2,FALSE),"")</f>
        <v/>
      </c>
    </row>
    <row r="76">
      <c r="I76" s="11">
        <f>IFERROR(VLOOKUP(H76,BattleFishData!$A:$B,2,FALSE),"")</f>
        <v/>
      </c>
    </row>
    <row r="77">
      <c r="I77" s="11">
        <f>IFERROR(VLOOKUP(H77,BattleFishData!$A:$B,2,FALSE),"")</f>
        <v/>
      </c>
    </row>
    <row r="78">
      <c r="I78" s="11">
        <f>IFERROR(VLOOKUP(H78,BattleFishData!$A:$B,2,FALSE),"")</f>
        <v/>
      </c>
    </row>
    <row r="79">
      <c r="I79" s="11">
        <f>IFERROR(VLOOKUP(H79,BattleFishData!$A:$B,2,FALSE),"")</f>
        <v/>
      </c>
    </row>
    <row r="80">
      <c r="I80" s="11">
        <f>IFERROR(VLOOKUP(H80,BattleFishData!$A:$B,2,FALSE),"")</f>
        <v/>
      </c>
    </row>
    <row r="81">
      <c r="I81" s="11">
        <f>IFERROR(VLOOKUP(H81,BattleFishData!$A:$B,2,FALSE),"")</f>
        <v/>
      </c>
    </row>
    <row r="82">
      <c r="I82" s="11">
        <f>IFERROR(VLOOKUP(H82,BattleFishData!$A:$B,2,FALSE),"")</f>
        <v/>
      </c>
    </row>
    <row r="83">
      <c r="I83" s="11">
        <f>IFERROR(VLOOKUP(H83,BattleFishData!$A:$B,2,FALSE),"")</f>
        <v/>
      </c>
    </row>
    <row r="84">
      <c r="I84" s="11">
        <f>IFERROR(VLOOKUP(H84,BattleFishData!$A:$B,2,FALSE),"")</f>
        <v/>
      </c>
    </row>
    <row r="85">
      <c r="I85" s="11">
        <f>IFERROR(VLOOKUP(H85,BattleFishData!$A:$B,2,FALSE),"")</f>
        <v/>
      </c>
    </row>
    <row r="86">
      <c r="I86" s="11">
        <f>IFERROR(VLOOKUP(H86,BattleFishData!$A:$B,2,FALSE),"")</f>
        <v/>
      </c>
    </row>
    <row r="87">
      <c r="I87" s="11">
        <f>IFERROR(VLOOKUP(H87,BattleFishData!$A:$B,2,FALSE),"")</f>
        <v/>
      </c>
    </row>
    <row r="88">
      <c r="I88" s="11">
        <f>IFERROR(VLOOKUP(H88,BattleFishData!$A:$B,2,FALSE),"")</f>
        <v/>
      </c>
    </row>
    <row r="89">
      <c r="I89" s="11">
        <f>IFERROR(VLOOKUP(H89,BattleFishData!$A:$B,2,FALSE),"")</f>
        <v/>
      </c>
    </row>
    <row r="90">
      <c r="I90" s="11">
        <f>IFERROR(VLOOKUP(H90,BattleFishData!$A:$B,2,FALSE),"")</f>
        <v/>
      </c>
    </row>
    <row r="91">
      <c r="I91" s="11">
        <f>IFERROR(VLOOKUP(H91,BattleFishData!$A:$B,2,FALSE),"")</f>
        <v/>
      </c>
    </row>
    <row r="92">
      <c r="I92" s="11">
        <f>IFERROR(VLOOKUP(H92,BattleFishData!$A:$B,2,FALSE),"")</f>
        <v/>
      </c>
    </row>
    <row r="93">
      <c r="I93" s="11">
        <f>IFERROR(VLOOKUP(H93,BattleFishData!$A:$B,2,FALSE),"")</f>
        <v/>
      </c>
    </row>
    <row r="94">
      <c r="I94" s="11">
        <f>IFERROR(VLOOKUP(H94,BattleFishData!$A:$B,2,FALSE),"")</f>
        <v/>
      </c>
    </row>
    <row r="95">
      <c r="I95" s="11">
        <f>IFERROR(VLOOKUP(H95,BattleFishData!$A:$B,2,FALSE),"")</f>
        <v/>
      </c>
    </row>
    <row r="96">
      <c r="I96" s="11">
        <f>IFERROR(VLOOKUP(H96,BattleFishData!$A:$B,2,FALSE),"")</f>
        <v/>
      </c>
    </row>
    <row r="97">
      <c r="I97" s="11">
        <f>IFERROR(VLOOKUP(H97,BattleFishData!$A:$B,2,FALSE),"")</f>
        <v/>
      </c>
    </row>
    <row r="98">
      <c r="I98" s="11">
        <f>IFERROR(VLOOKUP(H98,BattleFishData!$A:$B,2,FALSE),"")</f>
        <v/>
      </c>
    </row>
    <row r="99">
      <c r="I99" s="11">
        <f>IFERROR(VLOOKUP(H99,BattleFishData!$A:$B,2,FALSE),"")</f>
        <v/>
      </c>
    </row>
    <row r="100">
      <c r="I100" s="11">
        <f>IFERROR(VLOOKUP(H100,BattleFishData!$A:$B,2,FALSE),"")</f>
        <v/>
      </c>
    </row>
    <row r="101">
      <c r="I101" s="11">
        <f>IFERROR(VLOOKUP(H101,BattleFishData!$A:$B,2,FALSE),"")</f>
        <v/>
      </c>
    </row>
    <row r="102">
      <c r="I102" s="11">
        <f>IFERROR(VLOOKUP(H102,BattleFishData!$A:$B,2,FALSE),"")</f>
        <v/>
      </c>
    </row>
    <row r="103">
      <c r="I103" s="11">
        <f>IFERROR(VLOOKUP(H103,BattleFishData!$A:$B,2,FALSE),"")</f>
        <v/>
      </c>
    </row>
    <row r="104">
      <c r="I104" s="11">
        <f>IFERROR(VLOOKUP(H104,BattleFishData!$A:$B,2,FALSE),"")</f>
        <v/>
      </c>
    </row>
    <row r="105">
      <c r="I105" s="11">
        <f>IFERROR(VLOOKUP(H105,BattleFishData!$A:$B,2,FALSE),"")</f>
        <v/>
      </c>
    </row>
    <row r="106">
      <c r="I106" s="11">
        <f>IFERROR(VLOOKUP(H106,BattleFishData!$A:$B,2,FALSE),"")</f>
        <v/>
      </c>
    </row>
    <row r="107">
      <c r="I107" s="11">
        <f>IFERROR(VLOOKUP(H107,BattleFishData!$A:$B,2,FALSE),"")</f>
        <v/>
      </c>
    </row>
    <row r="108">
      <c r="I108" s="11">
        <f>IFERROR(VLOOKUP(H108,BattleFishData!$A:$B,2,FALSE),"")</f>
        <v/>
      </c>
    </row>
    <row r="109">
      <c r="I109" s="11">
        <f>IFERROR(VLOOKUP(H109,BattleFishData!$A:$B,2,FALSE),"")</f>
        <v/>
      </c>
    </row>
    <row r="110">
      <c r="I110" s="11">
        <f>IFERROR(VLOOKUP(H110,BattleFishData!$A:$B,2,FALSE),"")</f>
        <v/>
      </c>
    </row>
    <row r="111">
      <c r="I111" s="11">
        <f>IFERROR(VLOOKUP(H111,BattleFishData!$A:$B,2,FALSE),"")</f>
        <v/>
      </c>
    </row>
    <row r="112">
      <c r="I112" s="11">
        <f>IFERROR(VLOOKUP(H112,BattleFishData!$A:$B,2,FALSE),"")</f>
        <v/>
      </c>
    </row>
    <row r="113">
      <c r="I113" s="11">
        <f>IFERROR(VLOOKUP(H113,BattleFishData!$A:$B,2,FALSE),"")</f>
        <v/>
      </c>
    </row>
    <row r="114">
      <c r="I114" s="11">
        <f>IFERROR(VLOOKUP(H114,BattleFishData!$A:$B,2,FALSE),"")</f>
        <v/>
      </c>
    </row>
    <row r="115">
      <c r="I115" s="11">
        <f>IFERROR(VLOOKUP(H115,BattleFishData!$A:$B,2,FALSE),"")</f>
        <v/>
      </c>
    </row>
    <row r="116">
      <c r="I116" s="11">
        <f>IFERROR(VLOOKUP(H116,BattleFishData!$A:$B,2,FALSE),"")</f>
        <v/>
      </c>
    </row>
    <row r="117">
      <c r="I117" s="11">
        <f>IFERROR(VLOOKUP(H117,BattleFishData!$A:$B,2,FALSE),"")</f>
        <v/>
      </c>
    </row>
    <row r="118">
      <c r="I118" s="11">
        <f>IFERROR(VLOOKUP(H118,BattleFishData!$A:$B,2,FALSE),"")</f>
        <v/>
      </c>
    </row>
    <row r="119">
      <c r="I119" s="11">
        <f>IFERROR(VLOOKUP(H119,BattleFishData!$A:$B,2,FALSE),"")</f>
        <v/>
      </c>
    </row>
    <row r="120">
      <c r="I120" s="11">
        <f>IFERROR(VLOOKUP(H120,BattleFishData!$A:$B,2,FALSE),"")</f>
        <v/>
      </c>
    </row>
    <row r="121">
      <c r="I121" s="11">
        <f>IFERROR(VLOOKUP(H121,BattleFishData!$A:$B,2,FALSE),"")</f>
        <v/>
      </c>
    </row>
    <row r="122">
      <c r="I122" s="11">
        <f>IFERROR(VLOOKUP(H122,BattleFishData!$A:$B,2,FALSE),"")</f>
        <v/>
      </c>
    </row>
    <row r="123">
      <c r="I123" s="11">
        <f>IFERROR(VLOOKUP(H123,BattleFishData!$A:$B,2,FALSE),"")</f>
        <v/>
      </c>
    </row>
    <row r="124">
      <c r="I124" s="11">
        <f>IFERROR(VLOOKUP(H124,BattleFishData!$A:$B,2,FALSE),"")</f>
        <v/>
      </c>
    </row>
    <row r="125">
      <c r="I125" s="11">
        <f>IFERROR(VLOOKUP(H125,BattleFishData!$A:$B,2,FALSE),"")</f>
        <v/>
      </c>
    </row>
    <row r="126">
      <c r="I126" s="11">
        <f>IFERROR(VLOOKUP(H126,BattleFishData!$A:$B,2,FALSE),"")</f>
        <v/>
      </c>
    </row>
    <row r="127">
      <c r="I127" s="11">
        <f>IFERROR(VLOOKUP(H127,BattleFishData!$A:$B,2,FALSE),"")</f>
        <v/>
      </c>
    </row>
    <row r="128">
      <c r="I128" s="11">
        <f>IFERROR(VLOOKUP(H128,BattleFishData!$A:$B,2,FALSE),"")</f>
        <v/>
      </c>
    </row>
    <row r="129">
      <c r="I129" s="11">
        <f>IFERROR(VLOOKUP(H129,BattleFishData!$A:$B,2,FALSE),"")</f>
        <v/>
      </c>
    </row>
    <row r="130">
      <c r="I130" s="11">
        <f>IFERROR(VLOOKUP(H130,BattleFishData!$A:$B,2,FALSE),"")</f>
        <v/>
      </c>
    </row>
    <row r="131">
      <c r="I131" s="11">
        <f>IFERROR(VLOOKUP(H131,BattleFishData!$A:$B,2,FALSE),"")</f>
        <v/>
      </c>
    </row>
    <row r="132">
      <c r="I132" s="11">
        <f>IFERROR(VLOOKUP(H132,BattleFishData!$A:$B,2,FALSE),"")</f>
        <v/>
      </c>
    </row>
    <row r="133">
      <c r="I133" s="11">
        <f>IFERROR(VLOOKUP(H133,BattleFishData!$A:$B,2,FALSE),"")</f>
        <v/>
      </c>
    </row>
    <row r="134">
      <c r="I134" s="11">
        <f>IFERROR(VLOOKUP(H134,BattleFishData!$A:$B,2,FALSE),"")</f>
        <v/>
      </c>
    </row>
    <row r="135">
      <c r="I135" s="11">
        <f>IFERROR(VLOOKUP(H135,BattleFishData!$A:$B,2,FALSE),"")</f>
        <v/>
      </c>
    </row>
    <row r="136">
      <c r="I136" s="11">
        <f>IFERROR(VLOOKUP(H136,BattleFishData!$A:$B,2,FALSE),"")</f>
        <v/>
      </c>
    </row>
    <row r="137">
      <c r="I137" s="11">
        <f>IFERROR(VLOOKUP(H137,BattleFishData!$A:$B,2,FALSE),"")</f>
        <v/>
      </c>
    </row>
    <row r="138">
      <c r="I138" s="11">
        <f>IFERROR(VLOOKUP(H138,BattleFishData!$A:$B,2,FALSE),"")</f>
        <v/>
      </c>
    </row>
    <row r="139">
      <c r="I139" s="11">
        <f>IFERROR(VLOOKUP(H139,BattleFishData!$A:$B,2,FALSE),"")</f>
        <v/>
      </c>
    </row>
    <row r="140">
      <c r="I140" s="11">
        <f>IFERROR(VLOOKUP(H140,BattleFishData!$A:$B,2,FALSE),"")</f>
        <v/>
      </c>
    </row>
    <row r="141">
      <c r="I141" s="11">
        <f>IFERROR(VLOOKUP(H141,BattleFishData!$A:$B,2,FALSE),"")</f>
        <v/>
      </c>
    </row>
    <row r="142">
      <c r="I142" s="11">
        <f>IFERROR(VLOOKUP(H142,BattleFishData!$A:$B,2,FALSE),"")</f>
        <v/>
      </c>
    </row>
    <row r="143">
      <c r="I143" s="11">
        <f>IFERROR(VLOOKUP(H143,BattleFishData!$A:$B,2,FALSE),"")</f>
        <v/>
      </c>
    </row>
    <row r="144">
      <c r="I144" s="11">
        <f>IFERROR(VLOOKUP(H144,BattleFishData!$A:$B,2,FALSE),"")</f>
        <v/>
      </c>
    </row>
    <row r="145">
      <c r="I145" s="11">
        <f>IFERROR(VLOOKUP(H145,BattleFishData!$A:$B,2,FALSE),"")</f>
        <v/>
      </c>
    </row>
    <row r="146">
      <c r="I146" s="11">
        <f>IFERROR(VLOOKUP(H146,BattleFishData!$A:$B,2,FALSE),"")</f>
        <v/>
      </c>
    </row>
    <row r="147">
      <c r="I147" s="11">
        <f>IFERROR(VLOOKUP(H147,BattleFishData!$A:$B,2,FALSE),"")</f>
        <v/>
      </c>
    </row>
    <row r="148">
      <c r="I148" s="11">
        <f>IFERROR(VLOOKUP(H148,BattleFishData!$A:$B,2,FALSE),"")</f>
        <v/>
      </c>
    </row>
    <row r="149">
      <c r="I149" s="11">
        <f>IFERROR(VLOOKUP(H149,BattleFishData!$A:$B,2,FALSE),"")</f>
        <v/>
      </c>
    </row>
    <row r="150">
      <c r="I150" s="11">
        <f>IFERROR(VLOOKUP(H150,BattleFishData!$A:$B,2,FALSE),"")</f>
        <v/>
      </c>
    </row>
    <row r="151">
      <c r="I151" s="11">
        <f>IFERROR(VLOOKUP(H151,BattleFishData!$A:$B,2,FALSE),"")</f>
        <v/>
      </c>
    </row>
    <row r="152">
      <c r="I152" s="11">
        <f>IFERROR(VLOOKUP(H152,BattleFishData!$A:$B,2,FALSE),"")</f>
        <v/>
      </c>
    </row>
    <row r="153">
      <c r="I153" s="11">
        <f>IFERROR(VLOOKUP(H153,BattleFishData!$A:$B,2,FALSE),"")</f>
        <v/>
      </c>
    </row>
    <row r="154">
      <c r="I154" s="11">
        <f>IFERROR(VLOOKUP(H154,BattleFishData!$A:$B,2,FALSE),"")</f>
        <v/>
      </c>
    </row>
    <row r="155">
      <c r="I155" s="11">
        <f>IFERROR(VLOOKUP(H155,BattleFishData!$A:$B,2,FALSE),"")</f>
        <v/>
      </c>
    </row>
    <row r="156">
      <c r="I156" s="11">
        <f>IFERROR(VLOOKUP(H156,BattleFishData!$A:$B,2,FALSE),"")</f>
        <v/>
      </c>
    </row>
    <row r="157">
      <c r="I157" s="11">
        <f>IFERROR(VLOOKUP(H157,BattleFishData!$A:$B,2,FALSE),"")</f>
        <v/>
      </c>
    </row>
    <row r="158">
      <c r="I158" s="11">
        <f>IFERROR(VLOOKUP(H158,BattleFishData!$A:$B,2,FALSE),"")</f>
        <v/>
      </c>
    </row>
    <row r="159">
      <c r="I159" s="11">
        <f>IFERROR(VLOOKUP(H159,BattleFishData!$A:$B,2,FALSE),"")</f>
        <v/>
      </c>
    </row>
    <row r="160">
      <c r="I160" s="11">
        <f>IFERROR(VLOOKUP(H160,BattleFishData!$A:$B,2,FALSE),"")</f>
        <v/>
      </c>
    </row>
    <row r="161">
      <c r="I161" s="11">
        <f>IFERROR(VLOOKUP(H161,BattleFishData!$A:$B,2,FALSE),"")</f>
        <v/>
      </c>
    </row>
    <row r="162">
      <c r="I162" s="11">
        <f>IFERROR(VLOOKUP(H162,BattleFishData!$A:$B,2,FALSE),"")</f>
        <v/>
      </c>
    </row>
    <row r="163">
      <c r="I163" s="11">
        <f>IFERROR(VLOOKUP(H163,BattleFishData!$A:$B,2,FALSE),"")</f>
        <v/>
      </c>
    </row>
    <row r="164">
      <c r="I164" s="11">
        <f>IFERROR(VLOOKUP(H164,BattleFishData!$A:$B,2,FALSE),"")</f>
        <v/>
      </c>
    </row>
    <row r="165">
      <c r="I165" s="11">
        <f>IFERROR(VLOOKUP(H165,BattleFishData!$A:$B,2,FALSE),"")</f>
        <v/>
      </c>
    </row>
    <row r="166">
      <c r="I166" s="11">
        <f>IFERROR(VLOOKUP(H166,BattleFishData!$A:$B,2,FALSE),"")</f>
        <v/>
      </c>
    </row>
    <row r="167">
      <c r="I167" s="11">
        <f>IFERROR(VLOOKUP(H167,BattleFishData!$A:$B,2,FALSE),"")</f>
        <v/>
      </c>
    </row>
    <row r="168">
      <c r="I168" s="11">
        <f>IFERROR(VLOOKUP(H168,BattleFishData!$A:$B,2,FALSE),"")</f>
        <v/>
      </c>
    </row>
    <row r="169">
      <c r="I169" s="11">
        <f>IFERROR(VLOOKUP(H169,BattleFishData!$A:$B,2,FALSE),"")</f>
        <v/>
      </c>
    </row>
    <row r="170">
      <c r="I170" s="11">
        <f>IFERROR(VLOOKUP(H170,BattleFishData!$A:$B,2,FALSE),"")</f>
        <v/>
      </c>
    </row>
    <row r="171">
      <c r="I171" s="11">
        <f>IFERROR(VLOOKUP(H171,BattleFishData!$A:$B,2,FALSE),"")</f>
        <v/>
      </c>
    </row>
    <row r="172">
      <c r="I172" s="11">
        <f>IFERROR(VLOOKUP(H172,BattleFishData!$A:$B,2,FALSE),"")</f>
        <v/>
      </c>
    </row>
    <row r="173">
      <c r="I173" s="11">
        <f>IFERROR(VLOOKUP(H173,BattleFishData!$A:$B,2,FALSE),"")</f>
        <v/>
      </c>
    </row>
    <row r="174">
      <c r="I174" s="11">
        <f>IFERROR(VLOOKUP(H174,BattleFishData!$A:$B,2,FALSE),"")</f>
        <v/>
      </c>
    </row>
    <row r="175">
      <c r="I175" s="11">
        <f>IFERROR(VLOOKUP(H175,BattleFishData!$A:$B,2,FALSE),"")</f>
        <v/>
      </c>
    </row>
    <row r="176">
      <c r="I176" s="11">
        <f>IFERROR(VLOOKUP(H176,BattleFishData!$A:$B,2,FALSE),"")</f>
        <v/>
      </c>
    </row>
    <row r="177">
      <c r="I177" s="11">
        <f>IFERROR(VLOOKUP(H177,BattleFishData!$A:$B,2,FALSE),"")</f>
        <v/>
      </c>
    </row>
    <row r="178">
      <c r="I178" s="11">
        <f>IFERROR(VLOOKUP(H178,BattleFishData!$A:$B,2,FALSE),"")</f>
        <v/>
      </c>
    </row>
    <row r="179">
      <c r="I179" s="11">
        <f>IFERROR(VLOOKUP(H179,BattleFishData!$A:$B,2,FALSE),"")</f>
        <v/>
      </c>
    </row>
    <row r="180">
      <c r="I180" s="11">
        <f>IFERROR(VLOOKUP(H180,BattleFishData!$A:$B,2,FALSE),"")</f>
        <v/>
      </c>
    </row>
    <row r="181">
      <c r="I181" s="11">
        <f>IFERROR(VLOOKUP(H181,BattleFishData!$A:$B,2,FALSE),"")</f>
        <v/>
      </c>
    </row>
    <row r="182">
      <c r="I182" s="11">
        <f>IFERROR(VLOOKUP(H182,BattleFishData!$A:$B,2,FALSE),"")</f>
        <v/>
      </c>
    </row>
    <row r="183">
      <c r="I183" s="11">
        <f>IFERROR(VLOOKUP(H183,BattleFishData!$A:$B,2,FALSE),"")</f>
        <v/>
      </c>
    </row>
    <row r="184">
      <c r="I184" s="11">
        <f>IFERROR(VLOOKUP(H184,BattleFishData!$A:$B,2,FALSE),"")</f>
        <v/>
      </c>
    </row>
    <row r="185">
      <c r="I185" s="11">
        <f>IFERROR(VLOOKUP(H185,BattleFishData!$A:$B,2,FALSE),"")</f>
        <v/>
      </c>
    </row>
    <row r="186">
      <c r="I186" s="11">
        <f>IFERROR(VLOOKUP(H186,BattleFishData!$A:$B,2,FALSE),"")</f>
        <v/>
      </c>
    </row>
    <row r="187">
      <c r="I187" s="11">
        <f>IFERROR(VLOOKUP(H187,BattleFishData!$A:$B,2,FALSE),"")</f>
        <v/>
      </c>
    </row>
    <row r="188">
      <c r="I188" s="11">
        <f>IFERROR(VLOOKUP(H188,BattleFishData!$A:$B,2,FALSE),"")</f>
        <v/>
      </c>
    </row>
    <row r="189">
      <c r="I189" s="11">
        <f>IFERROR(VLOOKUP(H189,BattleFishData!$A:$B,2,FALSE),"")</f>
        <v/>
      </c>
    </row>
    <row r="190">
      <c r="I190" s="11">
        <f>IFERROR(VLOOKUP(H190,BattleFishData!$A:$B,2,FALSE),"")</f>
        <v/>
      </c>
    </row>
    <row r="191">
      <c r="I191" s="11">
        <f>IFERROR(VLOOKUP(H191,BattleFishData!$A:$B,2,FALSE),"")</f>
        <v/>
      </c>
    </row>
    <row r="192">
      <c r="I192" s="11">
        <f>IFERROR(VLOOKUP(H192,BattleFishData!$A:$B,2,FALSE),"")</f>
        <v/>
      </c>
    </row>
    <row r="193">
      <c r="I193" s="11">
        <f>IFERROR(VLOOKUP(H193,BattleFishData!$A:$B,2,FALSE),"")</f>
        <v/>
      </c>
    </row>
    <row r="194">
      <c r="I194" s="11">
        <f>IFERROR(VLOOKUP(H194,BattleFishData!$A:$B,2,FALSE),"")</f>
        <v/>
      </c>
    </row>
    <row r="195">
      <c r="I195" s="11">
        <f>IFERROR(VLOOKUP(H195,BattleFishData!$A:$B,2,FALSE),"")</f>
        <v/>
      </c>
    </row>
    <row r="196">
      <c r="I196" s="11">
        <f>IFERROR(VLOOKUP(H196,BattleFishData!$A:$B,2,FALSE),"")</f>
        <v/>
      </c>
    </row>
    <row r="197">
      <c r="I197" s="11">
        <f>IFERROR(VLOOKUP(H197,BattleFishData!$A:$B,2,FALSE),"")</f>
        <v/>
      </c>
    </row>
    <row r="198">
      <c r="I198" s="11">
        <f>IFERROR(VLOOKUP(H198,BattleFishData!$A:$B,2,FALSE),"")</f>
        <v/>
      </c>
    </row>
    <row r="199">
      <c r="I199" s="11">
        <f>IFERROR(VLOOKUP(H199,BattleFishData!$A:$B,2,FALSE),"")</f>
        <v/>
      </c>
    </row>
    <row r="200">
      <c r="I200" s="11">
        <f>IFERROR(VLOOKUP(H200,BattleFishData!$A:$B,2,FALSE),"")</f>
        <v/>
      </c>
    </row>
    <row r="201">
      <c r="I201" s="11">
        <f>IFERROR(VLOOKUP(H201,BattleFishData!$A:$B,2,FALSE),"")</f>
        <v/>
      </c>
    </row>
    <row r="202">
      <c r="I202" s="11">
        <f>IFERROR(VLOOKUP(H202,BattleFishData!$A:$B,2,FALSE),"")</f>
        <v/>
      </c>
    </row>
    <row r="203">
      <c r="I203" s="11">
        <f>IFERROR(VLOOKUP(H203,BattleFishData!$A:$B,2,FALSE),"")</f>
        <v/>
      </c>
    </row>
    <row r="204">
      <c r="I204" s="11">
        <f>IFERROR(VLOOKUP(H204,BattleFishData!$A:$B,2,FALSE),"")</f>
        <v/>
      </c>
    </row>
    <row r="205">
      <c r="I205" s="11">
        <f>IFERROR(VLOOKUP(H205,BattleFishData!$A:$B,2,FALSE),"")</f>
        <v/>
      </c>
    </row>
    <row r="206">
      <c r="I206" s="11">
        <f>IFERROR(VLOOKUP(H206,BattleFishData!$A:$B,2,FALSE),"")</f>
        <v/>
      </c>
    </row>
    <row r="207">
      <c r="I207" s="11">
        <f>IFERROR(VLOOKUP(H207,BattleFishData!$A:$B,2,FALSE),"")</f>
        <v/>
      </c>
    </row>
    <row r="208">
      <c r="I208" s="11">
        <f>IFERROR(VLOOKUP(H208,BattleFishData!$A:$B,2,FALSE),"")</f>
        <v/>
      </c>
    </row>
    <row r="209">
      <c r="I209" s="11">
        <f>IFERROR(VLOOKUP(H209,BattleFishData!$A:$B,2,FALSE),"")</f>
        <v/>
      </c>
    </row>
    <row r="210">
      <c r="I210" s="11">
        <f>IFERROR(VLOOKUP(H210,BattleFishData!$A:$B,2,FALSE),"")</f>
        <v/>
      </c>
    </row>
    <row r="211">
      <c r="I211" s="11">
        <f>IFERROR(VLOOKUP(H211,BattleFishData!$A:$B,2,FALSE),"")</f>
        <v/>
      </c>
    </row>
    <row r="212">
      <c r="I212" s="11">
        <f>IFERROR(VLOOKUP(H212,BattleFishData!$A:$B,2,FALSE),"")</f>
        <v/>
      </c>
    </row>
    <row r="213">
      <c r="I213" s="11">
        <f>IFERROR(VLOOKUP(H213,BattleFishData!$A:$B,2,FALSE),"")</f>
        <v/>
      </c>
    </row>
    <row r="214">
      <c r="I214" s="11">
        <f>IFERROR(VLOOKUP(H214,BattleFishData!$A:$B,2,FALSE),"")</f>
        <v/>
      </c>
    </row>
    <row r="215">
      <c r="I215" s="11">
        <f>IFERROR(VLOOKUP(H215,BattleFishData!$A:$B,2,FALSE),"")</f>
        <v/>
      </c>
    </row>
    <row r="216">
      <c r="I216" s="11">
        <f>IFERROR(VLOOKUP(H216,BattleFishData!$A:$B,2,FALSE),"")</f>
        <v/>
      </c>
    </row>
    <row r="217">
      <c r="I217" s="11">
        <f>IFERROR(VLOOKUP(H217,BattleFishData!$A:$B,2,FALSE),"")</f>
        <v/>
      </c>
    </row>
    <row r="218">
      <c r="I218" s="11">
        <f>IFERROR(VLOOKUP(H218,BattleFishData!$A:$B,2,FALSE),"")</f>
        <v/>
      </c>
    </row>
    <row r="219">
      <c r="I219" s="11">
        <f>IFERROR(VLOOKUP(H219,BattleFishData!$A:$B,2,FALSE),"")</f>
        <v/>
      </c>
    </row>
    <row r="220">
      <c r="I220" s="11">
        <f>IFERROR(VLOOKUP(H220,BattleFishData!$A:$B,2,FALSE),"")</f>
        <v/>
      </c>
    </row>
    <row r="221">
      <c r="I221" s="11">
        <f>IFERROR(VLOOKUP(H221,BattleFishData!$A:$B,2,FALSE),"")</f>
        <v/>
      </c>
    </row>
    <row r="222">
      <c r="I222" s="11">
        <f>IFERROR(VLOOKUP(H222,BattleFishData!$A:$B,2,FALSE),"")</f>
        <v/>
      </c>
    </row>
    <row r="223">
      <c r="I223" s="11">
        <f>IFERROR(VLOOKUP(H223,BattleFishData!$A:$B,2,FALSE),"")</f>
        <v/>
      </c>
    </row>
    <row r="224">
      <c r="I224" s="11">
        <f>IFERROR(VLOOKUP(H224,BattleFishData!$A:$B,2,FALSE),"")</f>
        <v/>
      </c>
    </row>
    <row r="225">
      <c r="I225" s="11">
        <f>IFERROR(VLOOKUP(H225,BattleFishData!$A:$B,2,FALSE),"")</f>
        <v/>
      </c>
    </row>
    <row r="226">
      <c r="I226" s="11">
        <f>IFERROR(VLOOKUP(H226,BattleFishData!$A:$B,2,FALSE),"")</f>
        <v/>
      </c>
    </row>
    <row r="227">
      <c r="I227" s="11">
        <f>IFERROR(VLOOKUP(H227,BattleFishData!$A:$B,2,FALSE),"")</f>
        <v/>
      </c>
    </row>
    <row r="228">
      <c r="I228" s="11">
        <f>IFERROR(VLOOKUP(H228,BattleFishData!$A:$B,2,FALSE),"")</f>
        <v/>
      </c>
    </row>
    <row r="229">
      <c r="I229" s="11">
        <f>IFERROR(VLOOKUP(H229,BattleFishData!$A:$B,2,FALSE),"")</f>
        <v/>
      </c>
    </row>
    <row r="230">
      <c r="I230" s="11">
        <f>IFERROR(VLOOKUP(H230,BattleFishData!$A:$B,2,FALSE),"")</f>
        <v/>
      </c>
    </row>
    <row r="231">
      <c r="I231" s="11">
        <f>IFERROR(VLOOKUP(H231,BattleFishData!$A:$B,2,FALSE),"")</f>
        <v/>
      </c>
    </row>
    <row r="232">
      <c r="I232" s="11">
        <f>IFERROR(VLOOKUP(H232,BattleFishData!$A:$B,2,FALSE),"")</f>
        <v/>
      </c>
    </row>
    <row r="233">
      <c r="I233" s="11">
        <f>IFERROR(VLOOKUP(H233,BattleFishData!$A:$B,2,FALSE),"")</f>
        <v/>
      </c>
    </row>
    <row r="234">
      <c r="I234" s="11">
        <f>IFERROR(VLOOKUP(H234,BattleFishData!$A:$B,2,FALSE),"")</f>
        <v/>
      </c>
    </row>
    <row r="235">
      <c r="I235" s="11">
        <f>IFERROR(VLOOKUP(H235,BattleFishData!$A:$B,2,FALSE),"")</f>
        <v/>
      </c>
    </row>
    <row r="236">
      <c r="I236" s="11">
        <f>IFERROR(VLOOKUP(H236,BattleFishData!$A:$B,2,FALSE),"")</f>
        <v/>
      </c>
    </row>
    <row r="237">
      <c r="I237" s="11">
        <f>IFERROR(VLOOKUP(H237,BattleFishData!$A:$B,2,FALSE),"")</f>
        <v/>
      </c>
    </row>
    <row r="238">
      <c r="I238" s="11">
        <f>IFERROR(VLOOKUP(H238,BattleFishData!$A:$B,2,FALSE),"")</f>
        <v/>
      </c>
    </row>
    <row r="239">
      <c r="I239" s="11">
        <f>IFERROR(VLOOKUP(H239,BattleFishData!$A:$B,2,FALSE),"")</f>
        <v/>
      </c>
    </row>
    <row r="240">
      <c r="I240" s="11">
        <f>IFERROR(VLOOKUP(H240,BattleFishData!$A:$B,2,FALSE),"")</f>
        <v/>
      </c>
    </row>
    <row r="241">
      <c r="I241" s="11">
        <f>IFERROR(VLOOKUP(H241,BattleFishData!$A:$B,2,FALSE),"")</f>
        <v/>
      </c>
    </row>
    <row r="242">
      <c r="I242" s="11">
        <f>IFERROR(VLOOKUP(H242,BattleFishData!$A:$B,2,FALSE),"")</f>
        <v/>
      </c>
    </row>
    <row r="243">
      <c r="I243" s="11">
        <f>IFERROR(VLOOKUP(H243,BattleFishData!$A:$B,2,FALSE),"")</f>
        <v/>
      </c>
    </row>
    <row r="244">
      <c r="I244" s="11">
        <f>IFERROR(VLOOKUP(H244,BattleFishData!$A:$B,2,FALSE),"")</f>
        <v/>
      </c>
    </row>
    <row r="245">
      <c r="I245" s="11">
        <f>IFERROR(VLOOKUP(H245,BattleFishData!$A:$B,2,FALSE),"")</f>
        <v/>
      </c>
    </row>
    <row r="246">
      <c r="I246" s="11">
        <f>IFERROR(VLOOKUP(H246,BattleFishData!$A:$B,2,FALSE),"")</f>
        <v/>
      </c>
    </row>
    <row r="247">
      <c r="I247" s="11">
        <f>IFERROR(VLOOKUP(H247,BattleFishData!$A:$B,2,FALSE),"")</f>
        <v/>
      </c>
    </row>
    <row r="248">
      <c r="I248" s="11">
        <f>IFERROR(VLOOKUP(H248,BattleFishData!$A:$B,2,FALSE),"")</f>
        <v/>
      </c>
    </row>
    <row r="249">
      <c r="I249" s="11">
        <f>IFERROR(VLOOKUP(H249,BattleFishData!$A:$B,2,FALSE),"")</f>
        <v/>
      </c>
    </row>
    <row r="250">
      <c r="I250" s="11">
        <f>IFERROR(VLOOKUP(H250,BattleFishData!$A:$B,2,FALSE),"")</f>
        <v/>
      </c>
    </row>
    <row r="251">
      <c r="I251" s="11">
        <f>IFERROR(VLOOKUP(H251,BattleFishData!$A:$B,2,FALSE),"")</f>
        <v/>
      </c>
    </row>
    <row r="252">
      <c r="I252" s="11">
        <f>IFERROR(VLOOKUP(H252,BattleFishData!$A:$B,2,FALSE),"")</f>
        <v/>
      </c>
    </row>
    <row r="253">
      <c r="I253" s="11">
        <f>IFERROR(VLOOKUP(H253,BattleFishData!$A:$B,2,FALSE),"")</f>
        <v/>
      </c>
    </row>
    <row r="254">
      <c r="I254" s="11">
        <f>IFERROR(VLOOKUP(H254,BattleFishData!$A:$B,2,FALSE),"")</f>
        <v/>
      </c>
    </row>
    <row r="255">
      <c r="I255" s="11">
        <f>IFERROR(VLOOKUP(H255,BattleFishData!$A:$B,2,FALSE),"")</f>
        <v/>
      </c>
    </row>
    <row r="256">
      <c r="I256" s="11">
        <f>IFERROR(VLOOKUP(H256,BattleFishData!$A:$B,2,FALSE),"")</f>
        <v/>
      </c>
    </row>
    <row r="257">
      <c r="I257" s="11">
        <f>IFERROR(VLOOKUP(H257,BattleFishData!$A:$B,2,FALSE),"")</f>
        <v/>
      </c>
    </row>
    <row r="258">
      <c r="I258" s="11">
        <f>IFERROR(VLOOKUP(H258,BattleFishData!$A:$B,2,FALSE),"")</f>
        <v/>
      </c>
    </row>
    <row r="259">
      <c r="I259" s="11">
        <f>IFERROR(VLOOKUP(H259,BattleFishData!$A:$B,2,FALSE),"")</f>
        <v/>
      </c>
    </row>
    <row r="260">
      <c r="I260" s="11">
        <f>IFERROR(VLOOKUP(H260,BattleFishData!$A:$B,2,FALSE),"")</f>
        <v/>
      </c>
    </row>
    <row r="261">
      <c r="I261" s="11">
        <f>IFERROR(VLOOKUP(H261,BattleFishData!$A:$B,2,FALSE),"")</f>
        <v/>
      </c>
    </row>
    <row r="262">
      <c r="I262" s="11">
        <f>IFERROR(VLOOKUP(H262,BattleFishData!$A:$B,2,FALSE),"")</f>
        <v/>
      </c>
    </row>
    <row r="263">
      <c r="I263" s="11">
        <f>IFERROR(VLOOKUP(H263,BattleFishData!$A:$B,2,FALSE),"")</f>
        <v/>
      </c>
    </row>
    <row r="264">
      <c r="I264" s="11">
        <f>IFERROR(VLOOKUP(H264,BattleFishData!$A:$B,2,FALSE),"")</f>
        <v/>
      </c>
    </row>
    <row r="265">
      <c r="I265" s="11">
        <f>IFERROR(VLOOKUP(H265,BattleFishData!$A:$B,2,FALSE),"")</f>
        <v/>
      </c>
    </row>
    <row r="266">
      <c r="I266" s="11">
        <f>IFERROR(VLOOKUP(H266,BattleFishData!$A:$B,2,FALSE),"")</f>
        <v/>
      </c>
    </row>
    <row r="267">
      <c r="I267" s="11">
        <f>IFERROR(VLOOKUP(H267,BattleFishData!$A:$B,2,FALSE),"")</f>
        <v/>
      </c>
    </row>
    <row r="268">
      <c r="I268" s="11">
        <f>IFERROR(VLOOKUP(H268,BattleFishData!$A:$B,2,FALSE),"")</f>
        <v/>
      </c>
    </row>
    <row r="269">
      <c r="I269" s="11">
        <f>IFERROR(VLOOKUP(H269,BattleFishData!$A:$B,2,FALSE),"")</f>
        <v/>
      </c>
    </row>
    <row r="270">
      <c r="I270" s="11">
        <f>IFERROR(VLOOKUP(H270,BattleFishData!$A:$B,2,FALSE),"")</f>
        <v/>
      </c>
    </row>
    <row r="271">
      <c r="I271" s="11">
        <f>IFERROR(VLOOKUP(H271,BattleFishData!$A:$B,2,FALSE),"")</f>
        <v/>
      </c>
    </row>
    <row r="272">
      <c r="I272" s="11">
        <f>IFERROR(VLOOKUP(H272,BattleFishData!$A:$B,2,FALSE),"")</f>
        <v/>
      </c>
    </row>
    <row r="273">
      <c r="I273" s="11">
        <f>IFERROR(VLOOKUP(H273,BattleFishData!$A:$B,2,FALSE),"")</f>
        <v/>
      </c>
    </row>
    <row r="274">
      <c r="I274" s="11">
        <f>IFERROR(VLOOKUP(H274,BattleFishData!$A:$B,2,FALSE),"")</f>
        <v/>
      </c>
    </row>
    <row r="275">
      <c r="I275" s="11">
        <f>IFERROR(VLOOKUP(H275,BattleFishData!$A:$B,2,FALSE),"")</f>
        <v/>
      </c>
    </row>
    <row r="276">
      <c r="I276" s="11">
        <f>IFERROR(VLOOKUP(H276,BattleFishData!$A:$B,2,FALSE),"")</f>
        <v/>
      </c>
    </row>
    <row r="277">
      <c r="I277" s="11">
        <f>IFERROR(VLOOKUP(H277,BattleFishData!$A:$B,2,FALSE),"")</f>
        <v/>
      </c>
    </row>
    <row r="278">
      <c r="I278" s="11">
        <f>IFERROR(VLOOKUP(H278,BattleFishData!$A:$B,2,FALSE),"")</f>
        <v/>
      </c>
    </row>
    <row r="279">
      <c r="I279" s="11">
        <f>IFERROR(VLOOKUP(H279,BattleFishData!$A:$B,2,FALSE),"")</f>
        <v/>
      </c>
    </row>
    <row r="280">
      <c r="I280" s="11">
        <f>IFERROR(VLOOKUP(H280,BattleFishData!$A:$B,2,FALSE),"")</f>
        <v/>
      </c>
    </row>
    <row r="281">
      <c r="I281" s="11">
        <f>IFERROR(VLOOKUP(H281,BattleFishData!$A:$B,2,FALSE),"")</f>
        <v/>
      </c>
    </row>
    <row r="282">
      <c r="I282" s="11">
        <f>IFERROR(VLOOKUP(H282,BattleFishData!$A:$B,2,FALSE),"")</f>
        <v/>
      </c>
    </row>
    <row r="283">
      <c r="I283" s="11">
        <f>IFERROR(VLOOKUP(H283,BattleFishData!$A:$B,2,FALSE),"")</f>
        <v/>
      </c>
    </row>
    <row r="284">
      <c r="I284" s="11">
        <f>IFERROR(VLOOKUP(H284,BattleFishData!$A:$B,2,FALSE),"")</f>
        <v/>
      </c>
    </row>
    <row r="285">
      <c r="I285" s="11">
        <f>IFERROR(VLOOKUP(H285,BattleFishData!$A:$B,2,FALSE),"")</f>
        <v/>
      </c>
    </row>
    <row r="286">
      <c r="I286" s="11">
        <f>IFERROR(VLOOKUP(H286,BattleFishData!$A:$B,2,FALSE),"")</f>
        <v/>
      </c>
    </row>
    <row r="287">
      <c r="I287" s="11">
        <f>IFERROR(VLOOKUP(H287,BattleFishData!$A:$B,2,FALSE),"")</f>
        <v/>
      </c>
    </row>
    <row r="288">
      <c r="I288" s="11">
        <f>IFERROR(VLOOKUP(H288,BattleFishData!$A:$B,2,FALSE),"")</f>
        <v/>
      </c>
    </row>
    <row r="289">
      <c r="I289" s="11">
        <f>IFERROR(VLOOKUP(H289,BattleFishData!$A:$B,2,FALSE),"")</f>
        <v/>
      </c>
    </row>
    <row r="290">
      <c r="I290" s="11">
        <f>IFERROR(VLOOKUP(H290,BattleFishData!$A:$B,2,FALSE),"")</f>
        <v/>
      </c>
    </row>
    <row r="291">
      <c r="I291" s="11">
        <f>IFERROR(VLOOKUP(H291,BattleFishData!$A:$B,2,FALSE),"")</f>
        <v/>
      </c>
    </row>
    <row r="292">
      <c r="I292" s="11">
        <f>IFERROR(VLOOKUP(H292,BattleFishData!$A:$B,2,FALSE),"")</f>
        <v/>
      </c>
    </row>
    <row r="293">
      <c r="I293" s="11">
        <f>IFERROR(VLOOKUP(H293,BattleFishData!$A:$B,2,FALSE),"")</f>
        <v/>
      </c>
    </row>
    <row r="294">
      <c r="I294" s="11">
        <f>IFERROR(VLOOKUP(H294,BattleFishData!$A:$B,2,FALSE),"")</f>
        <v/>
      </c>
    </row>
    <row r="295">
      <c r="I295" s="11">
        <f>IFERROR(VLOOKUP(H295,BattleFishData!$A:$B,2,FALSE),"")</f>
        <v/>
      </c>
    </row>
    <row r="296">
      <c r="I296" s="11">
        <f>IFERROR(VLOOKUP(H296,BattleFishData!$A:$B,2,FALSE),"")</f>
        <v/>
      </c>
    </row>
    <row r="297">
      <c r="I297" s="11">
        <f>IFERROR(VLOOKUP(H297,BattleFishData!$A:$B,2,FALSE),"")</f>
        <v/>
      </c>
    </row>
    <row r="298">
      <c r="I298" s="11">
        <f>IFERROR(VLOOKUP(H298,BattleFishData!$A:$B,2,FALSE),"")</f>
        <v/>
      </c>
    </row>
    <row r="299">
      <c r="I299" s="11">
        <f>IFERROR(VLOOKUP(H299,BattleFishData!$A:$B,2,FALSE),"")</f>
        <v/>
      </c>
    </row>
    <row r="300">
      <c r="I300" s="11">
        <f>IFERROR(VLOOKUP(H300,BattleFishData!$A:$B,2,FALSE),"")</f>
        <v/>
      </c>
    </row>
  </sheetData>
  <dataValidations count="1">
    <dataValidation sqref="F3:F300" showDropDown="0" showInputMessage="0" showErrorMessage="1" allowBlank="1" error="목록에서 선택하세요" type="list">
      <formula1>"Bait,Groundbait"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6" t="inlineStr">
        <is>
          <t>m_id</t>
        </is>
      </c>
      <c r="B1" s="6" t="inlineStr">
        <is>
          <t>m_name</t>
        </is>
      </c>
      <c r="C1" s="6" t="inlineStr">
        <is>
          <t>m_baseDamagePerClick</t>
        </is>
      </c>
      <c r="D1" s="6" t="inlineStr">
        <is>
          <t>m_baseManualDamagePerHitMultiply</t>
        </is>
      </c>
      <c r="E1" s="6" t="inlineStr">
        <is>
          <t>m_baseBattleTimeVariable</t>
        </is>
      </c>
      <c r="F1" s="6" t="inlineStr">
        <is>
          <t>m_baseCriticalChance</t>
        </is>
      </c>
      <c r="G1" s="6" t="inlineStr">
        <is>
          <t>m_baseCriticalMultiply</t>
        </is>
      </c>
      <c r="H1" s="6" t="inlineStr">
        <is>
          <t>m_baseAutoBattleCooltime</t>
        </is>
      </c>
      <c r="I1" s="6" t="inlineStr">
        <is>
          <t>m_baseAutoSpeedPerTime</t>
        </is>
      </c>
      <c r="J1" s="6" t="inlineStr">
        <is>
          <t>m_baseAutoDamagePerHitMultiply</t>
        </is>
      </c>
      <c r="K1" s="6" t="inlineStr">
        <is>
          <t>m_baseProbabilityAtFishSize</t>
        </is>
      </c>
      <c r="L1" s="6" t="inlineStr">
        <is>
          <t>m_baseProbabilityAtFishRarity</t>
        </is>
      </c>
      <c r="M1" s="6" t="inlineStr">
        <is>
          <t>m_baseGoldGettingMultiply</t>
        </is>
      </c>
      <c r="N1" s="6" t="inlineStr">
        <is>
          <t>m_baseMapMovementSpeedPerTime</t>
        </is>
      </c>
      <c r="O1" s="6" t="inlineStr">
        <is>
          <t>m_baseInventorySize</t>
        </is>
      </c>
      <c r="P1" s="6" t="inlineStr">
        <is>
          <t>m_startingLicense</t>
        </is>
      </c>
      <c r="Q1" s="6" t="inlineStr">
        <is>
          <t>m_startingGold</t>
        </is>
      </c>
    </row>
    <row r="2" ht="42" customHeight="1">
      <c r="A2" s="7" t="inlineStr">
        <is>
          <t>고유 ID</t>
        </is>
      </c>
      <c r="B2" s="7" t="inlineStr">
        <is>
          <t>이름</t>
        </is>
      </c>
      <c r="C2" s="7" t="inlineStr">
        <is>
          <t>클릭 공격력</t>
        </is>
      </c>
      <c r="D2" s="7" t="inlineStr">
        <is>
          <t>수동 배율</t>
        </is>
      </c>
      <c r="E2" s="7" t="inlineStr">
        <is>
          <t>전투 시간 변수</t>
        </is>
      </c>
      <c r="F2" s="7" t="inlineStr">
        <is>
          <t>크리 확률</t>
        </is>
      </c>
      <c r="G2" s="7" t="inlineStr">
        <is>
          <t>크리 배율</t>
        </is>
      </c>
      <c r="H2" s="7" t="inlineStr">
        <is>
          <t>자동 간격(초)</t>
        </is>
      </c>
      <c r="I2" s="7" t="inlineStr">
        <is>
          <t>자동 초당 횟수</t>
        </is>
      </c>
      <c r="J2" s="7" t="inlineStr">
        <is>
          <t>자동 배율</t>
        </is>
      </c>
      <c r="K2" s="7" t="inlineStr">
        <is>
          <t>성급 확률 변수</t>
        </is>
      </c>
      <c r="L2" s="7" t="inlineStr">
        <is>
          <t>등급 확률 변수</t>
        </is>
      </c>
      <c r="M2" s="7" t="inlineStr">
        <is>
          <t>골드 배율</t>
        </is>
      </c>
      <c r="N2" s="7" t="inlineStr">
        <is>
          <t>이동속도</t>
        </is>
      </c>
      <c r="O2" s="7" t="inlineStr">
        <is>
          <t>인벤토리 칸</t>
        </is>
      </c>
      <c r="P2" s="7" t="inlineStr">
        <is>
          <t>시작 라이센스</t>
        </is>
      </c>
      <c r="Q2" s="7" t="inlineStr">
        <is>
          <t>시작 골드</t>
        </is>
      </c>
    </row>
    <row r="3">
      <c r="A3" s="8" t="n">
        <v>1</v>
      </c>
      <c r="B3" s="8" t="inlineStr">
        <is>
          <t>Player</t>
        </is>
      </c>
      <c r="C3" s="8" t="n">
        <v>1</v>
      </c>
      <c r="D3" s="8" t="n">
        <v>1</v>
      </c>
      <c r="E3" s="8" t="n">
        <v>10</v>
      </c>
      <c r="F3" s="8" t="n">
        <v>0.05</v>
      </c>
      <c r="G3" s="8" t="n">
        <v>1.5</v>
      </c>
      <c r="H3" s="8" t="n">
        <v>5</v>
      </c>
      <c r="I3" s="8" t="n">
        <v>1</v>
      </c>
      <c r="J3" s="8" t="n">
        <v>1</v>
      </c>
      <c r="K3" s="8" t="n">
        <v>0</v>
      </c>
      <c r="L3" s="8" t="n">
        <v>0</v>
      </c>
      <c r="M3" s="8" t="n">
        <v>1</v>
      </c>
      <c r="N3" s="8" t="n">
        <v>10</v>
      </c>
      <c r="O3" s="8" t="n">
        <v>20</v>
      </c>
      <c r="P3" s="8" t="n">
        <v>1</v>
      </c>
      <c r="Q3" s="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M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46" customWidth="1" min="10" max="10"/>
    <col width="30" customWidth="1" min="12" max="12"/>
  </cols>
  <sheetData>
    <row r="1">
      <c r="A1" s="6" t="inlineStr">
        <is>
          <t>m_id</t>
        </is>
      </c>
      <c r="B1" s="6" t="inlineStr">
        <is>
          <t>m_name</t>
        </is>
      </c>
      <c r="C1" s="6" t="inlineStr">
        <is>
          <t>m_itemFish_id</t>
        </is>
      </c>
      <c r="D1" s="9" t="inlineStr">
        <is>
          <t>#itemFish_name</t>
        </is>
      </c>
      <c r="E1" s="6" t="inlineStr">
        <is>
          <t>m_maxHp</t>
        </is>
      </c>
      <c r="F1" s="6" t="inlineStr">
        <is>
          <t>m_battleTimeVariable</t>
        </is>
      </c>
      <c r="G1" s="6" t="inlineStr">
        <is>
          <t>m_minSize</t>
        </is>
      </c>
      <c r="H1" s="6" t="inlineStr">
        <is>
          <t>m_maxSize</t>
        </is>
      </c>
      <c r="I1" s="6" t="inlineStr">
        <is>
          <t>m_qualityThresholds</t>
        </is>
      </c>
      <c r="J1" s="6" t="inlineStr">
        <is>
          <t>m_isBoss</t>
        </is>
      </c>
      <c r="K1" s="6" t="inlineStr">
        <is>
          <t>m_bossDrops</t>
        </is>
      </c>
      <c r="L1" s="9" t="inlineStr">
        <is>
          <t>#bossDrops_name</t>
        </is>
      </c>
      <c r="M1" s="6" t="inlineStr">
        <is>
          <t>m_assetKey</t>
        </is>
      </c>
    </row>
    <row r="2" ht="42" customHeight="1">
      <c r="A2" s="7" t="inlineStr">
        <is>
          <t>고유 ID (int)</t>
        </is>
      </c>
      <c r="B2" s="7" t="inlineStr">
        <is>
          <t>이름</t>
        </is>
      </c>
      <c r="C2" s="7" t="inlineStr">
        <is>
          <t>포획 시 아이템 종 (ItemData_Fish m_id)</t>
        </is>
      </c>
      <c r="D2" s="10" t="inlineStr">
        <is>
          <t>표시 전용(#) — JSON 변환 제외. 자동(VLOOKUP), 입력 금지</t>
        </is>
      </c>
      <c r="E2" s="7" t="inlineStr">
        <is>
          <t>최대 체력</t>
        </is>
      </c>
      <c r="F2" s="7" t="inlineStr">
        <is>
          <t>전투 시간 변수</t>
        </is>
      </c>
      <c r="G2" s="7" t="inlineStr">
        <is>
          <t>크기 롤 하한</t>
        </is>
      </c>
      <c r="H2" s="7" t="inlineStr">
        <is>
          <t>크기 롤 상한</t>
        </is>
      </c>
      <c r="I2" s="7" t="inlineStr">
        <is>
          <t>성급 경계 4개 오름차순 — v1;v2;v3;v4</t>
        </is>
      </c>
      <c r="J2" s="7" t="inlineStr">
        <is>
          <t>보스 여부 TRUE/FALSE</t>
        </is>
      </c>
      <c r="K2" s="7" t="inlineStr">
        <is>
          <t>보스 드롭 — 압축: 타입:id:count:확률;...</t>
        </is>
      </c>
      <c r="L2" s="10" t="inlineStr">
        <is>
          <t>표시 전용(#) — 압축 문자열 이름 해석(최대 5항목). 자동, 입력 금지</t>
        </is>
      </c>
      <c r="M2" s="7" t="inlineStr">
        <is>
          <t>에셋 키 오버라이드 — 빈칸=규약({클래스명}_{ID}). 여러 항목이 에셋을 공유하거나 스킨/예외일 때만 입력</t>
        </is>
      </c>
    </row>
    <row r="3">
      <c r="A3" s="8" t="n">
        <v>500001</v>
      </c>
      <c r="B3" s="8" t="inlineStr">
        <is>
          <t>고등어(전투)</t>
        </is>
      </c>
      <c r="C3" s="8" t="n">
        <v>100001</v>
      </c>
      <c r="D3" s="11">
        <f>IFERROR(VLOOKUP(C3,ItemData_Fish!$A:$B,2,FALSE),"")</f>
        <v/>
      </c>
      <c r="E3" s="8" t="n">
        <v>100</v>
      </c>
      <c r="F3" s="8" t="n">
        <v>10</v>
      </c>
      <c r="G3" s="8" t="n">
        <v>20</v>
      </c>
      <c r="H3" s="8" t="n">
        <v>80</v>
      </c>
      <c r="I3" s="8" t="inlineStr">
        <is>
          <t>32;44;56;68</t>
        </is>
      </c>
      <c r="J3" s="8" t="b">
        <v>0</v>
      </c>
      <c r="K3" s="8" t="n"/>
      <c r="L3" s="11">
        <f>IF(K3="","",TEXTJOIN("; ",TRUE,IF(TRIM(MID(SUBSTITUTE(K3,";",REPT(" ",99)),1,99))="","",IFERROR(VLOOKUP(--LEFT(MID(TRIM(MID(SUBSTITUTE(K3,";",REPT(" ",99)),1,99)),FIND(":",TRIM(MID(SUBSTITUTE(K3,";",REPT(" ",99)),1,99)))+1,999),FIND(":",MID(TRIM(MID(SUBSTITUTE(K3,";",REPT(" ",99)),1,99)),FIND(":",TRIM(MID(SUBSTITUTE(K3,";",REPT(" ",99)),1,99)))+1,999))-1),_Lookup!$A:$B,2,FALSE),"?")&amp;"×"&amp;LEFT(MID(MID(TRIM(MID(SUBSTITUTE(K3,";",REPT(" ",99)),1,99)),FIND(":",TRIM(MID(SUBSTITUTE(K3,";",REPT(" ",99)),1,99)))+1,999),FIND(":",MID(TRIM(MID(SUBSTITUTE(K3,";",REPT(" ",99)),1,99)),FIND(":",TRIM(MID(SUBSTITUTE(K3,";",REPT(" ",99)),1,99)))+1,999))+1,999),FIND(":",MID(MID(TRIM(MID(SUBSTITUTE(K3,";",REPT(" ",99)),1,99)),FIND(":",TRIM(MID(SUBSTITUTE(K3,";",REPT(" ",99)),1,99)))+1,999),FIND(":",MID(TRIM(MID(SUBSTITUTE(K3,";",REPT(" ",99)),1,99)),FIND(":",TRIM(MID(SUBSTITUTE(K3,";",REPT(" ",99)),1,99)))+1,999))+1,999))-1)),IF(TRIM(MID(SUBSTITUTE(K3,";",REPT(" ",99)),100,99))="","",IFERROR(VLOOKUP(--LEFT(MID(TRIM(MID(SUBSTITUTE(K3,";",REPT(" ",99)),100,99)),FIND(":",TRIM(MID(SUBSTITUTE(K3,";",REPT(" ",99)),100,99)))+1,999),FIND(":",MID(TRIM(MID(SUBSTITUTE(K3,";",REPT(" ",99)),100,99)),FIND(":",TRIM(MID(SUBSTITUTE(K3,";",REPT(" ",99)),100,99)))+1,999))-1),_Lookup!$A:$B,2,FALSE),"?")&amp;"×"&amp;LEFT(MID(MID(TRIM(MID(SUBSTITUTE(K3,";",REPT(" ",99)),100,99)),FIND(":",TRIM(MID(SUBSTITUTE(K3,";",REPT(" ",99)),100,99)))+1,999),FIND(":",MID(TRIM(MID(SUBSTITUTE(K3,";",REPT(" ",99)),100,99)),FIND(":",TRIM(MID(SUBSTITUTE(K3,";",REPT(" ",99)),100,99)))+1,999))+1,999),FIND(":",MID(MID(TRIM(MID(SUBSTITUTE(K3,";",REPT(" ",99)),100,99)),FIND(":",TRIM(MID(SUBSTITUTE(K3,";",REPT(" ",99)),100,99)))+1,999),FIND(":",MID(TRIM(MID(SUBSTITUTE(K3,";",REPT(" ",99)),100,99)),FIND(":",TRIM(MID(SUBSTITUTE(K3,";",REPT(" ",99)),100,99)))+1,999))+1,999))-1)),IF(TRIM(MID(SUBSTITUTE(K3,";",REPT(" ",99)),199,99))="","",IFERROR(VLOOKUP(--LEFT(MID(TRIM(MID(SUBSTITUTE(K3,";",REPT(" ",99)),199,99)),FIND(":",TRIM(MID(SUBSTITUTE(K3,";",REPT(" ",99)),199,99)))+1,999),FIND(":",MID(TRIM(MID(SUBSTITUTE(K3,";",REPT(" ",99)),199,99)),FIND(":",TRIM(MID(SUBSTITUTE(K3,";",REPT(" ",99)),199,99)))+1,999))-1),_Lookup!$A:$B,2,FALSE),"?")&amp;"×"&amp;LEFT(MID(MID(TRIM(MID(SUBSTITUTE(K3,";",REPT(" ",99)),199,99)),FIND(":",TRIM(MID(SUBSTITUTE(K3,";",REPT(" ",99)),199,99)))+1,999),FIND(":",MID(TRIM(MID(SUBSTITUTE(K3,";",REPT(" ",99)),199,99)),FIND(":",TRIM(MID(SUBSTITUTE(K3,";",REPT(" ",99)),199,99)))+1,999))+1,999),FIND(":",MID(MID(TRIM(MID(SUBSTITUTE(K3,";",REPT(" ",99)),199,99)),FIND(":",TRIM(MID(SUBSTITUTE(K3,";",REPT(" ",99)),199,99)))+1,999),FIND(":",MID(TRIM(MID(SUBSTITUTE(K3,";",REPT(" ",99)),199,99)),FIND(":",TRIM(MID(SUBSTITUTE(K3,";",REPT(" ",99)),199,99)))+1,999))+1,999))-1)),IF(TRIM(MID(SUBSTITUTE(K3,";",REPT(" ",99)),298,99))="","",IFERROR(VLOOKUP(--LEFT(MID(TRIM(MID(SUBSTITUTE(K3,";",REPT(" ",99)),298,99)),FIND(":",TRIM(MID(SUBSTITUTE(K3,";",REPT(" ",99)),298,99)))+1,999),FIND(":",MID(TRIM(MID(SUBSTITUTE(K3,";",REPT(" ",99)),298,99)),FIND(":",TRIM(MID(SUBSTITUTE(K3,";",REPT(" ",99)),298,99)))+1,999))-1),_Lookup!$A:$B,2,FALSE),"?")&amp;"×"&amp;LEFT(MID(MID(TRIM(MID(SUBSTITUTE(K3,";",REPT(" ",99)),298,99)),FIND(":",TRIM(MID(SUBSTITUTE(K3,";",REPT(" ",99)),298,99)))+1,999),FIND(":",MID(TRIM(MID(SUBSTITUTE(K3,";",REPT(" ",99)),298,99)),FIND(":",TRIM(MID(SUBSTITUTE(K3,";",REPT(" ",99)),298,99)))+1,999))+1,999),FIND(":",MID(MID(TRIM(MID(SUBSTITUTE(K3,";",REPT(" ",99)),298,99)),FIND(":",TRIM(MID(SUBSTITUTE(K3,";",REPT(" ",99)),298,99)))+1,999),FIND(":",MID(TRIM(MID(SUBSTITUTE(K3,";",REPT(" ",99)),298,99)),FIND(":",TRIM(MID(SUBSTITUTE(K3,";",REPT(" ",99)),298,99)))+1,999))+1,999))-1)),IF(TRIM(MID(SUBSTITUTE(K3,";",REPT(" ",99)),397,99))="","",IFERROR(VLOOKUP(--LEFT(MID(TRIM(MID(SUBSTITUTE(K3,";",REPT(" ",99)),397,99)),FIND(":",TRIM(MID(SUBSTITUTE(K3,";",REPT(" ",99)),397,99)))+1,999),FIND(":",MID(TRIM(MID(SUBSTITUTE(K3,";",REPT(" ",99)),397,99)),FIND(":",TRIM(MID(SUBSTITUTE(K3,";",REPT(" ",99)),397,99)))+1,999))-1),_Lookup!$A:$B,2,FALSE),"?")&amp;"×"&amp;LEFT(MID(MID(TRIM(MID(SUBSTITUTE(K3,";",REPT(" ",99)),397,99)),FIND(":",TRIM(MID(SUBSTITUTE(K3,";",REPT(" ",99)),397,99)))+1,999),FIND(":",MID(TRIM(MID(SUBSTITUTE(K3,";",REPT(" ",99)),397,99)),FIND(":",TRIM(MID(SUBSTITUTE(K3,";",REPT(" ",99)),397,99)))+1,999))+1,999),FIND(":",MID(MID(TRIM(MID(SUBSTITUTE(K3,";",REPT(" ",99)),397,99)),FIND(":",TRIM(MID(SUBSTITUTE(K3,";",REPT(" ",99)),397,99)))+1,999),FIND(":",MID(TRIM(MID(SUBSTITUTE(K3,";",REPT(" ",99)),397,99)),FIND(":",TRIM(MID(SUBSTITUTE(K3,";",REPT(" ",99)),397,99)))+1,999))+1,999))-1))))</f>
        <v/>
      </c>
    </row>
    <row r="4">
      <c r="A4" s="8" t="n">
        <v>500002</v>
      </c>
      <c r="B4" s="8" t="inlineStr">
        <is>
          <t>대왕 고등어(보스)</t>
        </is>
      </c>
      <c r="C4" s="8" t="n">
        <v>100001</v>
      </c>
      <c r="D4" s="11">
        <f>IFERROR(VLOOKUP(C4,ItemData_Fish!$A:$B,2,FALSE),"")</f>
        <v/>
      </c>
      <c r="E4" s="8" t="n">
        <v>1000</v>
      </c>
      <c r="F4" s="8" t="n">
        <v>20</v>
      </c>
      <c r="G4" s="8" t="n">
        <v>60</v>
      </c>
      <c r="H4" s="8" t="n">
        <v>120</v>
      </c>
      <c r="I4" s="8" t="inlineStr">
        <is>
          <t>72;84;96;108</t>
        </is>
      </c>
      <c r="J4" s="8" t="b">
        <v>1</v>
      </c>
      <c r="K4" s="8" t="inlineStr">
        <is>
          <t>ItemData_Materials:300001:5:0.5;ItemData_Equipment:200001:1:0.1</t>
        </is>
      </c>
      <c r="L4" s="11">
        <f>IF(K4="","",TEXTJOIN("; ",TRUE,IF(TRIM(MID(SUBSTITUTE(K4,";",REPT(" ",99)),1,99))="","",IFERROR(VLOOKUP(--LEFT(MID(TRIM(MID(SUBSTITUTE(K4,";",REPT(" ",99)),1,99)),FIND(":",TRIM(MID(SUBSTITUTE(K4,";",REPT(" ",99)),1,99)))+1,999),FIND(":",MID(TRIM(MID(SUBSTITUTE(K4,";",REPT(" ",99)),1,99)),FIND(":",TRIM(MID(SUBSTITUTE(K4,";",REPT(" ",99)),1,99)))+1,999))-1),_Lookup!$A:$B,2,FALSE),"?")&amp;"×"&amp;LEFT(MID(MID(TRIM(MID(SUBSTITUTE(K4,";",REPT(" ",99)),1,99)),FIND(":",TRIM(MID(SUBSTITUTE(K4,";",REPT(" ",99)),1,99)))+1,999),FIND(":",MID(TRIM(MID(SUBSTITUTE(K4,";",REPT(" ",99)),1,99)),FIND(":",TRIM(MID(SUBSTITUTE(K4,";",REPT(" ",99)),1,99)))+1,999))+1,999),FIND(":",MID(MID(TRIM(MID(SUBSTITUTE(K4,";",REPT(" ",99)),1,99)),FIND(":",TRIM(MID(SUBSTITUTE(K4,";",REPT(" ",99)),1,99)))+1,999),FIND(":",MID(TRIM(MID(SUBSTITUTE(K4,";",REPT(" ",99)),1,99)),FIND(":",TRIM(MID(SUBSTITUTE(K4,";",REPT(" ",99)),1,99)))+1,999))+1,999))-1)),IF(TRIM(MID(SUBSTITUTE(K4,";",REPT(" ",99)),100,99))="","",IFERROR(VLOOKUP(--LEFT(MID(TRIM(MID(SUBSTITUTE(K4,";",REPT(" ",99)),100,99)),FIND(":",TRIM(MID(SUBSTITUTE(K4,";",REPT(" ",99)),100,99)))+1,999),FIND(":",MID(TRIM(MID(SUBSTITUTE(K4,";",REPT(" ",99)),100,99)),FIND(":",TRIM(MID(SUBSTITUTE(K4,";",REPT(" ",99)),100,99)))+1,999))-1),_Lookup!$A:$B,2,FALSE),"?")&amp;"×"&amp;LEFT(MID(MID(TRIM(MID(SUBSTITUTE(K4,";",REPT(" ",99)),100,99)),FIND(":",TRIM(MID(SUBSTITUTE(K4,";",REPT(" ",99)),100,99)))+1,999),FIND(":",MID(TRIM(MID(SUBSTITUTE(K4,";",REPT(" ",99)),100,99)),FIND(":",TRIM(MID(SUBSTITUTE(K4,";",REPT(" ",99)),100,99)))+1,999))+1,999),FIND(":",MID(MID(TRIM(MID(SUBSTITUTE(K4,";",REPT(" ",99)),100,99)),FIND(":",TRIM(MID(SUBSTITUTE(K4,";",REPT(" ",99)),100,99)))+1,999),FIND(":",MID(TRIM(MID(SUBSTITUTE(K4,";",REPT(" ",99)),100,99)),FIND(":",TRIM(MID(SUBSTITUTE(K4,";",REPT(" ",99)),100,99)))+1,999))+1,999))-1)),IF(TRIM(MID(SUBSTITUTE(K4,";",REPT(" ",99)),199,99))="","",IFERROR(VLOOKUP(--LEFT(MID(TRIM(MID(SUBSTITUTE(K4,";",REPT(" ",99)),199,99)),FIND(":",TRIM(MID(SUBSTITUTE(K4,";",REPT(" ",99)),199,99)))+1,999),FIND(":",MID(TRIM(MID(SUBSTITUTE(K4,";",REPT(" ",99)),199,99)),FIND(":",TRIM(MID(SUBSTITUTE(K4,";",REPT(" ",99)),199,99)))+1,999))-1),_Lookup!$A:$B,2,FALSE),"?")&amp;"×"&amp;LEFT(MID(MID(TRIM(MID(SUBSTITUTE(K4,";",REPT(" ",99)),199,99)),FIND(":",TRIM(MID(SUBSTITUTE(K4,";",REPT(" ",99)),199,99)))+1,999),FIND(":",MID(TRIM(MID(SUBSTITUTE(K4,";",REPT(" ",99)),199,99)),FIND(":",TRIM(MID(SUBSTITUTE(K4,";",REPT(" ",99)),199,99)))+1,999))+1,999),FIND(":",MID(MID(TRIM(MID(SUBSTITUTE(K4,";",REPT(" ",99)),199,99)),FIND(":",TRIM(MID(SUBSTITUTE(K4,";",REPT(" ",99)),199,99)))+1,999),FIND(":",MID(TRIM(MID(SUBSTITUTE(K4,";",REPT(" ",99)),199,99)),FIND(":",TRIM(MID(SUBSTITUTE(K4,";",REPT(" ",99)),199,99)))+1,999))+1,999))-1)),IF(TRIM(MID(SUBSTITUTE(K4,";",REPT(" ",99)),298,99))="","",IFERROR(VLOOKUP(--LEFT(MID(TRIM(MID(SUBSTITUTE(K4,";",REPT(" ",99)),298,99)),FIND(":",TRIM(MID(SUBSTITUTE(K4,";",REPT(" ",99)),298,99)))+1,999),FIND(":",MID(TRIM(MID(SUBSTITUTE(K4,";",REPT(" ",99)),298,99)),FIND(":",TRIM(MID(SUBSTITUTE(K4,";",REPT(" ",99)),298,99)))+1,999))-1),_Lookup!$A:$B,2,FALSE),"?")&amp;"×"&amp;LEFT(MID(MID(TRIM(MID(SUBSTITUTE(K4,";",REPT(" ",99)),298,99)),FIND(":",TRIM(MID(SUBSTITUTE(K4,";",REPT(" ",99)),298,99)))+1,999),FIND(":",MID(TRIM(MID(SUBSTITUTE(K4,";",REPT(" ",99)),298,99)),FIND(":",TRIM(MID(SUBSTITUTE(K4,";",REPT(" ",99)),298,99)))+1,999))+1,999),FIND(":",MID(MID(TRIM(MID(SUBSTITUTE(K4,";",REPT(" ",99)),298,99)),FIND(":",TRIM(MID(SUBSTITUTE(K4,";",REPT(" ",99)),298,99)))+1,999),FIND(":",MID(TRIM(MID(SUBSTITUTE(K4,";",REPT(" ",99)),298,99)),FIND(":",TRIM(MID(SUBSTITUTE(K4,";",REPT(" ",99)),298,99)))+1,999))+1,999))-1)),IF(TRIM(MID(SUBSTITUTE(K4,";",REPT(" ",99)),397,99))="","",IFERROR(VLOOKUP(--LEFT(MID(TRIM(MID(SUBSTITUTE(K4,";",REPT(" ",99)),397,99)),FIND(":",TRIM(MID(SUBSTITUTE(K4,";",REPT(" ",99)),397,99)))+1,999),FIND(":",MID(TRIM(MID(SUBSTITUTE(K4,";",REPT(" ",99)),397,99)),FIND(":",TRIM(MID(SUBSTITUTE(K4,";",REPT(" ",99)),397,99)))+1,999))-1),_Lookup!$A:$B,2,FALSE),"?")&amp;"×"&amp;LEFT(MID(MID(TRIM(MID(SUBSTITUTE(K4,";",REPT(" ",99)),397,99)),FIND(":",TRIM(MID(SUBSTITUTE(K4,";",REPT(" ",99)),397,99)))+1,999),FIND(":",MID(TRIM(MID(SUBSTITUTE(K4,";",REPT(" ",99)),397,99)),FIND(":",TRIM(MID(SUBSTITUTE(K4,";",REPT(" ",99)),397,99)))+1,999))+1,999),FIND(":",MID(MID(TRIM(MID(SUBSTITUTE(K4,";",REPT(" ",99)),397,99)),FIND(":",TRIM(MID(SUBSTITUTE(K4,";",REPT(" ",99)),397,99)))+1,999),FIND(":",MID(TRIM(MID(SUBSTITUTE(K4,";",REPT(" ",99)),397,99)),FIND(":",TRIM(MID(SUBSTITUTE(K4,";",REPT(" ",99)),397,99)))+1,999))+1,999))-1))))</f>
        <v/>
      </c>
    </row>
    <row r="5">
      <c r="D5" s="11">
        <f>IFERROR(VLOOKUP(C5,ItemData_Fish!$A:$B,2,FALSE),"")</f>
        <v/>
      </c>
      <c r="L5" s="11">
        <f>IF(K5="","",TEXTJOIN("; ",TRUE,IF(TRIM(MID(SUBSTITUTE(K5,";",REPT(" ",99)),1,99))="","",IFERROR(VLOOKUP(--LEFT(MID(TRIM(MID(SUBSTITUTE(K5,";",REPT(" ",99)),1,99)),FIND(":",TRIM(MID(SUBSTITUTE(K5,";",REPT(" ",99)),1,99)))+1,999),FIND(":",MID(TRIM(MID(SUBSTITUTE(K5,";",REPT(" ",99)),1,99)),FIND(":",TRIM(MID(SUBSTITUTE(K5,";",REPT(" ",99)),1,99)))+1,999))-1),_Lookup!$A:$B,2,FALSE),"?")&amp;"×"&amp;LEFT(MID(MID(TRIM(MID(SUBSTITUTE(K5,";",REPT(" ",99)),1,99)),FIND(":",TRIM(MID(SUBSTITUTE(K5,";",REPT(" ",99)),1,99)))+1,999),FIND(":",MID(TRIM(MID(SUBSTITUTE(K5,";",REPT(" ",99)),1,99)),FIND(":",TRIM(MID(SUBSTITUTE(K5,";",REPT(" ",99)),1,99)))+1,999))+1,999),FIND(":",MID(MID(TRIM(MID(SUBSTITUTE(K5,";",REPT(" ",99)),1,99)),FIND(":",TRIM(MID(SUBSTITUTE(K5,";",REPT(" ",99)),1,99)))+1,999),FIND(":",MID(TRIM(MID(SUBSTITUTE(K5,";",REPT(" ",99)),1,99)),FIND(":",TRIM(MID(SUBSTITUTE(K5,";",REPT(" ",99)),1,99)))+1,999))+1,999))-1)),IF(TRIM(MID(SUBSTITUTE(K5,";",REPT(" ",99)),100,99))="","",IFERROR(VLOOKUP(--LEFT(MID(TRIM(MID(SUBSTITUTE(K5,";",REPT(" ",99)),100,99)),FIND(":",TRIM(MID(SUBSTITUTE(K5,";",REPT(" ",99)),100,99)))+1,999),FIND(":",MID(TRIM(MID(SUBSTITUTE(K5,";",REPT(" ",99)),100,99)),FIND(":",TRIM(MID(SUBSTITUTE(K5,";",REPT(" ",99)),100,99)))+1,999))-1),_Lookup!$A:$B,2,FALSE),"?")&amp;"×"&amp;LEFT(MID(MID(TRIM(MID(SUBSTITUTE(K5,";",REPT(" ",99)),100,99)),FIND(":",TRIM(MID(SUBSTITUTE(K5,";",REPT(" ",99)),100,99)))+1,999),FIND(":",MID(TRIM(MID(SUBSTITUTE(K5,";",REPT(" ",99)),100,99)),FIND(":",TRIM(MID(SUBSTITUTE(K5,";",REPT(" ",99)),100,99)))+1,999))+1,999),FIND(":",MID(MID(TRIM(MID(SUBSTITUTE(K5,";",REPT(" ",99)),100,99)),FIND(":",TRIM(MID(SUBSTITUTE(K5,";",REPT(" ",99)),100,99)))+1,999),FIND(":",MID(TRIM(MID(SUBSTITUTE(K5,";",REPT(" ",99)),100,99)),FIND(":",TRIM(MID(SUBSTITUTE(K5,";",REPT(" ",99)),100,99)))+1,999))+1,999))-1)),IF(TRIM(MID(SUBSTITUTE(K5,";",REPT(" ",99)),199,99))="","",IFERROR(VLOOKUP(--LEFT(MID(TRIM(MID(SUBSTITUTE(K5,";",REPT(" ",99)),199,99)),FIND(":",TRIM(MID(SUBSTITUTE(K5,";",REPT(" ",99)),199,99)))+1,999),FIND(":",MID(TRIM(MID(SUBSTITUTE(K5,";",REPT(" ",99)),199,99)),FIND(":",TRIM(MID(SUBSTITUTE(K5,";",REPT(" ",99)),199,99)))+1,999))-1),_Lookup!$A:$B,2,FALSE),"?")&amp;"×"&amp;LEFT(MID(MID(TRIM(MID(SUBSTITUTE(K5,";",REPT(" ",99)),199,99)),FIND(":",TRIM(MID(SUBSTITUTE(K5,";",REPT(" ",99)),199,99)))+1,999),FIND(":",MID(TRIM(MID(SUBSTITUTE(K5,";",REPT(" ",99)),199,99)),FIND(":",TRIM(MID(SUBSTITUTE(K5,";",REPT(" ",99)),199,99)))+1,999))+1,999),FIND(":",MID(MID(TRIM(MID(SUBSTITUTE(K5,";",REPT(" ",99)),199,99)),FIND(":",TRIM(MID(SUBSTITUTE(K5,";",REPT(" ",99)),199,99)))+1,999),FIND(":",MID(TRIM(MID(SUBSTITUTE(K5,";",REPT(" ",99)),199,99)),FIND(":",TRIM(MID(SUBSTITUTE(K5,";",REPT(" ",99)),199,99)))+1,999))+1,999))-1)),IF(TRIM(MID(SUBSTITUTE(K5,";",REPT(" ",99)),298,99))="","",IFERROR(VLOOKUP(--LEFT(MID(TRIM(MID(SUBSTITUTE(K5,";",REPT(" ",99)),298,99)),FIND(":",TRIM(MID(SUBSTITUTE(K5,";",REPT(" ",99)),298,99)))+1,999),FIND(":",MID(TRIM(MID(SUBSTITUTE(K5,";",REPT(" ",99)),298,99)),FIND(":",TRIM(MID(SUBSTITUTE(K5,";",REPT(" ",99)),298,99)))+1,999))-1),_Lookup!$A:$B,2,FALSE),"?")&amp;"×"&amp;LEFT(MID(MID(TRIM(MID(SUBSTITUTE(K5,";",REPT(" ",99)),298,99)),FIND(":",TRIM(MID(SUBSTITUTE(K5,";",REPT(" ",99)),298,99)))+1,999),FIND(":",MID(TRIM(MID(SUBSTITUTE(K5,";",REPT(" ",99)),298,99)),FIND(":",TRIM(MID(SUBSTITUTE(K5,";",REPT(" ",99)),298,99)))+1,999))+1,999),FIND(":",MID(MID(TRIM(MID(SUBSTITUTE(K5,";",REPT(" ",99)),298,99)),FIND(":",TRIM(MID(SUBSTITUTE(K5,";",REPT(" ",99)),298,99)))+1,999),FIND(":",MID(TRIM(MID(SUBSTITUTE(K5,";",REPT(" ",99)),298,99)),FIND(":",TRIM(MID(SUBSTITUTE(K5,";",REPT(" ",99)),298,99)))+1,999))+1,999))-1)),IF(TRIM(MID(SUBSTITUTE(K5,";",REPT(" ",99)),397,99))="","",IFERROR(VLOOKUP(--LEFT(MID(TRIM(MID(SUBSTITUTE(K5,";",REPT(" ",99)),397,99)),FIND(":",TRIM(MID(SUBSTITUTE(K5,";",REPT(" ",99)),397,99)))+1,999),FIND(":",MID(TRIM(MID(SUBSTITUTE(K5,";",REPT(" ",99)),397,99)),FIND(":",TRIM(MID(SUBSTITUTE(K5,";",REPT(" ",99)),397,99)))+1,999))-1),_Lookup!$A:$B,2,FALSE),"?")&amp;"×"&amp;LEFT(MID(MID(TRIM(MID(SUBSTITUTE(K5,";",REPT(" ",99)),397,99)),FIND(":",TRIM(MID(SUBSTITUTE(K5,";",REPT(" ",99)),397,99)))+1,999),FIND(":",MID(TRIM(MID(SUBSTITUTE(K5,";",REPT(" ",99)),397,99)),FIND(":",TRIM(MID(SUBSTITUTE(K5,";",REPT(" ",99)),397,99)))+1,999))+1,999),FIND(":",MID(MID(TRIM(MID(SUBSTITUTE(K5,";",REPT(" ",99)),397,99)),FIND(":",TRIM(MID(SUBSTITUTE(K5,";",REPT(" ",99)),397,99)))+1,999),FIND(":",MID(TRIM(MID(SUBSTITUTE(K5,";",REPT(" ",99)),397,99)),FIND(":",TRIM(MID(SUBSTITUTE(K5,";",REPT(" ",99)),397,99)))+1,999))+1,999))-1))))</f>
        <v/>
      </c>
    </row>
    <row r="6">
      <c r="D6" s="11">
        <f>IFERROR(VLOOKUP(C6,ItemData_Fish!$A:$B,2,FALSE),"")</f>
        <v/>
      </c>
      <c r="L6" s="11">
        <f>IF(K6="","",TEXTJOIN("; ",TRUE,IF(TRIM(MID(SUBSTITUTE(K6,";",REPT(" ",99)),1,99))="","",IFERROR(VLOOKUP(--LEFT(MID(TRIM(MID(SUBSTITUTE(K6,";",REPT(" ",99)),1,99)),FIND(":",TRIM(MID(SUBSTITUTE(K6,";",REPT(" ",99)),1,99)))+1,999),FIND(":",MID(TRIM(MID(SUBSTITUTE(K6,";",REPT(" ",99)),1,99)),FIND(":",TRIM(MID(SUBSTITUTE(K6,";",REPT(" ",99)),1,99)))+1,999))-1),_Lookup!$A:$B,2,FALSE),"?")&amp;"×"&amp;LEFT(MID(MID(TRIM(MID(SUBSTITUTE(K6,";",REPT(" ",99)),1,99)),FIND(":",TRIM(MID(SUBSTITUTE(K6,";",REPT(" ",99)),1,99)))+1,999),FIND(":",MID(TRIM(MID(SUBSTITUTE(K6,";",REPT(" ",99)),1,99)),FIND(":",TRIM(MID(SUBSTITUTE(K6,";",REPT(" ",99)),1,99)))+1,999))+1,999),FIND(":",MID(MID(TRIM(MID(SUBSTITUTE(K6,";",REPT(" ",99)),1,99)),FIND(":",TRIM(MID(SUBSTITUTE(K6,";",REPT(" ",99)),1,99)))+1,999),FIND(":",MID(TRIM(MID(SUBSTITUTE(K6,";",REPT(" ",99)),1,99)),FIND(":",TRIM(MID(SUBSTITUTE(K6,";",REPT(" ",99)),1,99)))+1,999))+1,999))-1)),IF(TRIM(MID(SUBSTITUTE(K6,";",REPT(" ",99)),100,99))="","",IFERROR(VLOOKUP(--LEFT(MID(TRIM(MID(SUBSTITUTE(K6,";",REPT(" ",99)),100,99)),FIND(":",TRIM(MID(SUBSTITUTE(K6,";",REPT(" ",99)),100,99)))+1,999),FIND(":",MID(TRIM(MID(SUBSTITUTE(K6,";",REPT(" ",99)),100,99)),FIND(":",TRIM(MID(SUBSTITUTE(K6,";",REPT(" ",99)),100,99)))+1,999))-1),_Lookup!$A:$B,2,FALSE),"?")&amp;"×"&amp;LEFT(MID(MID(TRIM(MID(SUBSTITUTE(K6,";",REPT(" ",99)),100,99)),FIND(":",TRIM(MID(SUBSTITUTE(K6,";",REPT(" ",99)),100,99)))+1,999),FIND(":",MID(TRIM(MID(SUBSTITUTE(K6,";",REPT(" ",99)),100,99)),FIND(":",TRIM(MID(SUBSTITUTE(K6,";",REPT(" ",99)),100,99)))+1,999))+1,999),FIND(":",MID(MID(TRIM(MID(SUBSTITUTE(K6,";",REPT(" ",99)),100,99)),FIND(":",TRIM(MID(SUBSTITUTE(K6,";",REPT(" ",99)),100,99)))+1,999),FIND(":",MID(TRIM(MID(SUBSTITUTE(K6,";",REPT(" ",99)),100,99)),FIND(":",TRIM(MID(SUBSTITUTE(K6,";",REPT(" ",99)),100,99)))+1,999))+1,999))-1)),IF(TRIM(MID(SUBSTITUTE(K6,";",REPT(" ",99)),199,99))="","",IFERROR(VLOOKUP(--LEFT(MID(TRIM(MID(SUBSTITUTE(K6,";",REPT(" ",99)),199,99)),FIND(":",TRIM(MID(SUBSTITUTE(K6,";",REPT(" ",99)),199,99)))+1,999),FIND(":",MID(TRIM(MID(SUBSTITUTE(K6,";",REPT(" ",99)),199,99)),FIND(":",TRIM(MID(SUBSTITUTE(K6,";",REPT(" ",99)),199,99)))+1,999))-1),_Lookup!$A:$B,2,FALSE),"?")&amp;"×"&amp;LEFT(MID(MID(TRIM(MID(SUBSTITUTE(K6,";",REPT(" ",99)),199,99)),FIND(":",TRIM(MID(SUBSTITUTE(K6,";",REPT(" ",99)),199,99)))+1,999),FIND(":",MID(TRIM(MID(SUBSTITUTE(K6,";",REPT(" ",99)),199,99)),FIND(":",TRIM(MID(SUBSTITUTE(K6,";",REPT(" ",99)),199,99)))+1,999))+1,999),FIND(":",MID(MID(TRIM(MID(SUBSTITUTE(K6,";",REPT(" ",99)),199,99)),FIND(":",TRIM(MID(SUBSTITUTE(K6,";",REPT(" ",99)),199,99)))+1,999),FIND(":",MID(TRIM(MID(SUBSTITUTE(K6,";",REPT(" ",99)),199,99)),FIND(":",TRIM(MID(SUBSTITUTE(K6,";",REPT(" ",99)),199,99)))+1,999))+1,999))-1)),IF(TRIM(MID(SUBSTITUTE(K6,";",REPT(" ",99)),298,99))="","",IFERROR(VLOOKUP(--LEFT(MID(TRIM(MID(SUBSTITUTE(K6,";",REPT(" ",99)),298,99)),FIND(":",TRIM(MID(SUBSTITUTE(K6,";",REPT(" ",99)),298,99)))+1,999),FIND(":",MID(TRIM(MID(SUBSTITUTE(K6,";",REPT(" ",99)),298,99)),FIND(":",TRIM(MID(SUBSTITUTE(K6,";",REPT(" ",99)),298,99)))+1,999))-1),_Lookup!$A:$B,2,FALSE),"?")&amp;"×"&amp;LEFT(MID(MID(TRIM(MID(SUBSTITUTE(K6,";",REPT(" ",99)),298,99)),FIND(":",TRIM(MID(SUBSTITUTE(K6,";",REPT(" ",99)),298,99)))+1,999),FIND(":",MID(TRIM(MID(SUBSTITUTE(K6,";",REPT(" ",99)),298,99)),FIND(":",TRIM(MID(SUBSTITUTE(K6,";",REPT(" ",99)),298,99)))+1,999))+1,999),FIND(":",MID(MID(TRIM(MID(SUBSTITUTE(K6,";",REPT(" ",99)),298,99)),FIND(":",TRIM(MID(SUBSTITUTE(K6,";",REPT(" ",99)),298,99)))+1,999),FIND(":",MID(TRIM(MID(SUBSTITUTE(K6,";",REPT(" ",99)),298,99)),FIND(":",TRIM(MID(SUBSTITUTE(K6,";",REPT(" ",99)),298,99)))+1,999))+1,999))-1)),IF(TRIM(MID(SUBSTITUTE(K6,";",REPT(" ",99)),397,99))="","",IFERROR(VLOOKUP(--LEFT(MID(TRIM(MID(SUBSTITUTE(K6,";",REPT(" ",99)),397,99)),FIND(":",TRIM(MID(SUBSTITUTE(K6,";",REPT(" ",99)),397,99)))+1,999),FIND(":",MID(TRIM(MID(SUBSTITUTE(K6,";",REPT(" ",99)),397,99)),FIND(":",TRIM(MID(SUBSTITUTE(K6,";",REPT(" ",99)),397,99)))+1,999))-1),_Lookup!$A:$B,2,FALSE),"?")&amp;"×"&amp;LEFT(MID(MID(TRIM(MID(SUBSTITUTE(K6,";",REPT(" ",99)),397,99)),FIND(":",TRIM(MID(SUBSTITUTE(K6,";",REPT(" ",99)),397,99)))+1,999),FIND(":",MID(TRIM(MID(SUBSTITUTE(K6,";",REPT(" ",99)),397,99)),FIND(":",TRIM(MID(SUBSTITUTE(K6,";",REPT(" ",99)),397,99)))+1,999))+1,999),FIND(":",MID(MID(TRIM(MID(SUBSTITUTE(K6,";",REPT(" ",99)),397,99)),FIND(":",TRIM(MID(SUBSTITUTE(K6,";",REPT(" ",99)),397,99)))+1,999),FIND(":",MID(TRIM(MID(SUBSTITUTE(K6,";",REPT(" ",99)),397,99)),FIND(":",TRIM(MID(SUBSTITUTE(K6,";",REPT(" ",99)),397,99)))+1,999))+1,999))-1))))</f>
        <v/>
      </c>
    </row>
    <row r="7">
      <c r="D7" s="11">
        <f>IFERROR(VLOOKUP(C7,ItemData_Fish!$A:$B,2,FALSE),"")</f>
        <v/>
      </c>
      <c r="L7" s="11">
        <f>IF(K7="","",TEXTJOIN("; ",TRUE,IF(TRIM(MID(SUBSTITUTE(K7,";",REPT(" ",99)),1,99))="","",IFERROR(VLOOKUP(--LEFT(MID(TRIM(MID(SUBSTITUTE(K7,";",REPT(" ",99)),1,99)),FIND(":",TRIM(MID(SUBSTITUTE(K7,";",REPT(" ",99)),1,99)))+1,999),FIND(":",MID(TRIM(MID(SUBSTITUTE(K7,";",REPT(" ",99)),1,99)),FIND(":",TRIM(MID(SUBSTITUTE(K7,";",REPT(" ",99)),1,99)))+1,999))-1),_Lookup!$A:$B,2,FALSE),"?")&amp;"×"&amp;LEFT(MID(MID(TRIM(MID(SUBSTITUTE(K7,";",REPT(" ",99)),1,99)),FIND(":",TRIM(MID(SUBSTITUTE(K7,";",REPT(" ",99)),1,99)))+1,999),FIND(":",MID(TRIM(MID(SUBSTITUTE(K7,";",REPT(" ",99)),1,99)),FIND(":",TRIM(MID(SUBSTITUTE(K7,";",REPT(" ",99)),1,99)))+1,999))+1,999),FIND(":",MID(MID(TRIM(MID(SUBSTITUTE(K7,";",REPT(" ",99)),1,99)),FIND(":",TRIM(MID(SUBSTITUTE(K7,";",REPT(" ",99)),1,99)))+1,999),FIND(":",MID(TRIM(MID(SUBSTITUTE(K7,";",REPT(" ",99)),1,99)),FIND(":",TRIM(MID(SUBSTITUTE(K7,";",REPT(" ",99)),1,99)))+1,999))+1,999))-1)),IF(TRIM(MID(SUBSTITUTE(K7,";",REPT(" ",99)),100,99))="","",IFERROR(VLOOKUP(--LEFT(MID(TRIM(MID(SUBSTITUTE(K7,";",REPT(" ",99)),100,99)),FIND(":",TRIM(MID(SUBSTITUTE(K7,";",REPT(" ",99)),100,99)))+1,999),FIND(":",MID(TRIM(MID(SUBSTITUTE(K7,";",REPT(" ",99)),100,99)),FIND(":",TRIM(MID(SUBSTITUTE(K7,";",REPT(" ",99)),100,99)))+1,999))-1),_Lookup!$A:$B,2,FALSE),"?")&amp;"×"&amp;LEFT(MID(MID(TRIM(MID(SUBSTITUTE(K7,";",REPT(" ",99)),100,99)),FIND(":",TRIM(MID(SUBSTITUTE(K7,";",REPT(" ",99)),100,99)))+1,999),FIND(":",MID(TRIM(MID(SUBSTITUTE(K7,";",REPT(" ",99)),100,99)),FIND(":",TRIM(MID(SUBSTITUTE(K7,";",REPT(" ",99)),100,99)))+1,999))+1,999),FIND(":",MID(MID(TRIM(MID(SUBSTITUTE(K7,";",REPT(" ",99)),100,99)),FIND(":",TRIM(MID(SUBSTITUTE(K7,";",REPT(" ",99)),100,99)))+1,999),FIND(":",MID(TRIM(MID(SUBSTITUTE(K7,";",REPT(" ",99)),100,99)),FIND(":",TRIM(MID(SUBSTITUTE(K7,";",REPT(" ",99)),100,99)))+1,999))+1,999))-1)),IF(TRIM(MID(SUBSTITUTE(K7,";",REPT(" ",99)),199,99))="","",IFERROR(VLOOKUP(--LEFT(MID(TRIM(MID(SUBSTITUTE(K7,";",REPT(" ",99)),199,99)),FIND(":",TRIM(MID(SUBSTITUTE(K7,";",REPT(" ",99)),199,99)))+1,999),FIND(":",MID(TRIM(MID(SUBSTITUTE(K7,";",REPT(" ",99)),199,99)),FIND(":",TRIM(MID(SUBSTITUTE(K7,";",REPT(" ",99)),199,99)))+1,999))-1),_Lookup!$A:$B,2,FALSE),"?")&amp;"×"&amp;LEFT(MID(MID(TRIM(MID(SUBSTITUTE(K7,";",REPT(" ",99)),199,99)),FIND(":",TRIM(MID(SUBSTITUTE(K7,";",REPT(" ",99)),199,99)))+1,999),FIND(":",MID(TRIM(MID(SUBSTITUTE(K7,";",REPT(" ",99)),199,99)),FIND(":",TRIM(MID(SUBSTITUTE(K7,";",REPT(" ",99)),199,99)))+1,999))+1,999),FIND(":",MID(MID(TRIM(MID(SUBSTITUTE(K7,";",REPT(" ",99)),199,99)),FIND(":",TRIM(MID(SUBSTITUTE(K7,";",REPT(" ",99)),199,99)))+1,999),FIND(":",MID(TRIM(MID(SUBSTITUTE(K7,";",REPT(" ",99)),199,99)),FIND(":",TRIM(MID(SUBSTITUTE(K7,";",REPT(" ",99)),199,99)))+1,999))+1,999))-1)),IF(TRIM(MID(SUBSTITUTE(K7,";",REPT(" ",99)),298,99))="","",IFERROR(VLOOKUP(--LEFT(MID(TRIM(MID(SUBSTITUTE(K7,";",REPT(" ",99)),298,99)),FIND(":",TRIM(MID(SUBSTITUTE(K7,";",REPT(" ",99)),298,99)))+1,999),FIND(":",MID(TRIM(MID(SUBSTITUTE(K7,";",REPT(" ",99)),298,99)),FIND(":",TRIM(MID(SUBSTITUTE(K7,";",REPT(" ",99)),298,99)))+1,999))-1),_Lookup!$A:$B,2,FALSE),"?")&amp;"×"&amp;LEFT(MID(MID(TRIM(MID(SUBSTITUTE(K7,";",REPT(" ",99)),298,99)),FIND(":",TRIM(MID(SUBSTITUTE(K7,";",REPT(" ",99)),298,99)))+1,999),FIND(":",MID(TRIM(MID(SUBSTITUTE(K7,";",REPT(" ",99)),298,99)),FIND(":",TRIM(MID(SUBSTITUTE(K7,";",REPT(" ",99)),298,99)))+1,999))+1,999),FIND(":",MID(MID(TRIM(MID(SUBSTITUTE(K7,";",REPT(" ",99)),298,99)),FIND(":",TRIM(MID(SUBSTITUTE(K7,";",REPT(" ",99)),298,99)))+1,999),FIND(":",MID(TRIM(MID(SUBSTITUTE(K7,";",REPT(" ",99)),298,99)),FIND(":",TRIM(MID(SUBSTITUTE(K7,";",REPT(" ",99)),298,99)))+1,999))+1,999))-1)),IF(TRIM(MID(SUBSTITUTE(K7,";",REPT(" ",99)),397,99))="","",IFERROR(VLOOKUP(--LEFT(MID(TRIM(MID(SUBSTITUTE(K7,";",REPT(" ",99)),397,99)),FIND(":",TRIM(MID(SUBSTITUTE(K7,";",REPT(" ",99)),397,99)))+1,999),FIND(":",MID(TRIM(MID(SUBSTITUTE(K7,";",REPT(" ",99)),397,99)),FIND(":",TRIM(MID(SUBSTITUTE(K7,";",REPT(" ",99)),397,99)))+1,999))-1),_Lookup!$A:$B,2,FALSE),"?")&amp;"×"&amp;LEFT(MID(MID(TRIM(MID(SUBSTITUTE(K7,";",REPT(" ",99)),397,99)),FIND(":",TRIM(MID(SUBSTITUTE(K7,";",REPT(" ",99)),397,99)))+1,999),FIND(":",MID(TRIM(MID(SUBSTITUTE(K7,";",REPT(" ",99)),397,99)),FIND(":",TRIM(MID(SUBSTITUTE(K7,";",REPT(" ",99)),397,99)))+1,999))+1,999),FIND(":",MID(MID(TRIM(MID(SUBSTITUTE(K7,";",REPT(" ",99)),397,99)),FIND(":",TRIM(MID(SUBSTITUTE(K7,";",REPT(" ",99)),397,99)))+1,999),FIND(":",MID(TRIM(MID(SUBSTITUTE(K7,";",REPT(" ",99)),397,99)),FIND(":",TRIM(MID(SUBSTITUTE(K7,";",REPT(" ",99)),397,99)))+1,999))+1,999))-1))))</f>
        <v/>
      </c>
    </row>
    <row r="8">
      <c r="D8" s="11">
        <f>IFERROR(VLOOKUP(C8,ItemData_Fish!$A:$B,2,FALSE),"")</f>
        <v/>
      </c>
      <c r="L8" s="11">
        <f>IF(K8="","",TEXTJOIN("; ",TRUE,IF(TRIM(MID(SUBSTITUTE(K8,";",REPT(" ",99)),1,99))="","",IFERROR(VLOOKUP(--LEFT(MID(TRIM(MID(SUBSTITUTE(K8,";",REPT(" ",99)),1,99)),FIND(":",TRIM(MID(SUBSTITUTE(K8,";",REPT(" ",99)),1,99)))+1,999),FIND(":",MID(TRIM(MID(SUBSTITUTE(K8,";",REPT(" ",99)),1,99)),FIND(":",TRIM(MID(SUBSTITUTE(K8,";",REPT(" ",99)),1,99)))+1,999))-1),_Lookup!$A:$B,2,FALSE),"?")&amp;"×"&amp;LEFT(MID(MID(TRIM(MID(SUBSTITUTE(K8,";",REPT(" ",99)),1,99)),FIND(":",TRIM(MID(SUBSTITUTE(K8,";",REPT(" ",99)),1,99)))+1,999),FIND(":",MID(TRIM(MID(SUBSTITUTE(K8,";",REPT(" ",99)),1,99)),FIND(":",TRIM(MID(SUBSTITUTE(K8,";",REPT(" ",99)),1,99)))+1,999))+1,999),FIND(":",MID(MID(TRIM(MID(SUBSTITUTE(K8,";",REPT(" ",99)),1,99)),FIND(":",TRIM(MID(SUBSTITUTE(K8,";",REPT(" ",99)),1,99)))+1,999),FIND(":",MID(TRIM(MID(SUBSTITUTE(K8,";",REPT(" ",99)),1,99)),FIND(":",TRIM(MID(SUBSTITUTE(K8,";",REPT(" ",99)),1,99)))+1,999))+1,999))-1)),IF(TRIM(MID(SUBSTITUTE(K8,";",REPT(" ",99)),100,99))="","",IFERROR(VLOOKUP(--LEFT(MID(TRIM(MID(SUBSTITUTE(K8,";",REPT(" ",99)),100,99)),FIND(":",TRIM(MID(SUBSTITUTE(K8,";",REPT(" ",99)),100,99)))+1,999),FIND(":",MID(TRIM(MID(SUBSTITUTE(K8,";",REPT(" ",99)),100,99)),FIND(":",TRIM(MID(SUBSTITUTE(K8,";",REPT(" ",99)),100,99)))+1,999))-1),_Lookup!$A:$B,2,FALSE),"?")&amp;"×"&amp;LEFT(MID(MID(TRIM(MID(SUBSTITUTE(K8,";",REPT(" ",99)),100,99)),FIND(":",TRIM(MID(SUBSTITUTE(K8,";",REPT(" ",99)),100,99)))+1,999),FIND(":",MID(TRIM(MID(SUBSTITUTE(K8,";",REPT(" ",99)),100,99)),FIND(":",TRIM(MID(SUBSTITUTE(K8,";",REPT(" ",99)),100,99)))+1,999))+1,999),FIND(":",MID(MID(TRIM(MID(SUBSTITUTE(K8,";",REPT(" ",99)),100,99)),FIND(":",TRIM(MID(SUBSTITUTE(K8,";",REPT(" ",99)),100,99)))+1,999),FIND(":",MID(TRIM(MID(SUBSTITUTE(K8,";",REPT(" ",99)),100,99)),FIND(":",TRIM(MID(SUBSTITUTE(K8,";",REPT(" ",99)),100,99)))+1,999))+1,999))-1)),IF(TRIM(MID(SUBSTITUTE(K8,";",REPT(" ",99)),199,99))="","",IFERROR(VLOOKUP(--LEFT(MID(TRIM(MID(SUBSTITUTE(K8,";",REPT(" ",99)),199,99)),FIND(":",TRIM(MID(SUBSTITUTE(K8,";",REPT(" ",99)),199,99)))+1,999),FIND(":",MID(TRIM(MID(SUBSTITUTE(K8,";",REPT(" ",99)),199,99)),FIND(":",TRIM(MID(SUBSTITUTE(K8,";",REPT(" ",99)),199,99)))+1,999))-1),_Lookup!$A:$B,2,FALSE),"?")&amp;"×"&amp;LEFT(MID(MID(TRIM(MID(SUBSTITUTE(K8,";",REPT(" ",99)),199,99)),FIND(":",TRIM(MID(SUBSTITUTE(K8,";",REPT(" ",99)),199,99)))+1,999),FIND(":",MID(TRIM(MID(SUBSTITUTE(K8,";",REPT(" ",99)),199,99)),FIND(":",TRIM(MID(SUBSTITUTE(K8,";",REPT(" ",99)),199,99)))+1,999))+1,999),FIND(":",MID(MID(TRIM(MID(SUBSTITUTE(K8,";",REPT(" ",99)),199,99)),FIND(":",TRIM(MID(SUBSTITUTE(K8,";",REPT(" ",99)),199,99)))+1,999),FIND(":",MID(TRIM(MID(SUBSTITUTE(K8,";",REPT(" ",99)),199,99)),FIND(":",TRIM(MID(SUBSTITUTE(K8,";",REPT(" ",99)),199,99)))+1,999))+1,999))-1)),IF(TRIM(MID(SUBSTITUTE(K8,";",REPT(" ",99)),298,99))="","",IFERROR(VLOOKUP(--LEFT(MID(TRIM(MID(SUBSTITUTE(K8,";",REPT(" ",99)),298,99)),FIND(":",TRIM(MID(SUBSTITUTE(K8,";",REPT(" ",99)),298,99)))+1,999),FIND(":",MID(TRIM(MID(SUBSTITUTE(K8,";",REPT(" ",99)),298,99)),FIND(":",TRIM(MID(SUBSTITUTE(K8,";",REPT(" ",99)),298,99)))+1,999))-1),_Lookup!$A:$B,2,FALSE),"?")&amp;"×"&amp;LEFT(MID(MID(TRIM(MID(SUBSTITUTE(K8,";",REPT(" ",99)),298,99)),FIND(":",TRIM(MID(SUBSTITUTE(K8,";",REPT(" ",99)),298,99)))+1,999),FIND(":",MID(TRIM(MID(SUBSTITUTE(K8,";",REPT(" ",99)),298,99)),FIND(":",TRIM(MID(SUBSTITUTE(K8,";",REPT(" ",99)),298,99)))+1,999))+1,999),FIND(":",MID(MID(TRIM(MID(SUBSTITUTE(K8,";",REPT(" ",99)),298,99)),FIND(":",TRIM(MID(SUBSTITUTE(K8,";",REPT(" ",99)),298,99)))+1,999),FIND(":",MID(TRIM(MID(SUBSTITUTE(K8,";",REPT(" ",99)),298,99)),FIND(":",TRIM(MID(SUBSTITUTE(K8,";",REPT(" ",99)),298,99)))+1,999))+1,999))-1)),IF(TRIM(MID(SUBSTITUTE(K8,";",REPT(" ",99)),397,99))="","",IFERROR(VLOOKUP(--LEFT(MID(TRIM(MID(SUBSTITUTE(K8,";",REPT(" ",99)),397,99)),FIND(":",TRIM(MID(SUBSTITUTE(K8,";",REPT(" ",99)),397,99)))+1,999),FIND(":",MID(TRIM(MID(SUBSTITUTE(K8,";",REPT(" ",99)),397,99)),FIND(":",TRIM(MID(SUBSTITUTE(K8,";",REPT(" ",99)),397,99)))+1,999))-1),_Lookup!$A:$B,2,FALSE),"?")&amp;"×"&amp;LEFT(MID(MID(TRIM(MID(SUBSTITUTE(K8,";",REPT(" ",99)),397,99)),FIND(":",TRIM(MID(SUBSTITUTE(K8,";",REPT(" ",99)),397,99)))+1,999),FIND(":",MID(TRIM(MID(SUBSTITUTE(K8,";",REPT(" ",99)),397,99)),FIND(":",TRIM(MID(SUBSTITUTE(K8,";",REPT(" ",99)),397,99)))+1,999))+1,999),FIND(":",MID(MID(TRIM(MID(SUBSTITUTE(K8,";",REPT(" ",99)),397,99)),FIND(":",TRIM(MID(SUBSTITUTE(K8,";",REPT(" ",99)),397,99)))+1,999),FIND(":",MID(TRIM(MID(SUBSTITUTE(K8,";",REPT(" ",99)),397,99)),FIND(":",TRIM(MID(SUBSTITUTE(K8,";",REPT(" ",99)),397,99)))+1,999))+1,999))-1))))</f>
        <v/>
      </c>
    </row>
    <row r="9">
      <c r="D9" s="11">
        <f>IFERROR(VLOOKUP(C9,ItemData_Fish!$A:$B,2,FALSE),"")</f>
        <v/>
      </c>
      <c r="L9" s="11">
        <f>IF(K9="","",TEXTJOIN("; ",TRUE,IF(TRIM(MID(SUBSTITUTE(K9,";",REPT(" ",99)),1,99))="","",IFERROR(VLOOKUP(--LEFT(MID(TRIM(MID(SUBSTITUTE(K9,";",REPT(" ",99)),1,99)),FIND(":",TRIM(MID(SUBSTITUTE(K9,";",REPT(" ",99)),1,99)))+1,999),FIND(":",MID(TRIM(MID(SUBSTITUTE(K9,";",REPT(" ",99)),1,99)),FIND(":",TRIM(MID(SUBSTITUTE(K9,";",REPT(" ",99)),1,99)))+1,999))-1),_Lookup!$A:$B,2,FALSE),"?")&amp;"×"&amp;LEFT(MID(MID(TRIM(MID(SUBSTITUTE(K9,";",REPT(" ",99)),1,99)),FIND(":",TRIM(MID(SUBSTITUTE(K9,";",REPT(" ",99)),1,99)))+1,999),FIND(":",MID(TRIM(MID(SUBSTITUTE(K9,";",REPT(" ",99)),1,99)),FIND(":",TRIM(MID(SUBSTITUTE(K9,";",REPT(" ",99)),1,99)))+1,999))+1,999),FIND(":",MID(MID(TRIM(MID(SUBSTITUTE(K9,";",REPT(" ",99)),1,99)),FIND(":",TRIM(MID(SUBSTITUTE(K9,";",REPT(" ",99)),1,99)))+1,999),FIND(":",MID(TRIM(MID(SUBSTITUTE(K9,";",REPT(" ",99)),1,99)),FIND(":",TRIM(MID(SUBSTITUTE(K9,";",REPT(" ",99)),1,99)))+1,999))+1,999))-1)),IF(TRIM(MID(SUBSTITUTE(K9,";",REPT(" ",99)),100,99))="","",IFERROR(VLOOKUP(--LEFT(MID(TRIM(MID(SUBSTITUTE(K9,";",REPT(" ",99)),100,99)),FIND(":",TRIM(MID(SUBSTITUTE(K9,";",REPT(" ",99)),100,99)))+1,999),FIND(":",MID(TRIM(MID(SUBSTITUTE(K9,";",REPT(" ",99)),100,99)),FIND(":",TRIM(MID(SUBSTITUTE(K9,";",REPT(" ",99)),100,99)))+1,999))-1),_Lookup!$A:$B,2,FALSE),"?")&amp;"×"&amp;LEFT(MID(MID(TRIM(MID(SUBSTITUTE(K9,";",REPT(" ",99)),100,99)),FIND(":",TRIM(MID(SUBSTITUTE(K9,";",REPT(" ",99)),100,99)))+1,999),FIND(":",MID(TRIM(MID(SUBSTITUTE(K9,";",REPT(" ",99)),100,99)),FIND(":",TRIM(MID(SUBSTITUTE(K9,";",REPT(" ",99)),100,99)))+1,999))+1,999),FIND(":",MID(MID(TRIM(MID(SUBSTITUTE(K9,";",REPT(" ",99)),100,99)),FIND(":",TRIM(MID(SUBSTITUTE(K9,";",REPT(" ",99)),100,99)))+1,999),FIND(":",MID(TRIM(MID(SUBSTITUTE(K9,";",REPT(" ",99)),100,99)),FIND(":",TRIM(MID(SUBSTITUTE(K9,";",REPT(" ",99)),100,99)))+1,999))+1,999))-1)),IF(TRIM(MID(SUBSTITUTE(K9,";",REPT(" ",99)),199,99))="","",IFERROR(VLOOKUP(--LEFT(MID(TRIM(MID(SUBSTITUTE(K9,";",REPT(" ",99)),199,99)),FIND(":",TRIM(MID(SUBSTITUTE(K9,";",REPT(" ",99)),199,99)))+1,999),FIND(":",MID(TRIM(MID(SUBSTITUTE(K9,";",REPT(" ",99)),199,99)),FIND(":",TRIM(MID(SUBSTITUTE(K9,";",REPT(" ",99)),199,99)))+1,999))-1),_Lookup!$A:$B,2,FALSE),"?")&amp;"×"&amp;LEFT(MID(MID(TRIM(MID(SUBSTITUTE(K9,";",REPT(" ",99)),199,99)),FIND(":",TRIM(MID(SUBSTITUTE(K9,";",REPT(" ",99)),199,99)))+1,999),FIND(":",MID(TRIM(MID(SUBSTITUTE(K9,";",REPT(" ",99)),199,99)),FIND(":",TRIM(MID(SUBSTITUTE(K9,";",REPT(" ",99)),199,99)))+1,999))+1,999),FIND(":",MID(MID(TRIM(MID(SUBSTITUTE(K9,";",REPT(" ",99)),199,99)),FIND(":",TRIM(MID(SUBSTITUTE(K9,";",REPT(" ",99)),199,99)))+1,999),FIND(":",MID(TRIM(MID(SUBSTITUTE(K9,";",REPT(" ",99)),199,99)),FIND(":",TRIM(MID(SUBSTITUTE(K9,";",REPT(" ",99)),199,99)))+1,999))+1,999))-1)),IF(TRIM(MID(SUBSTITUTE(K9,";",REPT(" ",99)),298,99))="","",IFERROR(VLOOKUP(--LEFT(MID(TRIM(MID(SUBSTITUTE(K9,";",REPT(" ",99)),298,99)),FIND(":",TRIM(MID(SUBSTITUTE(K9,";",REPT(" ",99)),298,99)))+1,999),FIND(":",MID(TRIM(MID(SUBSTITUTE(K9,";",REPT(" ",99)),298,99)),FIND(":",TRIM(MID(SUBSTITUTE(K9,";",REPT(" ",99)),298,99)))+1,999))-1),_Lookup!$A:$B,2,FALSE),"?")&amp;"×"&amp;LEFT(MID(MID(TRIM(MID(SUBSTITUTE(K9,";",REPT(" ",99)),298,99)),FIND(":",TRIM(MID(SUBSTITUTE(K9,";",REPT(" ",99)),298,99)))+1,999),FIND(":",MID(TRIM(MID(SUBSTITUTE(K9,";",REPT(" ",99)),298,99)),FIND(":",TRIM(MID(SUBSTITUTE(K9,";",REPT(" ",99)),298,99)))+1,999))+1,999),FIND(":",MID(MID(TRIM(MID(SUBSTITUTE(K9,";",REPT(" ",99)),298,99)),FIND(":",TRIM(MID(SUBSTITUTE(K9,";",REPT(" ",99)),298,99)))+1,999),FIND(":",MID(TRIM(MID(SUBSTITUTE(K9,";",REPT(" ",99)),298,99)),FIND(":",TRIM(MID(SUBSTITUTE(K9,";",REPT(" ",99)),298,99)))+1,999))+1,999))-1)),IF(TRIM(MID(SUBSTITUTE(K9,";",REPT(" ",99)),397,99))="","",IFERROR(VLOOKUP(--LEFT(MID(TRIM(MID(SUBSTITUTE(K9,";",REPT(" ",99)),397,99)),FIND(":",TRIM(MID(SUBSTITUTE(K9,";",REPT(" ",99)),397,99)))+1,999),FIND(":",MID(TRIM(MID(SUBSTITUTE(K9,";",REPT(" ",99)),397,99)),FIND(":",TRIM(MID(SUBSTITUTE(K9,";",REPT(" ",99)),397,99)))+1,999))-1),_Lookup!$A:$B,2,FALSE),"?")&amp;"×"&amp;LEFT(MID(MID(TRIM(MID(SUBSTITUTE(K9,";",REPT(" ",99)),397,99)),FIND(":",TRIM(MID(SUBSTITUTE(K9,";",REPT(" ",99)),397,99)))+1,999),FIND(":",MID(TRIM(MID(SUBSTITUTE(K9,";",REPT(" ",99)),397,99)),FIND(":",TRIM(MID(SUBSTITUTE(K9,";",REPT(" ",99)),397,99)))+1,999))+1,999),FIND(":",MID(MID(TRIM(MID(SUBSTITUTE(K9,";",REPT(" ",99)),397,99)),FIND(":",TRIM(MID(SUBSTITUTE(K9,";",REPT(" ",99)),397,99)))+1,999),FIND(":",MID(TRIM(MID(SUBSTITUTE(K9,";",REPT(" ",99)),397,99)),FIND(":",TRIM(MID(SUBSTITUTE(K9,";",REPT(" ",99)),397,99)))+1,999))+1,999))-1))))</f>
        <v/>
      </c>
    </row>
    <row r="10">
      <c r="D10" s="11">
        <f>IFERROR(VLOOKUP(C10,ItemData_Fish!$A:$B,2,FALSE),"")</f>
        <v/>
      </c>
      <c r="L10" s="11">
        <f>IF(K10="","",TEXTJOIN("; ",TRUE,IF(TRIM(MID(SUBSTITUTE(K10,";",REPT(" ",99)),1,99))="","",IFERROR(VLOOKUP(--LEFT(MID(TRIM(MID(SUBSTITUTE(K10,";",REPT(" ",99)),1,99)),FIND(":",TRIM(MID(SUBSTITUTE(K10,";",REPT(" ",99)),1,99)))+1,999),FIND(":",MID(TRIM(MID(SUBSTITUTE(K10,";",REPT(" ",99)),1,99)),FIND(":",TRIM(MID(SUBSTITUTE(K10,";",REPT(" ",99)),1,99)))+1,999))-1),_Lookup!$A:$B,2,FALSE),"?")&amp;"×"&amp;LEFT(MID(MID(TRIM(MID(SUBSTITUTE(K10,";",REPT(" ",99)),1,99)),FIND(":",TRIM(MID(SUBSTITUTE(K10,";",REPT(" ",99)),1,99)))+1,999),FIND(":",MID(TRIM(MID(SUBSTITUTE(K10,";",REPT(" ",99)),1,99)),FIND(":",TRIM(MID(SUBSTITUTE(K10,";",REPT(" ",99)),1,99)))+1,999))+1,999),FIND(":",MID(MID(TRIM(MID(SUBSTITUTE(K10,";",REPT(" ",99)),1,99)),FIND(":",TRIM(MID(SUBSTITUTE(K10,";",REPT(" ",99)),1,99)))+1,999),FIND(":",MID(TRIM(MID(SUBSTITUTE(K10,";",REPT(" ",99)),1,99)),FIND(":",TRIM(MID(SUBSTITUTE(K10,";",REPT(" ",99)),1,99)))+1,999))+1,999))-1)),IF(TRIM(MID(SUBSTITUTE(K10,";",REPT(" ",99)),100,99))="","",IFERROR(VLOOKUP(--LEFT(MID(TRIM(MID(SUBSTITUTE(K10,";",REPT(" ",99)),100,99)),FIND(":",TRIM(MID(SUBSTITUTE(K10,";",REPT(" ",99)),100,99)))+1,999),FIND(":",MID(TRIM(MID(SUBSTITUTE(K10,";",REPT(" ",99)),100,99)),FIND(":",TRIM(MID(SUBSTITUTE(K10,";",REPT(" ",99)),100,99)))+1,999))-1),_Lookup!$A:$B,2,FALSE),"?")&amp;"×"&amp;LEFT(MID(MID(TRIM(MID(SUBSTITUTE(K10,";",REPT(" ",99)),100,99)),FIND(":",TRIM(MID(SUBSTITUTE(K10,";",REPT(" ",99)),100,99)))+1,999),FIND(":",MID(TRIM(MID(SUBSTITUTE(K10,";",REPT(" ",99)),100,99)),FIND(":",TRIM(MID(SUBSTITUTE(K10,";",REPT(" ",99)),100,99)))+1,999))+1,999),FIND(":",MID(MID(TRIM(MID(SUBSTITUTE(K10,";",REPT(" ",99)),100,99)),FIND(":",TRIM(MID(SUBSTITUTE(K10,";",REPT(" ",99)),100,99)))+1,999),FIND(":",MID(TRIM(MID(SUBSTITUTE(K10,";",REPT(" ",99)),100,99)),FIND(":",TRIM(MID(SUBSTITUTE(K10,";",REPT(" ",99)),100,99)))+1,999))+1,999))-1)),IF(TRIM(MID(SUBSTITUTE(K10,";",REPT(" ",99)),199,99))="","",IFERROR(VLOOKUP(--LEFT(MID(TRIM(MID(SUBSTITUTE(K10,";",REPT(" ",99)),199,99)),FIND(":",TRIM(MID(SUBSTITUTE(K10,";",REPT(" ",99)),199,99)))+1,999),FIND(":",MID(TRIM(MID(SUBSTITUTE(K10,";",REPT(" ",99)),199,99)),FIND(":",TRIM(MID(SUBSTITUTE(K10,";",REPT(" ",99)),199,99)))+1,999))-1),_Lookup!$A:$B,2,FALSE),"?")&amp;"×"&amp;LEFT(MID(MID(TRIM(MID(SUBSTITUTE(K10,";",REPT(" ",99)),199,99)),FIND(":",TRIM(MID(SUBSTITUTE(K10,";",REPT(" ",99)),199,99)))+1,999),FIND(":",MID(TRIM(MID(SUBSTITUTE(K10,";",REPT(" ",99)),199,99)),FIND(":",TRIM(MID(SUBSTITUTE(K10,";",REPT(" ",99)),199,99)))+1,999))+1,999),FIND(":",MID(MID(TRIM(MID(SUBSTITUTE(K10,";",REPT(" ",99)),199,99)),FIND(":",TRIM(MID(SUBSTITUTE(K10,";",REPT(" ",99)),199,99)))+1,999),FIND(":",MID(TRIM(MID(SUBSTITUTE(K10,";",REPT(" ",99)),199,99)),FIND(":",TRIM(MID(SUBSTITUTE(K10,";",REPT(" ",99)),199,99)))+1,999))+1,999))-1)),IF(TRIM(MID(SUBSTITUTE(K10,";",REPT(" ",99)),298,99))="","",IFERROR(VLOOKUP(--LEFT(MID(TRIM(MID(SUBSTITUTE(K10,";",REPT(" ",99)),298,99)),FIND(":",TRIM(MID(SUBSTITUTE(K10,";",REPT(" ",99)),298,99)))+1,999),FIND(":",MID(TRIM(MID(SUBSTITUTE(K10,";",REPT(" ",99)),298,99)),FIND(":",TRIM(MID(SUBSTITUTE(K10,";",REPT(" ",99)),298,99)))+1,999))-1),_Lookup!$A:$B,2,FALSE),"?")&amp;"×"&amp;LEFT(MID(MID(TRIM(MID(SUBSTITUTE(K10,";",REPT(" ",99)),298,99)),FIND(":",TRIM(MID(SUBSTITUTE(K10,";",REPT(" ",99)),298,99)))+1,999),FIND(":",MID(TRIM(MID(SUBSTITUTE(K10,";",REPT(" ",99)),298,99)),FIND(":",TRIM(MID(SUBSTITUTE(K10,";",REPT(" ",99)),298,99)))+1,999))+1,999),FIND(":",MID(MID(TRIM(MID(SUBSTITUTE(K10,";",REPT(" ",99)),298,99)),FIND(":",TRIM(MID(SUBSTITUTE(K10,";",REPT(" ",99)),298,99)))+1,999),FIND(":",MID(TRIM(MID(SUBSTITUTE(K10,";",REPT(" ",99)),298,99)),FIND(":",TRIM(MID(SUBSTITUTE(K10,";",REPT(" ",99)),298,99)))+1,999))+1,999))-1)),IF(TRIM(MID(SUBSTITUTE(K10,";",REPT(" ",99)),397,99))="","",IFERROR(VLOOKUP(--LEFT(MID(TRIM(MID(SUBSTITUTE(K10,";",REPT(" ",99)),397,99)),FIND(":",TRIM(MID(SUBSTITUTE(K10,";",REPT(" ",99)),397,99)))+1,999),FIND(":",MID(TRIM(MID(SUBSTITUTE(K10,";",REPT(" ",99)),397,99)),FIND(":",TRIM(MID(SUBSTITUTE(K10,";",REPT(" ",99)),397,99)))+1,999))-1),_Lookup!$A:$B,2,FALSE),"?")&amp;"×"&amp;LEFT(MID(MID(TRIM(MID(SUBSTITUTE(K10,";",REPT(" ",99)),397,99)),FIND(":",TRIM(MID(SUBSTITUTE(K10,";",REPT(" ",99)),397,99)))+1,999),FIND(":",MID(TRIM(MID(SUBSTITUTE(K10,";",REPT(" ",99)),397,99)),FIND(":",TRIM(MID(SUBSTITUTE(K10,";",REPT(" ",99)),397,99)))+1,999))+1,999),FIND(":",MID(MID(TRIM(MID(SUBSTITUTE(K10,";",REPT(" ",99)),397,99)),FIND(":",TRIM(MID(SUBSTITUTE(K10,";",REPT(" ",99)),397,99)))+1,999),FIND(":",MID(TRIM(MID(SUBSTITUTE(K10,";",REPT(" ",99)),397,99)),FIND(":",TRIM(MID(SUBSTITUTE(K10,";",REPT(" ",99)),397,99)))+1,999))+1,999))-1))))</f>
        <v/>
      </c>
    </row>
    <row r="11">
      <c r="D11" s="11">
        <f>IFERROR(VLOOKUP(C11,ItemData_Fish!$A:$B,2,FALSE),"")</f>
        <v/>
      </c>
      <c r="L11" s="11">
        <f>IF(K11="","",TEXTJOIN("; ",TRUE,IF(TRIM(MID(SUBSTITUTE(K11,";",REPT(" ",99)),1,99))="","",IFERROR(VLOOKUP(--LEFT(MID(TRIM(MID(SUBSTITUTE(K11,";",REPT(" ",99)),1,99)),FIND(":",TRIM(MID(SUBSTITUTE(K11,";",REPT(" ",99)),1,99)))+1,999),FIND(":",MID(TRIM(MID(SUBSTITUTE(K11,";",REPT(" ",99)),1,99)),FIND(":",TRIM(MID(SUBSTITUTE(K11,";",REPT(" ",99)),1,99)))+1,999))-1),_Lookup!$A:$B,2,FALSE),"?")&amp;"×"&amp;LEFT(MID(MID(TRIM(MID(SUBSTITUTE(K11,";",REPT(" ",99)),1,99)),FIND(":",TRIM(MID(SUBSTITUTE(K11,";",REPT(" ",99)),1,99)))+1,999),FIND(":",MID(TRIM(MID(SUBSTITUTE(K11,";",REPT(" ",99)),1,99)),FIND(":",TRIM(MID(SUBSTITUTE(K11,";",REPT(" ",99)),1,99)))+1,999))+1,999),FIND(":",MID(MID(TRIM(MID(SUBSTITUTE(K11,";",REPT(" ",99)),1,99)),FIND(":",TRIM(MID(SUBSTITUTE(K11,";",REPT(" ",99)),1,99)))+1,999),FIND(":",MID(TRIM(MID(SUBSTITUTE(K11,";",REPT(" ",99)),1,99)),FIND(":",TRIM(MID(SUBSTITUTE(K11,";",REPT(" ",99)),1,99)))+1,999))+1,999))-1)),IF(TRIM(MID(SUBSTITUTE(K11,";",REPT(" ",99)),100,99))="","",IFERROR(VLOOKUP(--LEFT(MID(TRIM(MID(SUBSTITUTE(K11,";",REPT(" ",99)),100,99)),FIND(":",TRIM(MID(SUBSTITUTE(K11,";",REPT(" ",99)),100,99)))+1,999),FIND(":",MID(TRIM(MID(SUBSTITUTE(K11,";",REPT(" ",99)),100,99)),FIND(":",TRIM(MID(SUBSTITUTE(K11,";",REPT(" ",99)),100,99)))+1,999))-1),_Lookup!$A:$B,2,FALSE),"?")&amp;"×"&amp;LEFT(MID(MID(TRIM(MID(SUBSTITUTE(K11,";",REPT(" ",99)),100,99)),FIND(":",TRIM(MID(SUBSTITUTE(K11,";",REPT(" ",99)),100,99)))+1,999),FIND(":",MID(TRIM(MID(SUBSTITUTE(K11,";",REPT(" ",99)),100,99)),FIND(":",TRIM(MID(SUBSTITUTE(K11,";",REPT(" ",99)),100,99)))+1,999))+1,999),FIND(":",MID(MID(TRIM(MID(SUBSTITUTE(K11,";",REPT(" ",99)),100,99)),FIND(":",TRIM(MID(SUBSTITUTE(K11,";",REPT(" ",99)),100,99)))+1,999),FIND(":",MID(TRIM(MID(SUBSTITUTE(K11,";",REPT(" ",99)),100,99)),FIND(":",TRIM(MID(SUBSTITUTE(K11,";",REPT(" ",99)),100,99)))+1,999))+1,999))-1)),IF(TRIM(MID(SUBSTITUTE(K11,";",REPT(" ",99)),199,99))="","",IFERROR(VLOOKUP(--LEFT(MID(TRIM(MID(SUBSTITUTE(K11,";",REPT(" ",99)),199,99)),FIND(":",TRIM(MID(SUBSTITUTE(K11,";",REPT(" ",99)),199,99)))+1,999),FIND(":",MID(TRIM(MID(SUBSTITUTE(K11,";",REPT(" ",99)),199,99)),FIND(":",TRIM(MID(SUBSTITUTE(K11,";",REPT(" ",99)),199,99)))+1,999))-1),_Lookup!$A:$B,2,FALSE),"?")&amp;"×"&amp;LEFT(MID(MID(TRIM(MID(SUBSTITUTE(K11,";",REPT(" ",99)),199,99)),FIND(":",TRIM(MID(SUBSTITUTE(K11,";",REPT(" ",99)),199,99)))+1,999),FIND(":",MID(TRIM(MID(SUBSTITUTE(K11,";",REPT(" ",99)),199,99)),FIND(":",TRIM(MID(SUBSTITUTE(K11,";",REPT(" ",99)),199,99)))+1,999))+1,999),FIND(":",MID(MID(TRIM(MID(SUBSTITUTE(K11,";",REPT(" ",99)),199,99)),FIND(":",TRIM(MID(SUBSTITUTE(K11,";",REPT(" ",99)),199,99)))+1,999),FIND(":",MID(TRIM(MID(SUBSTITUTE(K11,";",REPT(" ",99)),199,99)),FIND(":",TRIM(MID(SUBSTITUTE(K11,";",REPT(" ",99)),199,99)))+1,999))+1,999))-1)),IF(TRIM(MID(SUBSTITUTE(K11,";",REPT(" ",99)),298,99))="","",IFERROR(VLOOKUP(--LEFT(MID(TRIM(MID(SUBSTITUTE(K11,";",REPT(" ",99)),298,99)),FIND(":",TRIM(MID(SUBSTITUTE(K11,";",REPT(" ",99)),298,99)))+1,999),FIND(":",MID(TRIM(MID(SUBSTITUTE(K11,";",REPT(" ",99)),298,99)),FIND(":",TRIM(MID(SUBSTITUTE(K11,";",REPT(" ",99)),298,99)))+1,999))-1),_Lookup!$A:$B,2,FALSE),"?")&amp;"×"&amp;LEFT(MID(MID(TRIM(MID(SUBSTITUTE(K11,";",REPT(" ",99)),298,99)),FIND(":",TRIM(MID(SUBSTITUTE(K11,";",REPT(" ",99)),298,99)))+1,999),FIND(":",MID(TRIM(MID(SUBSTITUTE(K11,";",REPT(" ",99)),298,99)),FIND(":",TRIM(MID(SUBSTITUTE(K11,";",REPT(" ",99)),298,99)))+1,999))+1,999),FIND(":",MID(MID(TRIM(MID(SUBSTITUTE(K11,";",REPT(" ",99)),298,99)),FIND(":",TRIM(MID(SUBSTITUTE(K11,";",REPT(" ",99)),298,99)))+1,999),FIND(":",MID(TRIM(MID(SUBSTITUTE(K11,";",REPT(" ",99)),298,99)),FIND(":",TRIM(MID(SUBSTITUTE(K11,";",REPT(" ",99)),298,99)))+1,999))+1,999))-1)),IF(TRIM(MID(SUBSTITUTE(K11,";",REPT(" ",99)),397,99))="","",IFERROR(VLOOKUP(--LEFT(MID(TRIM(MID(SUBSTITUTE(K11,";",REPT(" ",99)),397,99)),FIND(":",TRIM(MID(SUBSTITUTE(K11,";",REPT(" ",99)),397,99)))+1,999),FIND(":",MID(TRIM(MID(SUBSTITUTE(K11,";",REPT(" ",99)),397,99)),FIND(":",TRIM(MID(SUBSTITUTE(K11,";",REPT(" ",99)),397,99)))+1,999))-1),_Lookup!$A:$B,2,FALSE),"?")&amp;"×"&amp;LEFT(MID(MID(TRIM(MID(SUBSTITUTE(K11,";",REPT(" ",99)),397,99)),FIND(":",TRIM(MID(SUBSTITUTE(K11,";",REPT(" ",99)),397,99)))+1,999),FIND(":",MID(TRIM(MID(SUBSTITUTE(K11,";",REPT(" ",99)),397,99)),FIND(":",TRIM(MID(SUBSTITUTE(K11,";",REPT(" ",99)),397,99)))+1,999))+1,999),FIND(":",MID(MID(TRIM(MID(SUBSTITUTE(K11,";",REPT(" ",99)),397,99)),FIND(":",TRIM(MID(SUBSTITUTE(K11,";",REPT(" ",99)),397,99)))+1,999),FIND(":",MID(TRIM(MID(SUBSTITUTE(K11,";",REPT(" ",99)),397,99)),FIND(":",TRIM(MID(SUBSTITUTE(K11,";",REPT(" ",99)),397,99)))+1,999))+1,999))-1))))</f>
        <v/>
      </c>
    </row>
    <row r="12">
      <c r="D12" s="11">
        <f>IFERROR(VLOOKUP(C12,ItemData_Fish!$A:$B,2,FALSE),"")</f>
        <v/>
      </c>
      <c r="L12" s="11">
        <f>IF(K12="","",TEXTJOIN("; ",TRUE,IF(TRIM(MID(SUBSTITUTE(K12,";",REPT(" ",99)),1,99))="","",IFERROR(VLOOKUP(--LEFT(MID(TRIM(MID(SUBSTITUTE(K12,";",REPT(" ",99)),1,99)),FIND(":",TRIM(MID(SUBSTITUTE(K12,";",REPT(" ",99)),1,99)))+1,999),FIND(":",MID(TRIM(MID(SUBSTITUTE(K12,";",REPT(" ",99)),1,99)),FIND(":",TRIM(MID(SUBSTITUTE(K12,";",REPT(" ",99)),1,99)))+1,999))-1),_Lookup!$A:$B,2,FALSE),"?")&amp;"×"&amp;LEFT(MID(MID(TRIM(MID(SUBSTITUTE(K12,";",REPT(" ",99)),1,99)),FIND(":",TRIM(MID(SUBSTITUTE(K12,";",REPT(" ",99)),1,99)))+1,999),FIND(":",MID(TRIM(MID(SUBSTITUTE(K12,";",REPT(" ",99)),1,99)),FIND(":",TRIM(MID(SUBSTITUTE(K12,";",REPT(" ",99)),1,99)))+1,999))+1,999),FIND(":",MID(MID(TRIM(MID(SUBSTITUTE(K12,";",REPT(" ",99)),1,99)),FIND(":",TRIM(MID(SUBSTITUTE(K12,";",REPT(" ",99)),1,99)))+1,999),FIND(":",MID(TRIM(MID(SUBSTITUTE(K12,";",REPT(" ",99)),1,99)),FIND(":",TRIM(MID(SUBSTITUTE(K12,";",REPT(" ",99)),1,99)))+1,999))+1,999))-1)),IF(TRIM(MID(SUBSTITUTE(K12,";",REPT(" ",99)),100,99))="","",IFERROR(VLOOKUP(--LEFT(MID(TRIM(MID(SUBSTITUTE(K12,";",REPT(" ",99)),100,99)),FIND(":",TRIM(MID(SUBSTITUTE(K12,";",REPT(" ",99)),100,99)))+1,999),FIND(":",MID(TRIM(MID(SUBSTITUTE(K12,";",REPT(" ",99)),100,99)),FIND(":",TRIM(MID(SUBSTITUTE(K12,";",REPT(" ",99)),100,99)))+1,999))-1),_Lookup!$A:$B,2,FALSE),"?")&amp;"×"&amp;LEFT(MID(MID(TRIM(MID(SUBSTITUTE(K12,";",REPT(" ",99)),100,99)),FIND(":",TRIM(MID(SUBSTITUTE(K12,";",REPT(" ",99)),100,99)))+1,999),FIND(":",MID(TRIM(MID(SUBSTITUTE(K12,";",REPT(" ",99)),100,99)),FIND(":",TRIM(MID(SUBSTITUTE(K12,";",REPT(" ",99)),100,99)))+1,999))+1,999),FIND(":",MID(MID(TRIM(MID(SUBSTITUTE(K12,";",REPT(" ",99)),100,99)),FIND(":",TRIM(MID(SUBSTITUTE(K12,";",REPT(" ",99)),100,99)))+1,999),FIND(":",MID(TRIM(MID(SUBSTITUTE(K12,";",REPT(" ",99)),100,99)),FIND(":",TRIM(MID(SUBSTITUTE(K12,";",REPT(" ",99)),100,99)))+1,999))+1,999))-1)),IF(TRIM(MID(SUBSTITUTE(K12,";",REPT(" ",99)),199,99))="","",IFERROR(VLOOKUP(--LEFT(MID(TRIM(MID(SUBSTITUTE(K12,";",REPT(" ",99)),199,99)),FIND(":",TRIM(MID(SUBSTITUTE(K12,";",REPT(" ",99)),199,99)))+1,999),FIND(":",MID(TRIM(MID(SUBSTITUTE(K12,";",REPT(" ",99)),199,99)),FIND(":",TRIM(MID(SUBSTITUTE(K12,";",REPT(" ",99)),199,99)))+1,999))-1),_Lookup!$A:$B,2,FALSE),"?")&amp;"×"&amp;LEFT(MID(MID(TRIM(MID(SUBSTITUTE(K12,";",REPT(" ",99)),199,99)),FIND(":",TRIM(MID(SUBSTITUTE(K12,";",REPT(" ",99)),199,99)))+1,999),FIND(":",MID(TRIM(MID(SUBSTITUTE(K12,";",REPT(" ",99)),199,99)),FIND(":",TRIM(MID(SUBSTITUTE(K12,";",REPT(" ",99)),199,99)))+1,999))+1,999),FIND(":",MID(MID(TRIM(MID(SUBSTITUTE(K12,";",REPT(" ",99)),199,99)),FIND(":",TRIM(MID(SUBSTITUTE(K12,";",REPT(" ",99)),199,99)))+1,999),FIND(":",MID(TRIM(MID(SUBSTITUTE(K12,";",REPT(" ",99)),199,99)),FIND(":",TRIM(MID(SUBSTITUTE(K12,";",REPT(" ",99)),199,99)))+1,999))+1,999))-1)),IF(TRIM(MID(SUBSTITUTE(K12,";",REPT(" ",99)),298,99))="","",IFERROR(VLOOKUP(--LEFT(MID(TRIM(MID(SUBSTITUTE(K12,";",REPT(" ",99)),298,99)),FIND(":",TRIM(MID(SUBSTITUTE(K12,";",REPT(" ",99)),298,99)))+1,999),FIND(":",MID(TRIM(MID(SUBSTITUTE(K12,";",REPT(" ",99)),298,99)),FIND(":",TRIM(MID(SUBSTITUTE(K12,";",REPT(" ",99)),298,99)))+1,999))-1),_Lookup!$A:$B,2,FALSE),"?")&amp;"×"&amp;LEFT(MID(MID(TRIM(MID(SUBSTITUTE(K12,";",REPT(" ",99)),298,99)),FIND(":",TRIM(MID(SUBSTITUTE(K12,";",REPT(" ",99)),298,99)))+1,999),FIND(":",MID(TRIM(MID(SUBSTITUTE(K12,";",REPT(" ",99)),298,99)),FIND(":",TRIM(MID(SUBSTITUTE(K12,";",REPT(" ",99)),298,99)))+1,999))+1,999),FIND(":",MID(MID(TRIM(MID(SUBSTITUTE(K12,";",REPT(" ",99)),298,99)),FIND(":",TRIM(MID(SUBSTITUTE(K12,";",REPT(" ",99)),298,99)))+1,999),FIND(":",MID(TRIM(MID(SUBSTITUTE(K12,";",REPT(" ",99)),298,99)),FIND(":",TRIM(MID(SUBSTITUTE(K12,";",REPT(" ",99)),298,99)))+1,999))+1,999))-1)),IF(TRIM(MID(SUBSTITUTE(K12,";",REPT(" ",99)),397,99))="","",IFERROR(VLOOKUP(--LEFT(MID(TRIM(MID(SUBSTITUTE(K12,";",REPT(" ",99)),397,99)),FIND(":",TRIM(MID(SUBSTITUTE(K12,";",REPT(" ",99)),397,99)))+1,999),FIND(":",MID(TRIM(MID(SUBSTITUTE(K12,";",REPT(" ",99)),397,99)),FIND(":",TRIM(MID(SUBSTITUTE(K12,";",REPT(" ",99)),397,99)))+1,999))-1),_Lookup!$A:$B,2,FALSE),"?")&amp;"×"&amp;LEFT(MID(MID(TRIM(MID(SUBSTITUTE(K12,";",REPT(" ",99)),397,99)),FIND(":",TRIM(MID(SUBSTITUTE(K12,";",REPT(" ",99)),397,99)))+1,999),FIND(":",MID(TRIM(MID(SUBSTITUTE(K12,";",REPT(" ",99)),397,99)),FIND(":",TRIM(MID(SUBSTITUTE(K12,";",REPT(" ",99)),397,99)))+1,999))+1,999),FIND(":",MID(MID(TRIM(MID(SUBSTITUTE(K12,";",REPT(" ",99)),397,99)),FIND(":",TRIM(MID(SUBSTITUTE(K12,";",REPT(" ",99)),397,99)))+1,999),FIND(":",MID(TRIM(MID(SUBSTITUTE(K12,";",REPT(" ",99)),397,99)),FIND(":",TRIM(MID(SUBSTITUTE(K12,";",REPT(" ",99)),397,99)))+1,999))+1,999))-1))))</f>
        <v/>
      </c>
    </row>
    <row r="13">
      <c r="D13" s="11">
        <f>IFERROR(VLOOKUP(C13,ItemData_Fish!$A:$B,2,FALSE),"")</f>
        <v/>
      </c>
      <c r="L13" s="11">
        <f>IF(K13="","",TEXTJOIN("; ",TRUE,IF(TRIM(MID(SUBSTITUTE(K13,";",REPT(" ",99)),1,99))="","",IFERROR(VLOOKUP(--LEFT(MID(TRIM(MID(SUBSTITUTE(K13,";",REPT(" ",99)),1,99)),FIND(":",TRIM(MID(SUBSTITUTE(K13,";",REPT(" ",99)),1,99)))+1,999),FIND(":",MID(TRIM(MID(SUBSTITUTE(K13,";",REPT(" ",99)),1,99)),FIND(":",TRIM(MID(SUBSTITUTE(K13,";",REPT(" ",99)),1,99)))+1,999))-1),_Lookup!$A:$B,2,FALSE),"?")&amp;"×"&amp;LEFT(MID(MID(TRIM(MID(SUBSTITUTE(K13,";",REPT(" ",99)),1,99)),FIND(":",TRIM(MID(SUBSTITUTE(K13,";",REPT(" ",99)),1,99)))+1,999),FIND(":",MID(TRIM(MID(SUBSTITUTE(K13,";",REPT(" ",99)),1,99)),FIND(":",TRIM(MID(SUBSTITUTE(K13,";",REPT(" ",99)),1,99)))+1,999))+1,999),FIND(":",MID(MID(TRIM(MID(SUBSTITUTE(K13,";",REPT(" ",99)),1,99)),FIND(":",TRIM(MID(SUBSTITUTE(K13,";",REPT(" ",99)),1,99)))+1,999),FIND(":",MID(TRIM(MID(SUBSTITUTE(K13,";",REPT(" ",99)),1,99)),FIND(":",TRIM(MID(SUBSTITUTE(K13,";",REPT(" ",99)),1,99)))+1,999))+1,999))-1)),IF(TRIM(MID(SUBSTITUTE(K13,";",REPT(" ",99)),100,99))="","",IFERROR(VLOOKUP(--LEFT(MID(TRIM(MID(SUBSTITUTE(K13,";",REPT(" ",99)),100,99)),FIND(":",TRIM(MID(SUBSTITUTE(K13,";",REPT(" ",99)),100,99)))+1,999),FIND(":",MID(TRIM(MID(SUBSTITUTE(K13,";",REPT(" ",99)),100,99)),FIND(":",TRIM(MID(SUBSTITUTE(K13,";",REPT(" ",99)),100,99)))+1,999))-1),_Lookup!$A:$B,2,FALSE),"?")&amp;"×"&amp;LEFT(MID(MID(TRIM(MID(SUBSTITUTE(K13,";",REPT(" ",99)),100,99)),FIND(":",TRIM(MID(SUBSTITUTE(K13,";",REPT(" ",99)),100,99)))+1,999),FIND(":",MID(TRIM(MID(SUBSTITUTE(K13,";",REPT(" ",99)),100,99)),FIND(":",TRIM(MID(SUBSTITUTE(K13,";",REPT(" ",99)),100,99)))+1,999))+1,999),FIND(":",MID(MID(TRIM(MID(SUBSTITUTE(K13,";",REPT(" ",99)),100,99)),FIND(":",TRIM(MID(SUBSTITUTE(K13,";",REPT(" ",99)),100,99)))+1,999),FIND(":",MID(TRIM(MID(SUBSTITUTE(K13,";",REPT(" ",99)),100,99)),FIND(":",TRIM(MID(SUBSTITUTE(K13,";",REPT(" ",99)),100,99)))+1,999))+1,999))-1)),IF(TRIM(MID(SUBSTITUTE(K13,";",REPT(" ",99)),199,99))="","",IFERROR(VLOOKUP(--LEFT(MID(TRIM(MID(SUBSTITUTE(K13,";",REPT(" ",99)),199,99)),FIND(":",TRIM(MID(SUBSTITUTE(K13,";",REPT(" ",99)),199,99)))+1,999),FIND(":",MID(TRIM(MID(SUBSTITUTE(K13,";",REPT(" ",99)),199,99)),FIND(":",TRIM(MID(SUBSTITUTE(K13,";",REPT(" ",99)),199,99)))+1,999))-1),_Lookup!$A:$B,2,FALSE),"?")&amp;"×"&amp;LEFT(MID(MID(TRIM(MID(SUBSTITUTE(K13,";",REPT(" ",99)),199,99)),FIND(":",TRIM(MID(SUBSTITUTE(K13,";",REPT(" ",99)),199,99)))+1,999),FIND(":",MID(TRIM(MID(SUBSTITUTE(K13,";",REPT(" ",99)),199,99)),FIND(":",TRIM(MID(SUBSTITUTE(K13,";",REPT(" ",99)),199,99)))+1,999))+1,999),FIND(":",MID(MID(TRIM(MID(SUBSTITUTE(K13,";",REPT(" ",99)),199,99)),FIND(":",TRIM(MID(SUBSTITUTE(K13,";",REPT(" ",99)),199,99)))+1,999),FIND(":",MID(TRIM(MID(SUBSTITUTE(K13,";",REPT(" ",99)),199,99)),FIND(":",TRIM(MID(SUBSTITUTE(K13,";",REPT(" ",99)),199,99)))+1,999))+1,999))-1)),IF(TRIM(MID(SUBSTITUTE(K13,";",REPT(" ",99)),298,99))="","",IFERROR(VLOOKUP(--LEFT(MID(TRIM(MID(SUBSTITUTE(K13,";",REPT(" ",99)),298,99)),FIND(":",TRIM(MID(SUBSTITUTE(K13,";",REPT(" ",99)),298,99)))+1,999),FIND(":",MID(TRIM(MID(SUBSTITUTE(K13,";",REPT(" ",99)),298,99)),FIND(":",TRIM(MID(SUBSTITUTE(K13,";",REPT(" ",99)),298,99)))+1,999))-1),_Lookup!$A:$B,2,FALSE),"?")&amp;"×"&amp;LEFT(MID(MID(TRIM(MID(SUBSTITUTE(K13,";",REPT(" ",99)),298,99)),FIND(":",TRIM(MID(SUBSTITUTE(K13,";",REPT(" ",99)),298,99)))+1,999),FIND(":",MID(TRIM(MID(SUBSTITUTE(K13,";",REPT(" ",99)),298,99)),FIND(":",TRIM(MID(SUBSTITUTE(K13,";",REPT(" ",99)),298,99)))+1,999))+1,999),FIND(":",MID(MID(TRIM(MID(SUBSTITUTE(K13,";",REPT(" ",99)),298,99)),FIND(":",TRIM(MID(SUBSTITUTE(K13,";",REPT(" ",99)),298,99)))+1,999),FIND(":",MID(TRIM(MID(SUBSTITUTE(K13,";",REPT(" ",99)),298,99)),FIND(":",TRIM(MID(SUBSTITUTE(K13,";",REPT(" ",99)),298,99)))+1,999))+1,999))-1)),IF(TRIM(MID(SUBSTITUTE(K13,";",REPT(" ",99)),397,99))="","",IFERROR(VLOOKUP(--LEFT(MID(TRIM(MID(SUBSTITUTE(K13,";",REPT(" ",99)),397,99)),FIND(":",TRIM(MID(SUBSTITUTE(K13,";",REPT(" ",99)),397,99)))+1,999),FIND(":",MID(TRIM(MID(SUBSTITUTE(K13,";",REPT(" ",99)),397,99)),FIND(":",TRIM(MID(SUBSTITUTE(K13,";",REPT(" ",99)),397,99)))+1,999))-1),_Lookup!$A:$B,2,FALSE),"?")&amp;"×"&amp;LEFT(MID(MID(TRIM(MID(SUBSTITUTE(K13,";",REPT(" ",99)),397,99)),FIND(":",TRIM(MID(SUBSTITUTE(K13,";",REPT(" ",99)),397,99)))+1,999),FIND(":",MID(TRIM(MID(SUBSTITUTE(K13,";",REPT(" ",99)),397,99)),FIND(":",TRIM(MID(SUBSTITUTE(K13,";",REPT(" ",99)),397,99)))+1,999))+1,999),FIND(":",MID(MID(TRIM(MID(SUBSTITUTE(K13,";",REPT(" ",99)),397,99)),FIND(":",TRIM(MID(SUBSTITUTE(K13,";",REPT(" ",99)),397,99)))+1,999),FIND(":",MID(TRIM(MID(SUBSTITUTE(K13,";",REPT(" ",99)),397,99)),FIND(":",TRIM(MID(SUBSTITUTE(K13,";",REPT(" ",99)),397,99)))+1,999))+1,999))-1))))</f>
        <v/>
      </c>
    </row>
    <row r="14">
      <c r="D14" s="11">
        <f>IFERROR(VLOOKUP(C14,ItemData_Fish!$A:$B,2,FALSE),"")</f>
        <v/>
      </c>
      <c r="L14" s="11">
        <f>IF(K14="","",TEXTJOIN("; ",TRUE,IF(TRIM(MID(SUBSTITUTE(K14,";",REPT(" ",99)),1,99))="","",IFERROR(VLOOKUP(--LEFT(MID(TRIM(MID(SUBSTITUTE(K14,";",REPT(" ",99)),1,99)),FIND(":",TRIM(MID(SUBSTITUTE(K14,";",REPT(" ",99)),1,99)))+1,999),FIND(":",MID(TRIM(MID(SUBSTITUTE(K14,";",REPT(" ",99)),1,99)),FIND(":",TRIM(MID(SUBSTITUTE(K14,";",REPT(" ",99)),1,99)))+1,999))-1),_Lookup!$A:$B,2,FALSE),"?")&amp;"×"&amp;LEFT(MID(MID(TRIM(MID(SUBSTITUTE(K14,";",REPT(" ",99)),1,99)),FIND(":",TRIM(MID(SUBSTITUTE(K14,";",REPT(" ",99)),1,99)))+1,999),FIND(":",MID(TRIM(MID(SUBSTITUTE(K14,";",REPT(" ",99)),1,99)),FIND(":",TRIM(MID(SUBSTITUTE(K14,";",REPT(" ",99)),1,99)))+1,999))+1,999),FIND(":",MID(MID(TRIM(MID(SUBSTITUTE(K14,";",REPT(" ",99)),1,99)),FIND(":",TRIM(MID(SUBSTITUTE(K14,";",REPT(" ",99)),1,99)))+1,999),FIND(":",MID(TRIM(MID(SUBSTITUTE(K14,";",REPT(" ",99)),1,99)),FIND(":",TRIM(MID(SUBSTITUTE(K14,";",REPT(" ",99)),1,99)))+1,999))+1,999))-1)),IF(TRIM(MID(SUBSTITUTE(K14,";",REPT(" ",99)),100,99))="","",IFERROR(VLOOKUP(--LEFT(MID(TRIM(MID(SUBSTITUTE(K14,";",REPT(" ",99)),100,99)),FIND(":",TRIM(MID(SUBSTITUTE(K14,";",REPT(" ",99)),100,99)))+1,999),FIND(":",MID(TRIM(MID(SUBSTITUTE(K14,";",REPT(" ",99)),100,99)),FIND(":",TRIM(MID(SUBSTITUTE(K14,";",REPT(" ",99)),100,99)))+1,999))-1),_Lookup!$A:$B,2,FALSE),"?")&amp;"×"&amp;LEFT(MID(MID(TRIM(MID(SUBSTITUTE(K14,";",REPT(" ",99)),100,99)),FIND(":",TRIM(MID(SUBSTITUTE(K14,";",REPT(" ",99)),100,99)))+1,999),FIND(":",MID(TRIM(MID(SUBSTITUTE(K14,";",REPT(" ",99)),100,99)),FIND(":",TRIM(MID(SUBSTITUTE(K14,";",REPT(" ",99)),100,99)))+1,999))+1,999),FIND(":",MID(MID(TRIM(MID(SUBSTITUTE(K14,";",REPT(" ",99)),100,99)),FIND(":",TRIM(MID(SUBSTITUTE(K14,";",REPT(" ",99)),100,99)))+1,999),FIND(":",MID(TRIM(MID(SUBSTITUTE(K14,";",REPT(" ",99)),100,99)),FIND(":",TRIM(MID(SUBSTITUTE(K14,";",REPT(" ",99)),100,99)))+1,999))+1,999))-1)),IF(TRIM(MID(SUBSTITUTE(K14,";",REPT(" ",99)),199,99))="","",IFERROR(VLOOKUP(--LEFT(MID(TRIM(MID(SUBSTITUTE(K14,";",REPT(" ",99)),199,99)),FIND(":",TRIM(MID(SUBSTITUTE(K14,";",REPT(" ",99)),199,99)))+1,999),FIND(":",MID(TRIM(MID(SUBSTITUTE(K14,";",REPT(" ",99)),199,99)),FIND(":",TRIM(MID(SUBSTITUTE(K14,";",REPT(" ",99)),199,99)))+1,999))-1),_Lookup!$A:$B,2,FALSE),"?")&amp;"×"&amp;LEFT(MID(MID(TRIM(MID(SUBSTITUTE(K14,";",REPT(" ",99)),199,99)),FIND(":",TRIM(MID(SUBSTITUTE(K14,";",REPT(" ",99)),199,99)))+1,999),FIND(":",MID(TRIM(MID(SUBSTITUTE(K14,";",REPT(" ",99)),199,99)),FIND(":",TRIM(MID(SUBSTITUTE(K14,";",REPT(" ",99)),199,99)))+1,999))+1,999),FIND(":",MID(MID(TRIM(MID(SUBSTITUTE(K14,";",REPT(" ",99)),199,99)),FIND(":",TRIM(MID(SUBSTITUTE(K14,";",REPT(" ",99)),199,99)))+1,999),FIND(":",MID(TRIM(MID(SUBSTITUTE(K14,";",REPT(" ",99)),199,99)),FIND(":",TRIM(MID(SUBSTITUTE(K14,";",REPT(" ",99)),199,99)))+1,999))+1,999))-1)),IF(TRIM(MID(SUBSTITUTE(K14,";",REPT(" ",99)),298,99))="","",IFERROR(VLOOKUP(--LEFT(MID(TRIM(MID(SUBSTITUTE(K14,";",REPT(" ",99)),298,99)),FIND(":",TRIM(MID(SUBSTITUTE(K14,";",REPT(" ",99)),298,99)))+1,999),FIND(":",MID(TRIM(MID(SUBSTITUTE(K14,";",REPT(" ",99)),298,99)),FIND(":",TRIM(MID(SUBSTITUTE(K14,";",REPT(" ",99)),298,99)))+1,999))-1),_Lookup!$A:$B,2,FALSE),"?")&amp;"×"&amp;LEFT(MID(MID(TRIM(MID(SUBSTITUTE(K14,";",REPT(" ",99)),298,99)),FIND(":",TRIM(MID(SUBSTITUTE(K14,";",REPT(" ",99)),298,99)))+1,999),FIND(":",MID(TRIM(MID(SUBSTITUTE(K14,";",REPT(" ",99)),298,99)),FIND(":",TRIM(MID(SUBSTITUTE(K14,";",REPT(" ",99)),298,99)))+1,999))+1,999),FIND(":",MID(MID(TRIM(MID(SUBSTITUTE(K14,";",REPT(" ",99)),298,99)),FIND(":",TRIM(MID(SUBSTITUTE(K14,";",REPT(" ",99)),298,99)))+1,999),FIND(":",MID(TRIM(MID(SUBSTITUTE(K14,";",REPT(" ",99)),298,99)),FIND(":",TRIM(MID(SUBSTITUTE(K14,";",REPT(" ",99)),298,99)))+1,999))+1,999))-1)),IF(TRIM(MID(SUBSTITUTE(K14,";",REPT(" ",99)),397,99))="","",IFERROR(VLOOKUP(--LEFT(MID(TRIM(MID(SUBSTITUTE(K14,";",REPT(" ",99)),397,99)),FIND(":",TRIM(MID(SUBSTITUTE(K14,";",REPT(" ",99)),397,99)))+1,999),FIND(":",MID(TRIM(MID(SUBSTITUTE(K14,";",REPT(" ",99)),397,99)),FIND(":",TRIM(MID(SUBSTITUTE(K14,";",REPT(" ",99)),397,99)))+1,999))-1),_Lookup!$A:$B,2,FALSE),"?")&amp;"×"&amp;LEFT(MID(MID(TRIM(MID(SUBSTITUTE(K14,";",REPT(" ",99)),397,99)),FIND(":",TRIM(MID(SUBSTITUTE(K14,";",REPT(" ",99)),397,99)))+1,999),FIND(":",MID(TRIM(MID(SUBSTITUTE(K14,";",REPT(" ",99)),397,99)),FIND(":",TRIM(MID(SUBSTITUTE(K14,";",REPT(" ",99)),397,99)))+1,999))+1,999),FIND(":",MID(MID(TRIM(MID(SUBSTITUTE(K14,";",REPT(" ",99)),397,99)),FIND(":",TRIM(MID(SUBSTITUTE(K14,";",REPT(" ",99)),397,99)))+1,999),FIND(":",MID(TRIM(MID(SUBSTITUTE(K14,";",REPT(" ",99)),397,99)),FIND(":",TRIM(MID(SUBSTITUTE(K14,";",REPT(" ",99)),397,99)))+1,999))+1,999))-1))))</f>
        <v/>
      </c>
    </row>
    <row r="15">
      <c r="D15" s="11">
        <f>IFERROR(VLOOKUP(C15,ItemData_Fish!$A:$B,2,FALSE),"")</f>
        <v/>
      </c>
      <c r="L15" s="11">
        <f>IF(K15="","",TEXTJOIN("; ",TRUE,IF(TRIM(MID(SUBSTITUTE(K15,";",REPT(" ",99)),1,99))="","",IFERROR(VLOOKUP(--LEFT(MID(TRIM(MID(SUBSTITUTE(K15,";",REPT(" ",99)),1,99)),FIND(":",TRIM(MID(SUBSTITUTE(K15,";",REPT(" ",99)),1,99)))+1,999),FIND(":",MID(TRIM(MID(SUBSTITUTE(K15,";",REPT(" ",99)),1,99)),FIND(":",TRIM(MID(SUBSTITUTE(K15,";",REPT(" ",99)),1,99)))+1,999))-1),_Lookup!$A:$B,2,FALSE),"?")&amp;"×"&amp;LEFT(MID(MID(TRIM(MID(SUBSTITUTE(K15,";",REPT(" ",99)),1,99)),FIND(":",TRIM(MID(SUBSTITUTE(K15,";",REPT(" ",99)),1,99)))+1,999),FIND(":",MID(TRIM(MID(SUBSTITUTE(K15,";",REPT(" ",99)),1,99)),FIND(":",TRIM(MID(SUBSTITUTE(K15,";",REPT(" ",99)),1,99)))+1,999))+1,999),FIND(":",MID(MID(TRIM(MID(SUBSTITUTE(K15,";",REPT(" ",99)),1,99)),FIND(":",TRIM(MID(SUBSTITUTE(K15,";",REPT(" ",99)),1,99)))+1,999),FIND(":",MID(TRIM(MID(SUBSTITUTE(K15,";",REPT(" ",99)),1,99)),FIND(":",TRIM(MID(SUBSTITUTE(K15,";",REPT(" ",99)),1,99)))+1,999))+1,999))-1)),IF(TRIM(MID(SUBSTITUTE(K15,";",REPT(" ",99)),100,99))="","",IFERROR(VLOOKUP(--LEFT(MID(TRIM(MID(SUBSTITUTE(K15,";",REPT(" ",99)),100,99)),FIND(":",TRIM(MID(SUBSTITUTE(K15,";",REPT(" ",99)),100,99)))+1,999),FIND(":",MID(TRIM(MID(SUBSTITUTE(K15,";",REPT(" ",99)),100,99)),FIND(":",TRIM(MID(SUBSTITUTE(K15,";",REPT(" ",99)),100,99)))+1,999))-1),_Lookup!$A:$B,2,FALSE),"?")&amp;"×"&amp;LEFT(MID(MID(TRIM(MID(SUBSTITUTE(K15,";",REPT(" ",99)),100,99)),FIND(":",TRIM(MID(SUBSTITUTE(K15,";",REPT(" ",99)),100,99)))+1,999),FIND(":",MID(TRIM(MID(SUBSTITUTE(K15,";",REPT(" ",99)),100,99)),FIND(":",TRIM(MID(SUBSTITUTE(K15,";",REPT(" ",99)),100,99)))+1,999))+1,999),FIND(":",MID(MID(TRIM(MID(SUBSTITUTE(K15,";",REPT(" ",99)),100,99)),FIND(":",TRIM(MID(SUBSTITUTE(K15,";",REPT(" ",99)),100,99)))+1,999),FIND(":",MID(TRIM(MID(SUBSTITUTE(K15,";",REPT(" ",99)),100,99)),FIND(":",TRIM(MID(SUBSTITUTE(K15,";",REPT(" ",99)),100,99)))+1,999))+1,999))-1)),IF(TRIM(MID(SUBSTITUTE(K15,";",REPT(" ",99)),199,99))="","",IFERROR(VLOOKUP(--LEFT(MID(TRIM(MID(SUBSTITUTE(K15,";",REPT(" ",99)),199,99)),FIND(":",TRIM(MID(SUBSTITUTE(K15,";",REPT(" ",99)),199,99)))+1,999),FIND(":",MID(TRIM(MID(SUBSTITUTE(K15,";",REPT(" ",99)),199,99)),FIND(":",TRIM(MID(SUBSTITUTE(K15,";",REPT(" ",99)),199,99)))+1,999))-1),_Lookup!$A:$B,2,FALSE),"?")&amp;"×"&amp;LEFT(MID(MID(TRIM(MID(SUBSTITUTE(K15,";",REPT(" ",99)),199,99)),FIND(":",TRIM(MID(SUBSTITUTE(K15,";",REPT(" ",99)),199,99)))+1,999),FIND(":",MID(TRIM(MID(SUBSTITUTE(K15,";",REPT(" ",99)),199,99)),FIND(":",TRIM(MID(SUBSTITUTE(K15,";",REPT(" ",99)),199,99)))+1,999))+1,999),FIND(":",MID(MID(TRIM(MID(SUBSTITUTE(K15,";",REPT(" ",99)),199,99)),FIND(":",TRIM(MID(SUBSTITUTE(K15,";",REPT(" ",99)),199,99)))+1,999),FIND(":",MID(TRIM(MID(SUBSTITUTE(K15,";",REPT(" ",99)),199,99)),FIND(":",TRIM(MID(SUBSTITUTE(K15,";",REPT(" ",99)),199,99)))+1,999))+1,999))-1)),IF(TRIM(MID(SUBSTITUTE(K15,";",REPT(" ",99)),298,99))="","",IFERROR(VLOOKUP(--LEFT(MID(TRIM(MID(SUBSTITUTE(K15,";",REPT(" ",99)),298,99)),FIND(":",TRIM(MID(SUBSTITUTE(K15,";",REPT(" ",99)),298,99)))+1,999),FIND(":",MID(TRIM(MID(SUBSTITUTE(K15,";",REPT(" ",99)),298,99)),FIND(":",TRIM(MID(SUBSTITUTE(K15,";",REPT(" ",99)),298,99)))+1,999))-1),_Lookup!$A:$B,2,FALSE),"?")&amp;"×"&amp;LEFT(MID(MID(TRIM(MID(SUBSTITUTE(K15,";",REPT(" ",99)),298,99)),FIND(":",TRIM(MID(SUBSTITUTE(K15,";",REPT(" ",99)),298,99)))+1,999),FIND(":",MID(TRIM(MID(SUBSTITUTE(K15,";",REPT(" ",99)),298,99)),FIND(":",TRIM(MID(SUBSTITUTE(K15,";",REPT(" ",99)),298,99)))+1,999))+1,999),FIND(":",MID(MID(TRIM(MID(SUBSTITUTE(K15,";",REPT(" ",99)),298,99)),FIND(":",TRIM(MID(SUBSTITUTE(K15,";",REPT(" ",99)),298,99)))+1,999),FIND(":",MID(TRIM(MID(SUBSTITUTE(K15,";",REPT(" ",99)),298,99)),FIND(":",TRIM(MID(SUBSTITUTE(K15,";",REPT(" ",99)),298,99)))+1,999))+1,999))-1)),IF(TRIM(MID(SUBSTITUTE(K15,";",REPT(" ",99)),397,99))="","",IFERROR(VLOOKUP(--LEFT(MID(TRIM(MID(SUBSTITUTE(K15,";",REPT(" ",99)),397,99)),FIND(":",TRIM(MID(SUBSTITUTE(K15,";",REPT(" ",99)),397,99)))+1,999),FIND(":",MID(TRIM(MID(SUBSTITUTE(K15,";",REPT(" ",99)),397,99)),FIND(":",TRIM(MID(SUBSTITUTE(K15,";",REPT(" ",99)),397,99)))+1,999))-1),_Lookup!$A:$B,2,FALSE),"?")&amp;"×"&amp;LEFT(MID(MID(TRIM(MID(SUBSTITUTE(K15,";",REPT(" ",99)),397,99)),FIND(":",TRIM(MID(SUBSTITUTE(K15,";",REPT(" ",99)),397,99)))+1,999),FIND(":",MID(TRIM(MID(SUBSTITUTE(K15,";",REPT(" ",99)),397,99)),FIND(":",TRIM(MID(SUBSTITUTE(K15,";",REPT(" ",99)),397,99)))+1,999))+1,999),FIND(":",MID(MID(TRIM(MID(SUBSTITUTE(K15,";",REPT(" ",99)),397,99)),FIND(":",TRIM(MID(SUBSTITUTE(K15,";",REPT(" ",99)),397,99)))+1,999),FIND(":",MID(TRIM(MID(SUBSTITUTE(K15,";",REPT(" ",99)),397,99)),FIND(":",TRIM(MID(SUBSTITUTE(K15,";",REPT(" ",99)),397,99)))+1,999))+1,999))-1))))</f>
        <v/>
      </c>
    </row>
    <row r="16">
      <c r="D16" s="11">
        <f>IFERROR(VLOOKUP(C16,ItemData_Fish!$A:$B,2,FALSE),"")</f>
        <v/>
      </c>
      <c r="L16" s="11">
        <f>IF(K16="","",TEXTJOIN("; ",TRUE,IF(TRIM(MID(SUBSTITUTE(K16,";",REPT(" ",99)),1,99))="","",IFERROR(VLOOKUP(--LEFT(MID(TRIM(MID(SUBSTITUTE(K16,";",REPT(" ",99)),1,99)),FIND(":",TRIM(MID(SUBSTITUTE(K16,";",REPT(" ",99)),1,99)))+1,999),FIND(":",MID(TRIM(MID(SUBSTITUTE(K16,";",REPT(" ",99)),1,99)),FIND(":",TRIM(MID(SUBSTITUTE(K16,";",REPT(" ",99)),1,99)))+1,999))-1),_Lookup!$A:$B,2,FALSE),"?")&amp;"×"&amp;LEFT(MID(MID(TRIM(MID(SUBSTITUTE(K16,";",REPT(" ",99)),1,99)),FIND(":",TRIM(MID(SUBSTITUTE(K16,";",REPT(" ",99)),1,99)))+1,999),FIND(":",MID(TRIM(MID(SUBSTITUTE(K16,";",REPT(" ",99)),1,99)),FIND(":",TRIM(MID(SUBSTITUTE(K16,";",REPT(" ",99)),1,99)))+1,999))+1,999),FIND(":",MID(MID(TRIM(MID(SUBSTITUTE(K16,";",REPT(" ",99)),1,99)),FIND(":",TRIM(MID(SUBSTITUTE(K16,";",REPT(" ",99)),1,99)))+1,999),FIND(":",MID(TRIM(MID(SUBSTITUTE(K16,";",REPT(" ",99)),1,99)),FIND(":",TRIM(MID(SUBSTITUTE(K16,";",REPT(" ",99)),1,99)))+1,999))+1,999))-1)),IF(TRIM(MID(SUBSTITUTE(K16,";",REPT(" ",99)),100,99))="","",IFERROR(VLOOKUP(--LEFT(MID(TRIM(MID(SUBSTITUTE(K16,";",REPT(" ",99)),100,99)),FIND(":",TRIM(MID(SUBSTITUTE(K16,";",REPT(" ",99)),100,99)))+1,999),FIND(":",MID(TRIM(MID(SUBSTITUTE(K16,";",REPT(" ",99)),100,99)),FIND(":",TRIM(MID(SUBSTITUTE(K16,";",REPT(" ",99)),100,99)))+1,999))-1),_Lookup!$A:$B,2,FALSE),"?")&amp;"×"&amp;LEFT(MID(MID(TRIM(MID(SUBSTITUTE(K16,";",REPT(" ",99)),100,99)),FIND(":",TRIM(MID(SUBSTITUTE(K16,";",REPT(" ",99)),100,99)))+1,999),FIND(":",MID(TRIM(MID(SUBSTITUTE(K16,";",REPT(" ",99)),100,99)),FIND(":",TRIM(MID(SUBSTITUTE(K16,";",REPT(" ",99)),100,99)))+1,999))+1,999),FIND(":",MID(MID(TRIM(MID(SUBSTITUTE(K16,";",REPT(" ",99)),100,99)),FIND(":",TRIM(MID(SUBSTITUTE(K16,";",REPT(" ",99)),100,99)))+1,999),FIND(":",MID(TRIM(MID(SUBSTITUTE(K16,";",REPT(" ",99)),100,99)),FIND(":",TRIM(MID(SUBSTITUTE(K16,";",REPT(" ",99)),100,99)))+1,999))+1,999))-1)),IF(TRIM(MID(SUBSTITUTE(K16,";",REPT(" ",99)),199,99))="","",IFERROR(VLOOKUP(--LEFT(MID(TRIM(MID(SUBSTITUTE(K16,";",REPT(" ",99)),199,99)),FIND(":",TRIM(MID(SUBSTITUTE(K16,";",REPT(" ",99)),199,99)))+1,999),FIND(":",MID(TRIM(MID(SUBSTITUTE(K16,";",REPT(" ",99)),199,99)),FIND(":",TRIM(MID(SUBSTITUTE(K16,";",REPT(" ",99)),199,99)))+1,999))-1),_Lookup!$A:$B,2,FALSE),"?")&amp;"×"&amp;LEFT(MID(MID(TRIM(MID(SUBSTITUTE(K16,";",REPT(" ",99)),199,99)),FIND(":",TRIM(MID(SUBSTITUTE(K16,";",REPT(" ",99)),199,99)))+1,999),FIND(":",MID(TRIM(MID(SUBSTITUTE(K16,";",REPT(" ",99)),199,99)),FIND(":",TRIM(MID(SUBSTITUTE(K16,";",REPT(" ",99)),199,99)))+1,999))+1,999),FIND(":",MID(MID(TRIM(MID(SUBSTITUTE(K16,";",REPT(" ",99)),199,99)),FIND(":",TRIM(MID(SUBSTITUTE(K16,";",REPT(" ",99)),199,99)))+1,999),FIND(":",MID(TRIM(MID(SUBSTITUTE(K16,";",REPT(" ",99)),199,99)),FIND(":",TRIM(MID(SUBSTITUTE(K16,";",REPT(" ",99)),199,99)))+1,999))+1,999))-1)),IF(TRIM(MID(SUBSTITUTE(K16,";",REPT(" ",99)),298,99))="","",IFERROR(VLOOKUP(--LEFT(MID(TRIM(MID(SUBSTITUTE(K16,";",REPT(" ",99)),298,99)),FIND(":",TRIM(MID(SUBSTITUTE(K16,";",REPT(" ",99)),298,99)))+1,999),FIND(":",MID(TRIM(MID(SUBSTITUTE(K16,";",REPT(" ",99)),298,99)),FIND(":",TRIM(MID(SUBSTITUTE(K16,";",REPT(" ",99)),298,99)))+1,999))-1),_Lookup!$A:$B,2,FALSE),"?")&amp;"×"&amp;LEFT(MID(MID(TRIM(MID(SUBSTITUTE(K16,";",REPT(" ",99)),298,99)),FIND(":",TRIM(MID(SUBSTITUTE(K16,";",REPT(" ",99)),298,99)))+1,999),FIND(":",MID(TRIM(MID(SUBSTITUTE(K16,";",REPT(" ",99)),298,99)),FIND(":",TRIM(MID(SUBSTITUTE(K16,";",REPT(" ",99)),298,99)))+1,999))+1,999),FIND(":",MID(MID(TRIM(MID(SUBSTITUTE(K16,";",REPT(" ",99)),298,99)),FIND(":",TRIM(MID(SUBSTITUTE(K16,";",REPT(" ",99)),298,99)))+1,999),FIND(":",MID(TRIM(MID(SUBSTITUTE(K16,";",REPT(" ",99)),298,99)),FIND(":",TRIM(MID(SUBSTITUTE(K16,";",REPT(" ",99)),298,99)))+1,999))+1,999))-1)),IF(TRIM(MID(SUBSTITUTE(K16,";",REPT(" ",99)),397,99))="","",IFERROR(VLOOKUP(--LEFT(MID(TRIM(MID(SUBSTITUTE(K16,";",REPT(" ",99)),397,99)),FIND(":",TRIM(MID(SUBSTITUTE(K16,";",REPT(" ",99)),397,99)))+1,999),FIND(":",MID(TRIM(MID(SUBSTITUTE(K16,";",REPT(" ",99)),397,99)),FIND(":",TRIM(MID(SUBSTITUTE(K16,";",REPT(" ",99)),397,99)))+1,999))-1),_Lookup!$A:$B,2,FALSE),"?")&amp;"×"&amp;LEFT(MID(MID(TRIM(MID(SUBSTITUTE(K16,";",REPT(" ",99)),397,99)),FIND(":",TRIM(MID(SUBSTITUTE(K16,";",REPT(" ",99)),397,99)))+1,999),FIND(":",MID(TRIM(MID(SUBSTITUTE(K16,";",REPT(" ",99)),397,99)),FIND(":",TRIM(MID(SUBSTITUTE(K16,";",REPT(" ",99)),397,99)))+1,999))+1,999),FIND(":",MID(MID(TRIM(MID(SUBSTITUTE(K16,";",REPT(" ",99)),397,99)),FIND(":",TRIM(MID(SUBSTITUTE(K16,";",REPT(" ",99)),397,99)))+1,999),FIND(":",MID(TRIM(MID(SUBSTITUTE(K16,";",REPT(" ",99)),397,99)),FIND(":",TRIM(MID(SUBSTITUTE(K16,";",REPT(" ",99)),397,99)))+1,999))+1,999))-1))))</f>
        <v/>
      </c>
    </row>
    <row r="17">
      <c r="D17" s="11">
        <f>IFERROR(VLOOKUP(C17,ItemData_Fish!$A:$B,2,FALSE),"")</f>
        <v/>
      </c>
      <c r="L17" s="11">
        <f>IF(K17="","",TEXTJOIN("; ",TRUE,IF(TRIM(MID(SUBSTITUTE(K17,";",REPT(" ",99)),1,99))="","",IFERROR(VLOOKUP(--LEFT(MID(TRIM(MID(SUBSTITUTE(K17,";",REPT(" ",99)),1,99)),FIND(":",TRIM(MID(SUBSTITUTE(K17,";",REPT(" ",99)),1,99)))+1,999),FIND(":",MID(TRIM(MID(SUBSTITUTE(K17,";",REPT(" ",99)),1,99)),FIND(":",TRIM(MID(SUBSTITUTE(K17,";",REPT(" ",99)),1,99)))+1,999))-1),_Lookup!$A:$B,2,FALSE),"?")&amp;"×"&amp;LEFT(MID(MID(TRIM(MID(SUBSTITUTE(K17,";",REPT(" ",99)),1,99)),FIND(":",TRIM(MID(SUBSTITUTE(K17,";",REPT(" ",99)),1,99)))+1,999),FIND(":",MID(TRIM(MID(SUBSTITUTE(K17,";",REPT(" ",99)),1,99)),FIND(":",TRIM(MID(SUBSTITUTE(K17,";",REPT(" ",99)),1,99)))+1,999))+1,999),FIND(":",MID(MID(TRIM(MID(SUBSTITUTE(K17,";",REPT(" ",99)),1,99)),FIND(":",TRIM(MID(SUBSTITUTE(K17,";",REPT(" ",99)),1,99)))+1,999),FIND(":",MID(TRIM(MID(SUBSTITUTE(K17,";",REPT(" ",99)),1,99)),FIND(":",TRIM(MID(SUBSTITUTE(K17,";",REPT(" ",99)),1,99)))+1,999))+1,999))-1)),IF(TRIM(MID(SUBSTITUTE(K17,";",REPT(" ",99)),100,99))="","",IFERROR(VLOOKUP(--LEFT(MID(TRIM(MID(SUBSTITUTE(K17,";",REPT(" ",99)),100,99)),FIND(":",TRIM(MID(SUBSTITUTE(K17,";",REPT(" ",99)),100,99)))+1,999),FIND(":",MID(TRIM(MID(SUBSTITUTE(K17,";",REPT(" ",99)),100,99)),FIND(":",TRIM(MID(SUBSTITUTE(K17,";",REPT(" ",99)),100,99)))+1,999))-1),_Lookup!$A:$B,2,FALSE),"?")&amp;"×"&amp;LEFT(MID(MID(TRIM(MID(SUBSTITUTE(K17,";",REPT(" ",99)),100,99)),FIND(":",TRIM(MID(SUBSTITUTE(K17,";",REPT(" ",99)),100,99)))+1,999),FIND(":",MID(TRIM(MID(SUBSTITUTE(K17,";",REPT(" ",99)),100,99)),FIND(":",TRIM(MID(SUBSTITUTE(K17,";",REPT(" ",99)),100,99)))+1,999))+1,999),FIND(":",MID(MID(TRIM(MID(SUBSTITUTE(K17,";",REPT(" ",99)),100,99)),FIND(":",TRIM(MID(SUBSTITUTE(K17,";",REPT(" ",99)),100,99)))+1,999),FIND(":",MID(TRIM(MID(SUBSTITUTE(K17,";",REPT(" ",99)),100,99)),FIND(":",TRIM(MID(SUBSTITUTE(K17,";",REPT(" ",99)),100,99)))+1,999))+1,999))-1)),IF(TRIM(MID(SUBSTITUTE(K17,";",REPT(" ",99)),199,99))="","",IFERROR(VLOOKUP(--LEFT(MID(TRIM(MID(SUBSTITUTE(K17,";",REPT(" ",99)),199,99)),FIND(":",TRIM(MID(SUBSTITUTE(K17,";",REPT(" ",99)),199,99)))+1,999),FIND(":",MID(TRIM(MID(SUBSTITUTE(K17,";",REPT(" ",99)),199,99)),FIND(":",TRIM(MID(SUBSTITUTE(K17,";",REPT(" ",99)),199,99)))+1,999))-1),_Lookup!$A:$B,2,FALSE),"?")&amp;"×"&amp;LEFT(MID(MID(TRIM(MID(SUBSTITUTE(K17,";",REPT(" ",99)),199,99)),FIND(":",TRIM(MID(SUBSTITUTE(K17,";",REPT(" ",99)),199,99)))+1,999),FIND(":",MID(TRIM(MID(SUBSTITUTE(K17,";",REPT(" ",99)),199,99)),FIND(":",TRIM(MID(SUBSTITUTE(K17,";",REPT(" ",99)),199,99)))+1,999))+1,999),FIND(":",MID(MID(TRIM(MID(SUBSTITUTE(K17,";",REPT(" ",99)),199,99)),FIND(":",TRIM(MID(SUBSTITUTE(K17,";",REPT(" ",99)),199,99)))+1,999),FIND(":",MID(TRIM(MID(SUBSTITUTE(K17,";",REPT(" ",99)),199,99)),FIND(":",TRIM(MID(SUBSTITUTE(K17,";",REPT(" ",99)),199,99)))+1,999))+1,999))-1)),IF(TRIM(MID(SUBSTITUTE(K17,";",REPT(" ",99)),298,99))="","",IFERROR(VLOOKUP(--LEFT(MID(TRIM(MID(SUBSTITUTE(K17,";",REPT(" ",99)),298,99)),FIND(":",TRIM(MID(SUBSTITUTE(K17,";",REPT(" ",99)),298,99)))+1,999),FIND(":",MID(TRIM(MID(SUBSTITUTE(K17,";",REPT(" ",99)),298,99)),FIND(":",TRIM(MID(SUBSTITUTE(K17,";",REPT(" ",99)),298,99)))+1,999))-1),_Lookup!$A:$B,2,FALSE),"?")&amp;"×"&amp;LEFT(MID(MID(TRIM(MID(SUBSTITUTE(K17,";",REPT(" ",99)),298,99)),FIND(":",TRIM(MID(SUBSTITUTE(K17,";",REPT(" ",99)),298,99)))+1,999),FIND(":",MID(TRIM(MID(SUBSTITUTE(K17,";",REPT(" ",99)),298,99)),FIND(":",TRIM(MID(SUBSTITUTE(K17,";",REPT(" ",99)),298,99)))+1,999))+1,999),FIND(":",MID(MID(TRIM(MID(SUBSTITUTE(K17,";",REPT(" ",99)),298,99)),FIND(":",TRIM(MID(SUBSTITUTE(K17,";",REPT(" ",99)),298,99)))+1,999),FIND(":",MID(TRIM(MID(SUBSTITUTE(K17,";",REPT(" ",99)),298,99)),FIND(":",TRIM(MID(SUBSTITUTE(K17,";",REPT(" ",99)),298,99)))+1,999))+1,999))-1)),IF(TRIM(MID(SUBSTITUTE(K17,";",REPT(" ",99)),397,99))="","",IFERROR(VLOOKUP(--LEFT(MID(TRIM(MID(SUBSTITUTE(K17,";",REPT(" ",99)),397,99)),FIND(":",TRIM(MID(SUBSTITUTE(K17,";",REPT(" ",99)),397,99)))+1,999),FIND(":",MID(TRIM(MID(SUBSTITUTE(K17,";",REPT(" ",99)),397,99)),FIND(":",TRIM(MID(SUBSTITUTE(K17,";",REPT(" ",99)),397,99)))+1,999))-1),_Lookup!$A:$B,2,FALSE),"?")&amp;"×"&amp;LEFT(MID(MID(TRIM(MID(SUBSTITUTE(K17,";",REPT(" ",99)),397,99)),FIND(":",TRIM(MID(SUBSTITUTE(K17,";",REPT(" ",99)),397,99)))+1,999),FIND(":",MID(TRIM(MID(SUBSTITUTE(K17,";",REPT(" ",99)),397,99)),FIND(":",TRIM(MID(SUBSTITUTE(K17,";",REPT(" ",99)),397,99)))+1,999))+1,999),FIND(":",MID(MID(TRIM(MID(SUBSTITUTE(K17,";",REPT(" ",99)),397,99)),FIND(":",TRIM(MID(SUBSTITUTE(K17,";",REPT(" ",99)),397,99)))+1,999),FIND(":",MID(TRIM(MID(SUBSTITUTE(K17,";",REPT(" ",99)),397,99)),FIND(":",TRIM(MID(SUBSTITUTE(K17,";",REPT(" ",99)),397,99)))+1,999))+1,999))-1))))</f>
        <v/>
      </c>
    </row>
    <row r="18">
      <c r="D18" s="11">
        <f>IFERROR(VLOOKUP(C18,ItemData_Fish!$A:$B,2,FALSE),"")</f>
        <v/>
      </c>
      <c r="L18" s="11">
        <f>IF(K18="","",TEXTJOIN("; ",TRUE,IF(TRIM(MID(SUBSTITUTE(K18,";",REPT(" ",99)),1,99))="","",IFERROR(VLOOKUP(--LEFT(MID(TRIM(MID(SUBSTITUTE(K18,";",REPT(" ",99)),1,99)),FIND(":",TRIM(MID(SUBSTITUTE(K18,";",REPT(" ",99)),1,99)))+1,999),FIND(":",MID(TRIM(MID(SUBSTITUTE(K18,";",REPT(" ",99)),1,99)),FIND(":",TRIM(MID(SUBSTITUTE(K18,";",REPT(" ",99)),1,99)))+1,999))-1),_Lookup!$A:$B,2,FALSE),"?")&amp;"×"&amp;LEFT(MID(MID(TRIM(MID(SUBSTITUTE(K18,";",REPT(" ",99)),1,99)),FIND(":",TRIM(MID(SUBSTITUTE(K18,";",REPT(" ",99)),1,99)))+1,999),FIND(":",MID(TRIM(MID(SUBSTITUTE(K18,";",REPT(" ",99)),1,99)),FIND(":",TRIM(MID(SUBSTITUTE(K18,";",REPT(" ",99)),1,99)))+1,999))+1,999),FIND(":",MID(MID(TRIM(MID(SUBSTITUTE(K18,";",REPT(" ",99)),1,99)),FIND(":",TRIM(MID(SUBSTITUTE(K18,";",REPT(" ",99)),1,99)))+1,999),FIND(":",MID(TRIM(MID(SUBSTITUTE(K18,";",REPT(" ",99)),1,99)),FIND(":",TRIM(MID(SUBSTITUTE(K18,";",REPT(" ",99)),1,99)))+1,999))+1,999))-1)),IF(TRIM(MID(SUBSTITUTE(K18,";",REPT(" ",99)),100,99))="","",IFERROR(VLOOKUP(--LEFT(MID(TRIM(MID(SUBSTITUTE(K18,";",REPT(" ",99)),100,99)),FIND(":",TRIM(MID(SUBSTITUTE(K18,";",REPT(" ",99)),100,99)))+1,999),FIND(":",MID(TRIM(MID(SUBSTITUTE(K18,";",REPT(" ",99)),100,99)),FIND(":",TRIM(MID(SUBSTITUTE(K18,";",REPT(" ",99)),100,99)))+1,999))-1),_Lookup!$A:$B,2,FALSE),"?")&amp;"×"&amp;LEFT(MID(MID(TRIM(MID(SUBSTITUTE(K18,";",REPT(" ",99)),100,99)),FIND(":",TRIM(MID(SUBSTITUTE(K18,";",REPT(" ",99)),100,99)))+1,999),FIND(":",MID(TRIM(MID(SUBSTITUTE(K18,";",REPT(" ",99)),100,99)),FIND(":",TRIM(MID(SUBSTITUTE(K18,";",REPT(" ",99)),100,99)))+1,999))+1,999),FIND(":",MID(MID(TRIM(MID(SUBSTITUTE(K18,";",REPT(" ",99)),100,99)),FIND(":",TRIM(MID(SUBSTITUTE(K18,";",REPT(" ",99)),100,99)))+1,999),FIND(":",MID(TRIM(MID(SUBSTITUTE(K18,";",REPT(" ",99)),100,99)),FIND(":",TRIM(MID(SUBSTITUTE(K18,";",REPT(" ",99)),100,99)))+1,999))+1,999))-1)),IF(TRIM(MID(SUBSTITUTE(K18,";",REPT(" ",99)),199,99))="","",IFERROR(VLOOKUP(--LEFT(MID(TRIM(MID(SUBSTITUTE(K18,";",REPT(" ",99)),199,99)),FIND(":",TRIM(MID(SUBSTITUTE(K18,";",REPT(" ",99)),199,99)))+1,999),FIND(":",MID(TRIM(MID(SUBSTITUTE(K18,";",REPT(" ",99)),199,99)),FIND(":",TRIM(MID(SUBSTITUTE(K18,";",REPT(" ",99)),199,99)))+1,999))-1),_Lookup!$A:$B,2,FALSE),"?")&amp;"×"&amp;LEFT(MID(MID(TRIM(MID(SUBSTITUTE(K18,";",REPT(" ",99)),199,99)),FIND(":",TRIM(MID(SUBSTITUTE(K18,";",REPT(" ",99)),199,99)))+1,999),FIND(":",MID(TRIM(MID(SUBSTITUTE(K18,";",REPT(" ",99)),199,99)),FIND(":",TRIM(MID(SUBSTITUTE(K18,";",REPT(" ",99)),199,99)))+1,999))+1,999),FIND(":",MID(MID(TRIM(MID(SUBSTITUTE(K18,";",REPT(" ",99)),199,99)),FIND(":",TRIM(MID(SUBSTITUTE(K18,";",REPT(" ",99)),199,99)))+1,999),FIND(":",MID(TRIM(MID(SUBSTITUTE(K18,";",REPT(" ",99)),199,99)),FIND(":",TRIM(MID(SUBSTITUTE(K18,";",REPT(" ",99)),199,99)))+1,999))+1,999))-1)),IF(TRIM(MID(SUBSTITUTE(K18,";",REPT(" ",99)),298,99))="","",IFERROR(VLOOKUP(--LEFT(MID(TRIM(MID(SUBSTITUTE(K18,";",REPT(" ",99)),298,99)),FIND(":",TRIM(MID(SUBSTITUTE(K18,";",REPT(" ",99)),298,99)))+1,999),FIND(":",MID(TRIM(MID(SUBSTITUTE(K18,";",REPT(" ",99)),298,99)),FIND(":",TRIM(MID(SUBSTITUTE(K18,";",REPT(" ",99)),298,99)))+1,999))-1),_Lookup!$A:$B,2,FALSE),"?")&amp;"×"&amp;LEFT(MID(MID(TRIM(MID(SUBSTITUTE(K18,";",REPT(" ",99)),298,99)),FIND(":",TRIM(MID(SUBSTITUTE(K18,";",REPT(" ",99)),298,99)))+1,999),FIND(":",MID(TRIM(MID(SUBSTITUTE(K18,";",REPT(" ",99)),298,99)),FIND(":",TRIM(MID(SUBSTITUTE(K18,";",REPT(" ",99)),298,99)))+1,999))+1,999),FIND(":",MID(MID(TRIM(MID(SUBSTITUTE(K18,";",REPT(" ",99)),298,99)),FIND(":",TRIM(MID(SUBSTITUTE(K18,";",REPT(" ",99)),298,99)))+1,999),FIND(":",MID(TRIM(MID(SUBSTITUTE(K18,";",REPT(" ",99)),298,99)),FIND(":",TRIM(MID(SUBSTITUTE(K18,";",REPT(" ",99)),298,99)))+1,999))+1,999))-1)),IF(TRIM(MID(SUBSTITUTE(K18,";",REPT(" ",99)),397,99))="","",IFERROR(VLOOKUP(--LEFT(MID(TRIM(MID(SUBSTITUTE(K18,";",REPT(" ",99)),397,99)),FIND(":",TRIM(MID(SUBSTITUTE(K18,";",REPT(" ",99)),397,99)))+1,999),FIND(":",MID(TRIM(MID(SUBSTITUTE(K18,";",REPT(" ",99)),397,99)),FIND(":",TRIM(MID(SUBSTITUTE(K18,";",REPT(" ",99)),397,99)))+1,999))-1),_Lookup!$A:$B,2,FALSE),"?")&amp;"×"&amp;LEFT(MID(MID(TRIM(MID(SUBSTITUTE(K18,";",REPT(" ",99)),397,99)),FIND(":",TRIM(MID(SUBSTITUTE(K18,";",REPT(" ",99)),397,99)))+1,999),FIND(":",MID(TRIM(MID(SUBSTITUTE(K18,";",REPT(" ",99)),397,99)),FIND(":",TRIM(MID(SUBSTITUTE(K18,";",REPT(" ",99)),397,99)))+1,999))+1,999),FIND(":",MID(MID(TRIM(MID(SUBSTITUTE(K18,";",REPT(" ",99)),397,99)),FIND(":",TRIM(MID(SUBSTITUTE(K18,";",REPT(" ",99)),397,99)))+1,999),FIND(":",MID(TRIM(MID(SUBSTITUTE(K18,";",REPT(" ",99)),397,99)),FIND(":",TRIM(MID(SUBSTITUTE(K18,";",REPT(" ",99)),397,99)))+1,999))+1,999))-1))))</f>
        <v/>
      </c>
    </row>
    <row r="19">
      <c r="D19" s="11">
        <f>IFERROR(VLOOKUP(C19,ItemData_Fish!$A:$B,2,FALSE),"")</f>
        <v/>
      </c>
      <c r="L19" s="11">
        <f>IF(K19="","",TEXTJOIN("; ",TRUE,IF(TRIM(MID(SUBSTITUTE(K19,";",REPT(" ",99)),1,99))="","",IFERROR(VLOOKUP(--LEFT(MID(TRIM(MID(SUBSTITUTE(K19,";",REPT(" ",99)),1,99)),FIND(":",TRIM(MID(SUBSTITUTE(K19,";",REPT(" ",99)),1,99)))+1,999),FIND(":",MID(TRIM(MID(SUBSTITUTE(K19,";",REPT(" ",99)),1,99)),FIND(":",TRIM(MID(SUBSTITUTE(K19,";",REPT(" ",99)),1,99)))+1,999))-1),_Lookup!$A:$B,2,FALSE),"?")&amp;"×"&amp;LEFT(MID(MID(TRIM(MID(SUBSTITUTE(K19,";",REPT(" ",99)),1,99)),FIND(":",TRIM(MID(SUBSTITUTE(K19,";",REPT(" ",99)),1,99)))+1,999),FIND(":",MID(TRIM(MID(SUBSTITUTE(K19,";",REPT(" ",99)),1,99)),FIND(":",TRIM(MID(SUBSTITUTE(K19,";",REPT(" ",99)),1,99)))+1,999))+1,999),FIND(":",MID(MID(TRIM(MID(SUBSTITUTE(K19,";",REPT(" ",99)),1,99)),FIND(":",TRIM(MID(SUBSTITUTE(K19,";",REPT(" ",99)),1,99)))+1,999),FIND(":",MID(TRIM(MID(SUBSTITUTE(K19,";",REPT(" ",99)),1,99)),FIND(":",TRIM(MID(SUBSTITUTE(K19,";",REPT(" ",99)),1,99)))+1,999))+1,999))-1)),IF(TRIM(MID(SUBSTITUTE(K19,";",REPT(" ",99)),100,99))="","",IFERROR(VLOOKUP(--LEFT(MID(TRIM(MID(SUBSTITUTE(K19,";",REPT(" ",99)),100,99)),FIND(":",TRIM(MID(SUBSTITUTE(K19,";",REPT(" ",99)),100,99)))+1,999),FIND(":",MID(TRIM(MID(SUBSTITUTE(K19,";",REPT(" ",99)),100,99)),FIND(":",TRIM(MID(SUBSTITUTE(K19,";",REPT(" ",99)),100,99)))+1,999))-1),_Lookup!$A:$B,2,FALSE),"?")&amp;"×"&amp;LEFT(MID(MID(TRIM(MID(SUBSTITUTE(K19,";",REPT(" ",99)),100,99)),FIND(":",TRIM(MID(SUBSTITUTE(K19,";",REPT(" ",99)),100,99)))+1,999),FIND(":",MID(TRIM(MID(SUBSTITUTE(K19,";",REPT(" ",99)),100,99)),FIND(":",TRIM(MID(SUBSTITUTE(K19,";",REPT(" ",99)),100,99)))+1,999))+1,999),FIND(":",MID(MID(TRIM(MID(SUBSTITUTE(K19,";",REPT(" ",99)),100,99)),FIND(":",TRIM(MID(SUBSTITUTE(K19,";",REPT(" ",99)),100,99)))+1,999),FIND(":",MID(TRIM(MID(SUBSTITUTE(K19,";",REPT(" ",99)),100,99)),FIND(":",TRIM(MID(SUBSTITUTE(K19,";",REPT(" ",99)),100,99)))+1,999))+1,999))-1)),IF(TRIM(MID(SUBSTITUTE(K19,";",REPT(" ",99)),199,99))="","",IFERROR(VLOOKUP(--LEFT(MID(TRIM(MID(SUBSTITUTE(K19,";",REPT(" ",99)),199,99)),FIND(":",TRIM(MID(SUBSTITUTE(K19,";",REPT(" ",99)),199,99)))+1,999),FIND(":",MID(TRIM(MID(SUBSTITUTE(K19,";",REPT(" ",99)),199,99)),FIND(":",TRIM(MID(SUBSTITUTE(K19,";",REPT(" ",99)),199,99)))+1,999))-1),_Lookup!$A:$B,2,FALSE),"?")&amp;"×"&amp;LEFT(MID(MID(TRIM(MID(SUBSTITUTE(K19,";",REPT(" ",99)),199,99)),FIND(":",TRIM(MID(SUBSTITUTE(K19,";",REPT(" ",99)),199,99)))+1,999),FIND(":",MID(TRIM(MID(SUBSTITUTE(K19,";",REPT(" ",99)),199,99)),FIND(":",TRIM(MID(SUBSTITUTE(K19,";",REPT(" ",99)),199,99)))+1,999))+1,999),FIND(":",MID(MID(TRIM(MID(SUBSTITUTE(K19,";",REPT(" ",99)),199,99)),FIND(":",TRIM(MID(SUBSTITUTE(K19,";",REPT(" ",99)),199,99)))+1,999),FIND(":",MID(TRIM(MID(SUBSTITUTE(K19,";",REPT(" ",99)),199,99)),FIND(":",TRIM(MID(SUBSTITUTE(K19,";",REPT(" ",99)),199,99)))+1,999))+1,999))-1)),IF(TRIM(MID(SUBSTITUTE(K19,";",REPT(" ",99)),298,99))="","",IFERROR(VLOOKUP(--LEFT(MID(TRIM(MID(SUBSTITUTE(K19,";",REPT(" ",99)),298,99)),FIND(":",TRIM(MID(SUBSTITUTE(K19,";",REPT(" ",99)),298,99)))+1,999),FIND(":",MID(TRIM(MID(SUBSTITUTE(K19,";",REPT(" ",99)),298,99)),FIND(":",TRIM(MID(SUBSTITUTE(K19,";",REPT(" ",99)),298,99)))+1,999))-1),_Lookup!$A:$B,2,FALSE),"?")&amp;"×"&amp;LEFT(MID(MID(TRIM(MID(SUBSTITUTE(K19,";",REPT(" ",99)),298,99)),FIND(":",TRIM(MID(SUBSTITUTE(K19,";",REPT(" ",99)),298,99)))+1,999),FIND(":",MID(TRIM(MID(SUBSTITUTE(K19,";",REPT(" ",99)),298,99)),FIND(":",TRIM(MID(SUBSTITUTE(K19,";",REPT(" ",99)),298,99)))+1,999))+1,999),FIND(":",MID(MID(TRIM(MID(SUBSTITUTE(K19,";",REPT(" ",99)),298,99)),FIND(":",TRIM(MID(SUBSTITUTE(K19,";",REPT(" ",99)),298,99)))+1,999),FIND(":",MID(TRIM(MID(SUBSTITUTE(K19,";",REPT(" ",99)),298,99)),FIND(":",TRIM(MID(SUBSTITUTE(K19,";",REPT(" ",99)),298,99)))+1,999))+1,999))-1)),IF(TRIM(MID(SUBSTITUTE(K19,";",REPT(" ",99)),397,99))="","",IFERROR(VLOOKUP(--LEFT(MID(TRIM(MID(SUBSTITUTE(K19,";",REPT(" ",99)),397,99)),FIND(":",TRIM(MID(SUBSTITUTE(K19,";",REPT(" ",99)),397,99)))+1,999),FIND(":",MID(TRIM(MID(SUBSTITUTE(K19,";",REPT(" ",99)),397,99)),FIND(":",TRIM(MID(SUBSTITUTE(K19,";",REPT(" ",99)),397,99)))+1,999))-1),_Lookup!$A:$B,2,FALSE),"?")&amp;"×"&amp;LEFT(MID(MID(TRIM(MID(SUBSTITUTE(K19,";",REPT(" ",99)),397,99)),FIND(":",TRIM(MID(SUBSTITUTE(K19,";",REPT(" ",99)),397,99)))+1,999),FIND(":",MID(TRIM(MID(SUBSTITUTE(K19,";",REPT(" ",99)),397,99)),FIND(":",TRIM(MID(SUBSTITUTE(K19,";",REPT(" ",99)),397,99)))+1,999))+1,999),FIND(":",MID(MID(TRIM(MID(SUBSTITUTE(K19,";",REPT(" ",99)),397,99)),FIND(":",TRIM(MID(SUBSTITUTE(K19,";",REPT(" ",99)),397,99)))+1,999),FIND(":",MID(TRIM(MID(SUBSTITUTE(K19,";",REPT(" ",99)),397,99)),FIND(":",TRIM(MID(SUBSTITUTE(K19,";",REPT(" ",99)),397,99)))+1,999))+1,999))-1))))</f>
        <v/>
      </c>
    </row>
    <row r="20">
      <c r="D20" s="11">
        <f>IFERROR(VLOOKUP(C20,ItemData_Fish!$A:$B,2,FALSE),"")</f>
        <v/>
      </c>
      <c r="L20" s="11">
        <f>IF(K20="","",TEXTJOIN("; ",TRUE,IF(TRIM(MID(SUBSTITUTE(K20,";",REPT(" ",99)),1,99))="","",IFERROR(VLOOKUP(--LEFT(MID(TRIM(MID(SUBSTITUTE(K20,";",REPT(" ",99)),1,99)),FIND(":",TRIM(MID(SUBSTITUTE(K20,";",REPT(" ",99)),1,99)))+1,999),FIND(":",MID(TRIM(MID(SUBSTITUTE(K20,";",REPT(" ",99)),1,99)),FIND(":",TRIM(MID(SUBSTITUTE(K20,";",REPT(" ",99)),1,99)))+1,999))-1),_Lookup!$A:$B,2,FALSE),"?")&amp;"×"&amp;LEFT(MID(MID(TRIM(MID(SUBSTITUTE(K20,";",REPT(" ",99)),1,99)),FIND(":",TRIM(MID(SUBSTITUTE(K20,";",REPT(" ",99)),1,99)))+1,999),FIND(":",MID(TRIM(MID(SUBSTITUTE(K20,";",REPT(" ",99)),1,99)),FIND(":",TRIM(MID(SUBSTITUTE(K20,";",REPT(" ",99)),1,99)))+1,999))+1,999),FIND(":",MID(MID(TRIM(MID(SUBSTITUTE(K20,";",REPT(" ",99)),1,99)),FIND(":",TRIM(MID(SUBSTITUTE(K20,";",REPT(" ",99)),1,99)))+1,999),FIND(":",MID(TRIM(MID(SUBSTITUTE(K20,";",REPT(" ",99)),1,99)),FIND(":",TRIM(MID(SUBSTITUTE(K20,";",REPT(" ",99)),1,99)))+1,999))+1,999))-1)),IF(TRIM(MID(SUBSTITUTE(K20,";",REPT(" ",99)),100,99))="","",IFERROR(VLOOKUP(--LEFT(MID(TRIM(MID(SUBSTITUTE(K20,";",REPT(" ",99)),100,99)),FIND(":",TRIM(MID(SUBSTITUTE(K20,";",REPT(" ",99)),100,99)))+1,999),FIND(":",MID(TRIM(MID(SUBSTITUTE(K20,";",REPT(" ",99)),100,99)),FIND(":",TRIM(MID(SUBSTITUTE(K20,";",REPT(" ",99)),100,99)))+1,999))-1),_Lookup!$A:$B,2,FALSE),"?")&amp;"×"&amp;LEFT(MID(MID(TRIM(MID(SUBSTITUTE(K20,";",REPT(" ",99)),100,99)),FIND(":",TRIM(MID(SUBSTITUTE(K20,";",REPT(" ",99)),100,99)))+1,999),FIND(":",MID(TRIM(MID(SUBSTITUTE(K20,";",REPT(" ",99)),100,99)),FIND(":",TRIM(MID(SUBSTITUTE(K20,";",REPT(" ",99)),100,99)))+1,999))+1,999),FIND(":",MID(MID(TRIM(MID(SUBSTITUTE(K20,";",REPT(" ",99)),100,99)),FIND(":",TRIM(MID(SUBSTITUTE(K20,";",REPT(" ",99)),100,99)))+1,999),FIND(":",MID(TRIM(MID(SUBSTITUTE(K20,";",REPT(" ",99)),100,99)),FIND(":",TRIM(MID(SUBSTITUTE(K20,";",REPT(" ",99)),100,99)))+1,999))+1,999))-1)),IF(TRIM(MID(SUBSTITUTE(K20,";",REPT(" ",99)),199,99))="","",IFERROR(VLOOKUP(--LEFT(MID(TRIM(MID(SUBSTITUTE(K20,";",REPT(" ",99)),199,99)),FIND(":",TRIM(MID(SUBSTITUTE(K20,";",REPT(" ",99)),199,99)))+1,999),FIND(":",MID(TRIM(MID(SUBSTITUTE(K20,";",REPT(" ",99)),199,99)),FIND(":",TRIM(MID(SUBSTITUTE(K20,";",REPT(" ",99)),199,99)))+1,999))-1),_Lookup!$A:$B,2,FALSE),"?")&amp;"×"&amp;LEFT(MID(MID(TRIM(MID(SUBSTITUTE(K20,";",REPT(" ",99)),199,99)),FIND(":",TRIM(MID(SUBSTITUTE(K20,";",REPT(" ",99)),199,99)))+1,999),FIND(":",MID(TRIM(MID(SUBSTITUTE(K20,";",REPT(" ",99)),199,99)),FIND(":",TRIM(MID(SUBSTITUTE(K20,";",REPT(" ",99)),199,99)))+1,999))+1,999),FIND(":",MID(MID(TRIM(MID(SUBSTITUTE(K20,";",REPT(" ",99)),199,99)),FIND(":",TRIM(MID(SUBSTITUTE(K20,";",REPT(" ",99)),199,99)))+1,999),FIND(":",MID(TRIM(MID(SUBSTITUTE(K20,";",REPT(" ",99)),199,99)),FIND(":",TRIM(MID(SUBSTITUTE(K20,";",REPT(" ",99)),199,99)))+1,999))+1,999))-1)),IF(TRIM(MID(SUBSTITUTE(K20,";",REPT(" ",99)),298,99))="","",IFERROR(VLOOKUP(--LEFT(MID(TRIM(MID(SUBSTITUTE(K20,";",REPT(" ",99)),298,99)),FIND(":",TRIM(MID(SUBSTITUTE(K20,";",REPT(" ",99)),298,99)))+1,999),FIND(":",MID(TRIM(MID(SUBSTITUTE(K20,";",REPT(" ",99)),298,99)),FIND(":",TRIM(MID(SUBSTITUTE(K20,";",REPT(" ",99)),298,99)))+1,999))-1),_Lookup!$A:$B,2,FALSE),"?")&amp;"×"&amp;LEFT(MID(MID(TRIM(MID(SUBSTITUTE(K20,";",REPT(" ",99)),298,99)),FIND(":",TRIM(MID(SUBSTITUTE(K20,";",REPT(" ",99)),298,99)))+1,999),FIND(":",MID(TRIM(MID(SUBSTITUTE(K20,";",REPT(" ",99)),298,99)),FIND(":",TRIM(MID(SUBSTITUTE(K20,";",REPT(" ",99)),298,99)))+1,999))+1,999),FIND(":",MID(MID(TRIM(MID(SUBSTITUTE(K20,";",REPT(" ",99)),298,99)),FIND(":",TRIM(MID(SUBSTITUTE(K20,";",REPT(" ",99)),298,99)))+1,999),FIND(":",MID(TRIM(MID(SUBSTITUTE(K20,";",REPT(" ",99)),298,99)),FIND(":",TRIM(MID(SUBSTITUTE(K20,";",REPT(" ",99)),298,99)))+1,999))+1,999))-1)),IF(TRIM(MID(SUBSTITUTE(K20,";",REPT(" ",99)),397,99))="","",IFERROR(VLOOKUP(--LEFT(MID(TRIM(MID(SUBSTITUTE(K20,";",REPT(" ",99)),397,99)),FIND(":",TRIM(MID(SUBSTITUTE(K20,";",REPT(" ",99)),397,99)))+1,999),FIND(":",MID(TRIM(MID(SUBSTITUTE(K20,";",REPT(" ",99)),397,99)),FIND(":",TRIM(MID(SUBSTITUTE(K20,";",REPT(" ",99)),397,99)))+1,999))-1),_Lookup!$A:$B,2,FALSE),"?")&amp;"×"&amp;LEFT(MID(MID(TRIM(MID(SUBSTITUTE(K20,";",REPT(" ",99)),397,99)),FIND(":",TRIM(MID(SUBSTITUTE(K20,";",REPT(" ",99)),397,99)))+1,999),FIND(":",MID(TRIM(MID(SUBSTITUTE(K20,";",REPT(" ",99)),397,99)),FIND(":",TRIM(MID(SUBSTITUTE(K20,";",REPT(" ",99)),397,99)))+1,999))+1,999),FIND(":",MID(MID(TRIM(MID(SUBSTITUTE(K20,";",REPT(" ",99)),397,99)),FIND(":",TRIM(MID(SUBSTITUTE(K20,";",REPT(" ",99)),397,99)))+1,999),FIND(":",MID(TRIM(MID(SUBSTITUTE(K20,";",REPT(" ",99)),397,99)),FIND(":",TRIM(MID(SUBSTITUTE(K20,";",REPT(" ",99)),397,99)))+1,999))+1,999))-1))))</f>
        <v/>
      </c>
    </row>
    <row r="21">
      <c r="D21" s="11">
        <f>IFERROR(VLOOKUP(C21,ItemData_Fish!$A:$B,2,FALSE),"")</f>
        <v/>
      </c>
      <c r="L21" s="11">
        <f>IF(K21="","",TEXTJOIN("; ",TRUE,IF(TRIM(MID(SUBSTITUTE(K21,";",REPT(" ",99)),1,99))="","",IFERROR(VLOOKUP(--LEFT(MID(TRIM(MID(SUBSTITUTE(K21,";",REPT(" ",99)),1,99)),FIND(":",TRIM(MID(SUBSTITUTE(K21,";",REPT(" ",99)),1,99)))+1,999),FIND(":",MID(TRIM(MID(SUBSTITUTE(K21,";",REPT(" ",99)),1,99)),FIND(":",TRIM(MID(SUBSTITUTE(K21,";",REPT(" ",99)),1,99)))+1,999))-1),_Lookup!$A:$B,2,FALSE),"?")&amp;"×"&amp;LEFT(MID(MID(TRIM(MID(SUBSTITUTE(K21,";",REPT(" ",99)),1,99)),FIND(":",TRIM(MID(SUBSTITUTE(K21,";",REPT(" ",99)),1,99)))+1,999),FIND(":",MID(TRIM(MID(SUBSTITUTE(K21,";",REPT(" ",99)),1,99)),FIND(":",TRIM(MID(SUBSTITUTE(K21,";",REPT(" ",99)),1,99)))+1,999))+1,999),FIND(":",MID(MID(TRIM(MID(SUBSTITUTE(K21,";",REPT(" ",99)),1,99)),FIND(":",TRIM(MID(SUBSTITUTE(K21,";",REPT(" ",99)),1,99)))+1,999),FIND(":",MID(TRIM(MID(SUBSTITUTE(K21,";",REPT(" ",99)),1,99)),FIND(":",TRIM(MID(SUBSTITUTE(K21,";",REPT(" ",99)),1,99)))+1,999))+1,999))-1)),IF(TRIM(MID(SUBSTITUTE(K21,";",REPT(" ",99)),100,99))="","",IFERROR(VLOOKUP(--LEFT(MID(TRIM(MID(SUBSTITUTE(K21,";",REPT(" ",99)),100,99)),FIND(":",TRIM(MID(SUBSTITUTE(K21,";",REPT(" ",99)),100,99)))+1,999),FIND(":",MID(TRIM(MID(SUBSTITUTE(K21,";",REPT(" ",99)),100,99)),FIND(":",TRIM(MID(SUBSTITUTE(K21,";",REPT(" ",99)),100,99)))+1,999))-1),_Lookup!$A:$B,2,FALSE),"?")&amp;"×"&amp;LEFT(MID(MID(TRIM(MID(SUBSTITUTE(K21,";",REPT(" ",99)),100,99)),FIND(":",TRIM(MID(SUBSTITUTE(K21,";",REPT(" ",99)),100,99)))+1,999),FIND(":",MID(TRIM(MID(SUBSTITUTE(K21,";",REPT(" ",99)),100,99)),FIND(":",TRIM(MID(SUBSTITUTE(K21,";",REPT(" ",99)),100,99)))+1,999))+1,999),FIND(":",MID(MID(TRIM(MID(SUBSTITUTE(K21,";",REPT(" ",99)),100,99)),FIND(":",TRIM(MID(SUBSTITUTE(K21,";",REPT(" ",99)),100,99)))+1,999),FIND(":",MID(TRIM(MID(SUBSTITUTE(K21,";",REPT(" ",99)),100,99)),FIND(":",TRIM(MID(SUBSTITUTE(K21,";",REPT(" ",99)),100,99)))+1,999))+1,999))-1)),IF(TRIM(MID(SUBSTITUTE(K21,";",REPT(" ",99)),199,99))="","",IFERROR(VLOOKUP(--LEFT(MID(TRIM(MID(SUBSTITUTE(K21,";",REPT(" ",99)),199,99)),FIND(":",TRIM(MID(SUBSTITUTE(K21,";",REPT(" ",99)),199,99)))+1,999),FIND(":",MID(TRIM(MID(SUBSTITUTE(K21,";",REPT(" ",99)),199,99)),FIND(":",TRIM(MID(SUBSTITUTE(K21,";",REPT(" ",99)),199,99)))+1,999))-1),_Lookup!$A:$B,2,FALSE),"?")&amp;"×"&amp;LEFT(MID(MID(TRIM(MID(SUBSTITUTE(K21,";",REPT(" ",99)),199,99)),FIND(":",TRIM(MID(SUBSTITUTE(K21,";",REPT(" ",99)),199,99)))+1,999),FIND(":",MID(TRIM(MID(SUBSTITUTE(K21,";",REPT(" ",99)),199,99)),FIND(":",TRIM(MID(SUBSTITUTE(K21,";",REPT(" ",99)),199,99)))+1,999))+1,999),FIND(":",MID(MID(TRIM(MID(SUBSTITUTE(K21,";",REPT(" ",99)),199,99)),FIND(":",TRIM(MID(SUBSTITUTE(K21,";",REPT(" ",99)),199,99)))+1,999),FIND(":",MID(TRIM(MID(SUBSTITUTE(K21,";",REPT(" ",99)),199,99)),FIND(":",TRIM(MID(SUBSTITUTE(K21,";",REPT(" ",99)),199,99)))+1,999))+1,999))-1)),IF(TRIM(MID(SUBSTITUTE(K21,";",REPT(" ",99)),298,99))="","",IFERROR(VLOOKUP(--LEFT(MID(TRIM(MID(SUBSTITUTE(K21,";",REPT(" ",99)),298,99)),FIND(":",TRIM(MID(SUBSTITUTE(K21,";",REPT(" ",99)),298,99)))+1,999),FIND(":",MID(TRIM(MID(SUBSTITUTE(K21,";",REPT(" ",99)),298,99)),FIND(":",TRIM(MID(SUBSTITUTE(K21,";",REPT(" ",99)),298,99)))+1,999))-1),_Lookup!$A:$B,2,FALSE),"?")&amp;"×"&amp;LEFT(MID(MID(TRIM(MID(SUBSTITUTE(K21,";",REPT(" ",99)),298,99)),FIND(":",TRIM(MID(SUBSTITUTE(K21,";",REPT(" ",99)),298,99)))+1,999),FIND(":",MID(TRIM(MID(SUBSTITUTE(K21,";",REPT(" ",99)),298,99)),FIND(":",TRIM(MID(SUBSTITUTE(K21,";",REPT(" ",99)),298,99)))+1,999))+1,999),FIND(":",MID(MID(TRIM(MID(SUBSTITUTE(K21,";",REPT(" ",99)),298,99)),FIND(":",TRIM(MID(SUBSTITUTE(K21,";",REPT(" ",99)),298,99)))+1,999),FIND(":",MID(TRIM(MID(SUBSTITUTE(K21,";",REPT(" ",99)),298,99)),FIND(":",TRIM(MID(SUBSTITUTE(K21,";",REPT(" ",99)),298,99)))+1,999))+1,999))-1)),IF(TRIM(MID(SUBSTITUTE(K21,";",REPT(" ",99)),397,99))="","",IFERROR(VLOOKUP(--LEFT(MID(TRIM(MID(SUBSTITUTE(K21,";",REPT(" ",99)),397,99)),FIND(":",TRIM(MID(SUBSTITUTE(K21,";",REPT(" ",99)),397,99)))+1,999),FIND(":",MID(TRIM(MID(SUBSTITUTE(K21,";",REPT(" ",99)),397,99)),FIND(":",TRIM(MID(SUBSTITUTE(K21,";",REPT(" ",99)),397,99)))+1,999))-1),_Lookup!$A:$B,2,FALSE),"?")&amp;"×"&amp;LEFT(MID(MID(TRIM(MID(SUBSTITUTE(K21,";",REPT(" ",99)),397,99)),FIND(":",TRIM(MID(SUBSTITUTE(K21,";",REPT(" ",99)),397,99)))+1,999),FIND(":",MID(TRIM(MID(SUBSTITUTE(K21,";",REPT(" ",99)),397,99)),FIND(":",TRIM(MID(SUBSTITUTE(K21,";",REPT(" ",99)),397,99)))+1,999))+1,999),FIND(":",MID(MID(TRIM(MID(SUBSTITUTE(K21,";",REPT(" ",99)),397,99)),FIND(":",TRIM(MID(SUBSTITUTE(K21,";",REPT(" ",99)),397,99)))+1,999),FIND(":",MID(TRIM(MID(SUBSTITUTE(K21,";",REPT(" ",99)),397,99)),FIND(":",TRIM(MID(SUBSTITUTE(K21,";",REPT(" ",99)),397,99)))+1,999))+1,999))-1))))</f>
        <v/>
      </c>
    </row>
    <row r="22">
      <c r="D22" s="11">
        <f>IFERROR(VLOOKUP(C22,ItemData_Fish!$A:$B,2,FALSE),"")</f>
        <v/>
      </c>
      <c r="L22" s="11">
        <f>IF(K22="","",TEXTJOIN("; ",TRUE,IF(TRIM(MID(SUBSTITUTE(K22,";",REPT(" ",99)),1,99))="","",IFERROR(VLOOKUP(--LEFT(MID(TRIM(MID(SUBSTITUTE(K22,";",REPT(" ",99)),1,99)),FIND(":",TRIM(MID(SUBSTITUTE(K22,";",REPT(" ",99)),1,99)))+1,999),FIND(":",MID(TRIM(MID(SUBSTITUTE(K22,";",REPT(" ",99)),1,99)),FIND(":",TRIM(MID(SUBSTITUTE(K22,";",REPT(" ",99)),1,99)))+1,999))-1),_Lookup!$A:$B,2,FALSE),"?")&amp;"×"&amp;LEFT(MID(MID(TRIM(MID(SUBSTITUTE(K22,";",REPT(" ",99)),1,99)),FIND(":",TRIM(MID(SUBSTITUTE(K22,";",REPT(" ",99)),1,99)))+1,999),FIND(":",MID(TRIM(MID(SUBSTITUTE(K22,";",REPT(" ",99)),1,99)),FIND(":",TRIM(MID(SUBSTITUTE(K22,";",REPT(" ",99)),1,99)))+1,999))+1,999),FIND(":",MID(MID(TRIM(MID(SUBSTITUTE(K22,";",REPT(" ",99)),1,99)),FIND(":",TRIM(MID(SUBSTITUTE(K22,";",REPT(" ",99)),1,99)))+1,999),FIND(":",MID(TRIM(MID(SUBSTITUTE(K22,";",REPT(" ",99)),1,99)),FIND(":",TRIM(MID(SUBSTITUTE(K22,";",REPT(" ",99)),1,99)))+1,999))+1,999))-1)),IF(TRIM(MID(SUBSTITUTE(K22,";",REPT(" ",99)),100,99))="","",IFERROR(VLOOKUP(--LEFT(MID(TRIM(MID(SUBSTITUTE(K22,";",REPT(" ",99)),100,99)),FIND(":",TRIM(MID(SUBSTITUTE(K22,";",REPT(" ",99)),100,99)))+1,999),FIND(":",MID(TRIM(MID(SUBSTITUTE(K22,";",REPT(" ",99)),100,99)),FIND(":",TRIM(MID(SUBSTITUTE(K22,";",REPT(" ",99)),100,99)))+1,999))-1),_Lookup!$A:$B,2,FALSE),"?")&amp;"×"&amp;LEFT(MID(MID(TRIM(MID(SUBSTITUTE(K22,";",REPT(" ",99)),100,99)),FIND(":",TRIM(MID(SUBSTITUTE(K22,";",REPT(" ",99)),100,99)))+1,999),FIND(":",MID(TRIM(MID(SUBSTITUTE(K22,";",REPT(" ",99)),100,99)),FIND(":",TRIM(MID(SUBSTITUTE(K22,";",REPT(" ",99)),100,99)))+1,999))+1,999),FIND(":",MID(MID(TRIM(MID(SUBSTITUTE(K22,";",REPT(" ",99)),100,99)),FIND(":",TRIM(MID(SUBSTITUTE(K22,";",REPT(" ",99)),100,99)))+1,999),FIND(":",MID(TRIM(MID(SUBSTITUTE(K22,";",REPT(" ",99)),100,99)),FIND(":",TRIM(MID(SUBSTITUTE(K22,";",REPT(" ",99)),100,99)))+1,999))+1,999))-1)),IF(TRIM(MID(SUBSTITUTE(K22,";",REPT(" ",99)),199,99))="","",IFERROR(VLOOKUP(--LEFT(MID(TRIM(MID(SUBSTITUTE(K22,";",REPT(" ",99)),199,99)),FIND(":",TRIM(MID(SUBSTITUTE(K22,";",REPT(" ",99)),199,99)))+1,999),FIND(":",MID(TRIM(MID(SUBSTITUTE(K22,";",REPT(" ",99)),199,99)),FIND(":",TRIM(MID(SUBSTITUTE(K22,";",REPT(" ",99)),199,99)))+1,999))-1),_Lookup!$A:$B,2,FALSE),"?")&amp;"×"&amp;LEFT(MID(MID(TRIM(MID(SUBSTITUTE(K22,";",REPT(" ",99)),199,99)),FIND(":",TRIM(MID(SUBSTITUTE(K22,";",REPT(" ",99)),199,99)))+1,999),FIND(":",MID(TRIM(MID(SUBSTITUTE(K22,";",REPT(" ",99)),199,99)),FIND(":",TRIM(MID(SUBSTITUTE(K22,";",REPT(" ",99)),199,99)))+1,999))+1,999),FIND(":",MID(MID(TRIM(MID(SUBSTITUTE(K22,";",REPT(" ",99)),199,99)),FIND(":",TRIM(MID(SUBSTITUTE(K22,";",REPT(" ",99)),199,99)))+1,999),FIND(":",MID(TRIM(MID(SUBSTITUTE(K22,";",REPT(" ",99)),199,99)),FIND(":",TRIM(MID(SUBSTITUTE(K22,";",REPT(" ",99)),199,99)))+1,999))+1,999))-1)),IF(TRIM(MID(SUBSTITUTE(K22,";",REPT(" ",99)),298,99))="","",IFERROR(VLOOKUP(--LEFT(MID(TRIM(MID(SUBSTITUTE(K22,";",REPT(" ",99)),298,99)),FIND(":",TRIM(MID(SUBSTITUTE(K22,";",REPT(" ",99)),298,99)))+1,999),FIND(":",MID(TRIM(MID(SUBSTITUTE(K22,";",REPT(" ",99)),298,99)),FIND(":",TRIM(MID(SUBSTITUTE(K22,";",REPT(" ",99)),298,99)))+1,999))-1),_Lookup!$A:$B,2,FALSE),"?")&amp;"×"&amp;LEFT(MID(MID(TRIM(MID(SUBSTITUTE(K22,";",REPT(" ",99)),298,99)),FIND(":",TRIM(MID(SUBSTITUTE(K22,";",REPT(" ",99)),298,99)))+1,999),FIND(":",MID(TRIM(MID(SUBSTITUTE(K22,";",REPT(" ",99)),298,99)),FIND(":",TRIM(MID(SUBSTITUTE(K22,";",REPT(" ",99)),298,99)))+1,999))+1,999),FIND(":",MID(MID(TRIM(MID(SUBSTITUTE(K22,";",REPT(" ",99)),298,99)),FIND(":",TRIM(MID(SUBSTITUTE(K22,";",REPT(" ",99)),298,99)))+1,999),FIND(":",MID(TRIM(MID(SUBSTITUTE(K22,";",REPT(" ",99)),298,99)),FIND(":",TRIM(MID(SUBSTITUTE(K22,";",REPT(" ",99)),298,99)))+1,999))+1,999))-1)),IF(TRIM(MID(SUBSTITUTE(K22,";",REPT(" ",99)),397,99))="","",IFERROR(VLOOKUP(--LEFT(MID(TRIM(MID(SUBSTITUTE(K22,";",REPT(" ",99)),397,99)),FIND(":",TRIM(MID(SUBSTITUTE(K22,";",REPT(" ",99)),397,99)))+1,999),FIND(":",MID(TRIM(MID(SUBSTITUTE(K22,";",REPT(" ",99)),397,99)),FIND(":",TRIM(MID(SUBSTITUTE(K22,";",REPT(" ",99)),397,99)))+1,999))-1),_Lookup!$A:$B,2,FALSE),"?")&amp;"×"&amp;LEFT(MID(MID(TRIM(MID(SUBSTITUTE(K22,";",REPT(" ",99)),397,99)),FIND(":",TRIM(MID(SUBSTITUTE(K22,";",REPT(" ",99)),397,99)))+1,999),FIND(":",MID(TRIM(MID(SUBSTITUTE(K22,";",REPT(" ",99)),397,99)),FIND(":",TRIM(MID(SUBSTITUTE(K22,";",REPT(" ",99)),397,99)))+1,999))+1,999),FIND(":",MID(MID(TRIM(MID(SUBSTITUTE(K22,";",REPT(" ",99)),397,99)),FIND(":",TRIM(MID(SUBSTITUTE(K22,";",REPT(" ",99)),397,99)))+1,999),FIND(":",MID(TRIM(MID(SUBSTITUTE(K22,";",REPT(" ",99)),397,99)),FIND(":",TRIM(MID(SUBSTITUTE(K22,";",REPT(" ",99)),397,99)))+1,999))+1,999))-1))))</f>
        <v/>
      </c>
    </row>
    <row r="23">
      <c r="D23" s="11">
        <f>IFERROR(VLOOKUP(C23,ItemData_Fish!$A:$B,2,FALSE),"")</f>
        <v/>
      </c>
      <c r="L23" s="11">
        <f>IF(K23="","",TEXTJOIN("; ",TRUE,IF(TRIM(MID(SUBSTITUTE(K23,";",REPT(" ",99)),1,99))="","",IFERROR(VLOOKUP(--LEFT(MID(TRIM(MID(SUBSTITUTE(K23,";",REPT(" ",99)),1,99)),FIND(":",TRIM(MID(SUBSTITUTE(K23,";",REPT(" ",99)),1,99)))+1,999),FIND(":",MID(TRIM(MID(SUBSTITUTE(K23,";",REPT(" ",99)),1,99)),FIND(":",TRIM(MID(SUBSTITUTE(K23,";",REPT(" ",99)),1,99)))+1,999))-1),_Lookup!$A:$B,2,FALSE),"?")&amp;"×"&amp;LEFT(MID(MID(TRIM(MID(SUBSTITUTE(K23,";",REPT(" ",99)),1,99)),FIND(":",TRIM(MID(SUBSTITUTE(K23,";",REPT(" ",99)),1,99)))+1,999),FIND(":",MID(TRIM(MID(SUBSTITUTE(K23,";",REPT(" ",99)),1,99)),FIND(":",TRIM(MID(SUBSTITUTE(K23,";",REPT(" ",99)),1,99)))+1,999))+1,999),FIND(":",MID(MID(TRIM(MID(SUBSTITUTE(K23,";",REPT(" ",99)),1,99)),FIND(":",TRIM(MID(SUBSTITUTE(K23,";",REPT(" ",99)),1,99)))+1,999),FIND(":",MID(TRIM(MID(SUBSTITUTE(K23,";",REPT(" ",99)),1,99)),FIND(":",TRIM(MID(SUBSTITUTE(K23,";",REPT(" ",99)),1,99)))+1,999))+1,999))-1)),IF(TRIM(MID(SUBSTITUTE(K23,";",REPT(" ",99)),100,99))="","",IFERROR(VLOOKUP(--LEFT(MID(TRIM(MID(SUBSTITUTE(K23,";",REPT(" ",99)),100,99)),FIND(":",TRIM(MID(SUBSTITUTE(K23,";",REPT(" ",99)),100,99)))+1,999),FIND(":",MID(TRIM(MID(SUBSTITUTE(K23,";",REPT(" ",99)),100,99)),FIND(":",TRIM(MID(SUBSTITUTE(K23,";",REPT(" ",99)),100,99)))+1,999))-1),_Lookup!$A:$B,2,FALSE),"?")&amp;"×"&amp;LEFT(MID(MID(TRIM(MID(SUBSTITUTE(K23,";",REPT(" ",99)),100,99)),FIND(":",TRIM(MID(SUBSTITUTE(K23,";",REPT(" ",99)),100,99)))+1,999),FIND(":",MID(TRIM(MID(SUBSTITUTE(K23,";",REPT(" ",99)),100,99)),FIND(":",TRIM(MID(SUBSTITUTE(K23,";",REPT(" ",99)),100,99)))+1,999))+1,999),FIND(":",MID(MID(TRIM(MID(SUBSTITUTE(K23,";",REPT(" ",99)),100,99)),FIND(":",TRIM(MID(SUBSTITUTE(K23,";",REPT(" ",99)),100,99)))+1,999),FIND(":",MID(TRIM(MID(SUBSTITUTE(K23,";",REPT(" ",99)),100,99)),FIND(":",TRIM(MID(SUBSTITUTE(K23,";",REPT(" ",99)),100,99)))+1,999))+1,999))-1)),IF(TRIM(MID(SUBSTITUTE(K23,";",REPT(" ",99)),199,99))="","",IFERROR(VLOOKUP(--LEFT(MID(TRIM(MID(SUBSTITUTE(K23,";",REPT(" ",99)),199,99)),FIND(":",TRIM(MID(SUBSTITUTE(K23,";",REPT(" ",99)),199,99)))+1,999),FIND(":",MID(TRIM(MID(SUBSTITUTE(K23,";",REPT(" ",99)),199,99)),FIND(":",TRIM(MID(SUBSTITUTE(K23,";",REPT(" ",99)),199,99)))+1,999))-1),_Lookup!$A:$B,2,FALSE),"?")&amp;"×"&amp;LEFT(MID(MID(TRIM(MID(SUBSTITUTE(K23,";",REPT(" ",99)),199,99)),FIND(":",TRIM(MID(SUBSTITUTE(K23,";",REPT(" ",99)),199,99)))+1,999),FIND(":",MID(TRIM(MID(SUBSTITUTE(K23,";",REPT(" ",99)),199,99)),FIND(":",TRIM(MID(SUBSTITUTE(K23,";",REPT(" ",99)),199,99)))+1,999))+1,999),FIND(":",MID(MID(TRIM(MID(SUBSTITUTE(K23,";",REPT(" ",99)),199,99)),FIND(":",TRIM(MID(SUBSTITUTE(K23,";",REPT(" ",99)),199,99)))+1,999),FIND(":",MID(TRIM(MID(SUBSTITUTE(K23,";",REPT(" ",99)),199,99)),FIND(":",TRIM(MID(SUBSTITUTE(K23,";",REPT(" ",99)),199,99)))+1,999))+1,999))-1)),IF(TRIM(MID(SUBSTITUTE(K23,";",REPT(" ",99)),298,99))="","",IFERROR(VLOOKUP(--LEFT(MID(TRIM(MID(SUBSTITUTE(K23,";",REPT(" ",99)),298,99)),FIND(":",TRIM(MID(SUBSTITUTE(K23,";",REPT(" ",99)),298,99)))+1,999),FIND(":",MID(TRIM(MID(SUBSTITUTE(K23,";",REPT(" ",99)),298,99)),FIND(":",TRIM(MID(SUBSTITUTE(K23,";",REPT(" ",99)),298,99)))+1,999))-1),_Lookup!$A:$B,2,FALSE),"?")&amp;"×"&amp;LEFT(MID(MID(TRIM(MID(SUBSTITUTE(K23,";",REPT(" ",99)),298,99)),FIND(":",TRIM(MID(SUBSTITUTE(K23,";",REPT(" ",99)),298,99)))+1,999),FIND(":",MID(TRIM(MID(SUBSTITUTE(K23,";",REPT(" ",99)),298,99)),FIND(":",TRIM(MID(SUBSTITUTE(K23,";",REPT(" ",99)),298,99)))+1,999))+1,999),FIND(":",MID(MID(TRIM(MID(SUBSTITUTE(K23,";",REPT(" ",99)),298,99)),FIND(":",TRIM(MID(SUBSTITUTE(K23,";",REPT(" ",99)),298,99)))+1,999),FIND(":",MID(TRIM(MID(SUBSTITUTE(K23,";",REPT(" ",99)),298,99)),FIND(":",TRIM(MID(SUBSTITUTE(K23,";",REPT(" ",99)),298,99)))+1,999))+1,999))-1)),IF(TRIM(MID(SUBSTITUTE(K23,";",REPT(" ",99)),397,99))="","",IFERROR(VLOOKUP(--LEFT(MID(TRIM(MID(SUBSTITUTE(K23,";",REPT(" ",99)),397,99)),FIND(":",TRIM(MID(SUBSTITUTE(K23,";",REPT(" ",99)),397,99)))+1,999),FIND(":",MID(TRIM(MID(SUBSTITUTE(K23,";",REPT(" ",99)),397,99)),FIND(":",TRIM(MID(SUBSTITUTE(K23,";",REPT(" ",99)),397,99)))+1,999))-1),_Lookup!$A:$B,2,FALSE),"?")&amp;"×"&amp;LEFT(MID(MID(TRIM(MID(SUBSTITUTE(K23,";",REPT(" ",99)),397,99)),FIND(":",TRIM(MID(SUBSTITUTE(K23,";",REPT(" ",99)),397,99)))+1,999),FIND(":",MID(TRIM(MID(SUBSTITUTE(K23,";",REPT(" ",99)),397,99)),FIND(":",TRIM(MID(SUBSTITUTE(K23,";",REPT(" ",99)),397,99)))+1,999))+1,999),FIND(":",MID(MID(TRIM(MID(SUBSTITUTE(K23,";",REPT(" ",99)),397,99)),FIND(":",TRIM(MID(SUBSTITUTE(K23,";",REPT(" ",99)),397,99)))+1,999),FIND(":",MID(TRIM(MID(SUBSTITUTE(K23,";",REPT(" ",99)),397,99)),FIND(":",TRIM(MID(SUBSTITUTE(K23,";",REPT(" ",99)),397,99)))+1,999))+1,999))-1))))</f>
        <v/>
      </c>
    </row>
    <row r="24">
      <c r="D24" s="11">
        <f>IFERROR(VLOOKUP(C24,ItemData_Fish!$A:$B,2,FALSE),"")</f>
        <v/>
      </c>
      <c r="L24" s="11">
        <f>IF(K24="","",TEXTJOIN("; ",TRUE,IF(TRIM(MID(SUBSTITUTE(K24,";",REPT(" ",99)),1,99))="","",IFERROR(VLOOKUP(--LEFT(MID(TRIM(MID(SUBSTITUTE(K24,";",REPT(" ",99)),1,99)),FIND(":",TRIM(MID(SUBSTITUTE(K24,";",REPT(" ",99)),1,99)))+1,999),FIND(":",MID(TRIM(MID(SUBSTITUTE(K24,";",REPT(" ",99)),1,99)),FIND(":",TRIM(MID(SUBSTITUTE(K24,";",REPT(" ",99)),1,99)))+1,999))-1),_Lookup!$A:$B,2,FALSE),"?")&amp;"×"&amp;LEFT(MID(MID(TRIM(MID(SUBSTITUTE(K24,";",REPT(" ",99)),1,99)),FIND(":",TRIM(MID(SUBSTITUTE(K24,";",REPT(" ",99)),1,99)))+1,999),FIND(":",MID(TRIM(MID(SUBSTITUTE(K24,";",REPT(" ",99)),1,99)),FIND(":",TRIM(MID(SUBSTITUTE(K24,";",REPT(" ",99)),1,99)))+1,999))+1,999),FIND(":",MID(MID(TRIM(MID(SUBSTITUTE(K24,";",REPT(" ",99)),1,99)),FIND(":",TRIM(MID(SUBSTITUTE(K24,";",REPT(" ",99)),1,99)))+1,999),FIND(":",MID(TRIM(MID(SUBSTITUTE(K24,";",REPT(" ",99)),1,99)),FIND(":",TRIM(MID(SUBSTITUTE(K24,";",REPT(" ",99)),1,99)))+1,999))+1,999))-1)),IF(TRIM(MID(SUBSTITUTE(K24,";",REPT(" ",99)),100,99))="","",IFERROR(VLOOKUP(--LEFT(MID(TRIM(MID(SUBSTITUTE(K24,";",REPT(" ",99)),100,99)),FIND(":",TRIM(MID(SUBSTITUTE(K24,";",REPT(" ",99)),100,99)))+1,999),FIND(":",MID(TRIM(MID(SUBSTITUTE(K24,";",REPT(" ",99)),100,99)),FIND(":",TRIM(MID(SUBSTITUTE(K24,";",REPT(" ",99)),100,99)))+1,999))-1),_Lookup!$A:$B,2,FALSE),"?")&amp;"×"&amp;LEFT(MID(MID(TRIM(MID(SUBSTITUTE(K24,";",REPT(" ",99)),100,99)),FIND(":",TRIM(MID(SUBSTITUTE(K24,";",REPT(" ",99)),100,99)))+1,999),FIND(":",MID(TRIM(MID(SUBSTITUTE(K24,";",REPT(" ",99)),100,99)),FIND(":",TRIM(MID(SUBSTITUTE(K24,";",REPT(" ",99)),100,99)))+1,999))+1,999),FIND(":",MID(MID(TRIM(MID(SUBSTITUTE(K24,";",REPT(" ",99)),100,99)),FIND(":",TRIM(MID(SUBSTITUTE(K24,";",REPT(" ",99)),100,99)))+1,999),FIND(":",MID(TRIM(MID(SUBSTITUTE(K24,";",REPT(" ",99)),100,99)),FIND(":",TRIM(MID(SUBSTITUTE(K24,";",REPT(" ",99)),100,99)))+1,999))+1,999))-1)),IF(TRIM(MID(SUBSTITUTE(K24,";",REPT(" ",99)),199,99))="","",IFERROR(VLOOKUP(--LEFT(MID(TRIM(MID(SUBSTITUTE(K24,";",REPT(" ",99)),199,99)),FIND(":",TRIM(MID(SUBSTITUTE(K24,";",REPT(" ",99)),199,99)))+1,999),FIND(":",MID(TRIM(MID(SUBSTITUTE(K24,";",REPT(" ",99)),199,99)),FIND(":",TRIM(MID(SUBSTITUTE(K24,";",REPT(" ",99)),199,99)))+1,999))-1),_Lookup!$A:$B,2,FALSE),"?")&amp;"×"&amp;LEFT(MID(MID(TRIM(MID(SUBSTITUTE(K24,";",REPT(" ",99)),199,99)),FIND(":",TRIM(MID(SUBSTITUTE(K24,";",REPT(" ",99)),199,99)))+1,999),FIND(":",MID(TRIM(MID(SUBSTITUTE(K24,";",REPT(" ",99)),199,99)),FIND(":",TRIM(MID(SUBSTITUTE(K24,";",REPT(" ",99)),199,99)))+1,999))+1,999),FIND(":",MID(MID(TRIM(MID(SUBSTITUTE(K24,";",REPT(" ",99)),199,99)),FIND(":",TRIM(MID(SUBSTITUTE(K24,";",REPT(" ",99)),199,99)))+1,999),FIND(":",MID(TRIM(MID(SUBSTITUTE(K24,";",REPT(" ",99)),199,99)),FIND(":",TRIM(MID(SUBSTITUTE(K24,";",REPT(" ",99)),199,99)))+1,999))+1,999))-1)),IF(TRIM(MID(SUBSTITUTE(K24,";",REPT(" ",99)),298,99))="","",IFERROR(VLOOKUP(--LEFT(MID(TRIM(MID(SUBSTITUTE(K24,";",REPT(" ",99)),298,99)),FIND(":",TRIM(MID(SUBSTITUTE(K24,";",REPT(" ",99)),298,99)))+1,999),FIND(":",MID(TRIM(MID(SUBSTITUTE(K24,";",REPT(" ",99)),298,99)),FIND(":",TRIM(MID(SUBSTITUTE(K24,";",REPT(" ",99)),298,99)))+1,999))-1),_Lookup!$A:$B,2,FALSE),"?")&amp;"×"&amp;LEFT(MID(MID(TRIM(MID(SUBSTITUTE(K24,";",REPT(" ",99)),298,99)),FIND(":",TRIM(MID(SUBSTITUTE(K24,";",REPT(" ",99)),298,99)))+1,999),FIND(":",MID(TRIM(MID(SUBSTITUTE(K24,";",REPT(" ",99)),298,99)),FIND(":",TRIM(MID(SUBSTITUTE(K24,";",REPT(" ",99)),298,99)))+1,999))+1,999),FIND(":",MID(MID(TRIM(MID(SUBSTITUTE(K24,";",REPT(" ",99)),298,99)),FIND(":",TRIM(MID(SUBSTITUTE(K24,";",REPT(" ",99)),298,99)))+1,999),FIND(":",MID(TRIM(MID(SUBSTITUTE(K24,";",REPT(" ",99)),298,99)),FIND(":",TRIM(MID(SUBSTITUTE(K24,";",REPT(" ",99)),298,99)))+1,999))+1,999))-1)),IF(TRIM(MID(SUBSTITUTE(K24,";",REPT(" ",99)),397,99))="","",IFERROR(VLOOKUP(--LEFT(MID(TRIM(MID(SUBSTITUTE(K24,";",REPT(" ",99)),397,99)),FIND(":",TRIM(MID(SUBSTITUTE(K24,";",REPT(" ",99)),397,99)))+1,999),FIND(":",MID(TRIM(MID(SUBSTITUTE(K24,";",REPT(" ",99)),397,99)),FIND(":",TRIM(MID(SUBSTITUTE(K24,";",REPT(" ",99)),397,99)))+1,999))-1),_Lookup!$A:$B,2,FALSE),"?")&amp;"×"&amp;LEFT(MID(MID(TRIM(MID(SUBSTITUTE(K24,";",REPT(" ",99)),397,99)),FIND(":",TRIM(MID(SUBSTITUTE(K24,";",REPT(" ",99)),397,99)))+1,999),FIND(":",MID(TRIM(MID(SUBSTITUTE(K24,";",REPT(" ",99)),397,99)),FIND(":",TRIM(MID(SUBSTITUTE(K24,";",REPT(" ",99)),397,99)))+1,999))+1,999),FIND(":",MID(MID(TRIM(MID(SUBSTITUTE(K24,";",REPT(" ",99)),397,99)),FIND(":",TRIM(MID(SUBSTITUTE(K24,";",REPT(" ",99)),397,99)))+1,999),FIND(":",MID(TRIM(MID(SUBSTITUTE(K24,";",REPT(" ",99)),397,99)),FIND(":",TRIM(MID(SUBSTITUTE(K24,";",REPT(" ",99)),397,99)))+1,999))+1,999))-1))))</f>
        <v/>
      </c>
    </row>
    <row r="25">
      <c r="D25" s="11">
        <f>IFERROR(VLOOKUP(C25,ItemData_Fish!$A:$B,2,FALSE),"")</f>
        <v/>
      </c>
      <c r="L25" s="11">
        <f>IF(K25="","",TEXTJOIN("; ",TRUE,IF(TRIM(MID(SUBSTITUTE(K25,";",REPT(" ",99)),1,99))="","",IFERROR(VLOOKUP(--LEFT(MID(TRIM(MID(SUBSTITUTE(K25,";",REPT(" ",99)),1,99)),FIND(":",TRIM(MID(SUBSTITUTE(K25,";",REPT(" ",99)),1,99)))+1,999),FIND(":",MID(TRIM(MID(SUBSTITUTE(K25,";",REPT(" ",99)),1,99)),FIND(":",TRIM(MID(SUBSTITUTE(K25,";",REPT(" ",99)),1,99)))+1,999))-1),_Lookup!$A:$B,2,FALSE),"?")&amp;"×"&amp;LEFT(MID(MID(TRIM(MID(SUBSTITUTE(K25,";",REPT(" ",99)),1,99)),FIND(":",TRIM(MID(SUBSTITUTE(K25,";",REPT(" ",99)),1,99)))+1,999),FIND(":",MID(TRIM(MID(SUBSTITUTE(K25,";",REPT(" ",99)),1,99)),FIND(":",TRIM(MID(SUBSTITUTE(K25,";",REPT(" ",99)),1,99)))+1,999))+1,999),FIND(":",MID(MID(TRIM(MID(SUBSTITUTE(K25,";",REPT(" ",99)),1,99)),FIND(":",TRIM(MID(SUBSTITUTE(K25,";",REPT(" ",99)),1,99)))+1,999),FIND(":",MID(TRIM(MID(SUBSTITUTE(K25,";",REPT(" ",99)),1,99)),FIND(":",TRIM(MID(SUBSTITUTE(K25,";",REPT(" ",99)),1,99)))+1,999))+1,999))-1)),IF(TRIM(MID(SUBSTITUTE(K25,";",REPT(" ",99)),100,99))="","",IFERROR(VLOOKUP(--LEFT(MID(TRIM(MID(SUBSTITUTE(K25,";",REPT(" ",99)),100,99)),FIND(":",TRIM(MID(SUBSTITUTE(K25,";",REPT(" ",99)),100,99)))+1,999),FIND(":",MID(TRIM(MID(SUBSTITUTE(K25,";",REPT(" ",99)),100,99)),FIND(":",TRIM(MID(SUBSTITUTE(K25,";",REPT(" ",99)),100,99)))+1,999))-1),_Lookup!$A:$B,2,FALSE),"?")&amp;"×"&amp;LEFT(MID(MID(TRIM(MID(SUBSTITUTE(K25,";",REPT(" ",99)),100,99)),FIND(":",TRIM(MID(SUBSTITUTE(K25,";",REPT(" ",99)),100,99)))+1,999),FIND(":",MID(TRIM(MID(SUBSTITUTE(K25,";",REPT(" ",99)),100,99)),FIND(":",TRIM(MID(SUBSTITUTE(K25,";",REPT(" ",99)),100,99)))+1,999))+1,999),FIND(":",MID(MID(TRIM(MID(SUBSTITUTE(K25,";",REPT(" ",99)),100,99)),FIND(":",TRIM(MID(SUBSTITUTE(K25,";",REPT(" ",99)),100,99)))+1,999),FIND(":",MID(TRIM(MID(SUBSTITUTE(K25,";",REPT(" ",99)),100,99)),FIND(":",TRIM(MID(SUBSTITUTE(K25,";",REPT(" ",99)),100,99)))+1,999))+1,999))-1)),IF(TRIM(MID(SUBSTITUTE(K25,";",REPT(" ",99)),199,99))="","",IFERROR(VLOOKUP(--LEFT(MID(TRIM(MID(SUBSTITUTE(K25,";",REPT(" ",99)),199,99)),FIND(":",TRIM(MID(SUBSTITUTE(K25,";",REPT(" ",99)),199,99)))+1,999),FIND(":",MID(TRIM(MID(SUBSTITUTE(K25,";",REPT(" ",99)),199,99)),FIND(":",TRIM(MID(SUBSTITUTE(K25,";",REPT(" ",99)),199,99)))+1,999))-1),_Lookup!$A:$B,2,FALSE),"?")&amp;"×"&amp;LEFT(MID(MID(TRIM(MID(SUBSTITUTE(K25,";",REPT(" ",99)),199,99)),FIND(":",TRIM(MID(SUBSTITUTE(K25,";",REPT(" ",99)),199,99)))+1,999),FIND(":",MID(TRIM(MID(SUBSTITUTE(K25,";",REPT(" ",99)),199,99)),FIND(":",TRIM(MID(SUBSTITUTE(K25,";",REPT(" ",99)),199,99)))+1,999))+1,999),FIND(":",MID(MID(TRIM(MID(SUBSTITUTE(K25,";",REPT(" ",99)),199,99)),FIND(":",TRIM(MID(SUBSTITUTE(K25,";",REPT(" ",99)),199,99)))+1,999),FIND(":",MID(TRIM(MID(SUBSTITUTE(K25,";",REPT(" ",99)),199,99)),FIND(":",TRIM(MID(SUBSTITUTE(K25,";",REPT(" ",99)),199,99)))+1,999))+1,999))-1)),IF(TRIM(MID(SUBSTITUTE(K25,";",REPT(" ",99)),298,99))="","",IFERROR(VLOOKUP(--LEFT(MID(TRIM(MID(SUBSTITUTE(K25,";",REPT(" ",99)),298,99)),FIND(":",TRIM(MID(SUBSTITUTE(K25,";",REPT(" ",99)),298,99)))+1,999),FIND(":",MID(TRIM(MID(SUBSTITUTE(K25,";",REPT(" ",99)),298,99)),FIND(":",TRIM(MID(SUBSTITUTE(K25,";",REPT(" ",99)),298,99)))+1,999))-1),_Lookup!$A:$B,2,FALSE),"?")&amp;"×"&amp;LEFT(MID(MID(TRIM(MID(SUBSTITUTE(K25,";",REPT(" ",99)),298,99)),FIND(":",TRIM(MID(SUBSTITUTE(K25,";",REPT(" ",99)),298,99)))+1,999),FIND(":",MID(TRIM(MID(SUBSTITUTE(K25,";",REPT(" ",99)),298,99)),FIND(":",TRIM(MID(SUBSTITUTE(K25,";",REPT(" ",99)),298,99)))+1,999))+1,999),FIND(":",MID(MID(TRIM(MID(SUBSTITUTE(K25,";",REPT(" ",99)),298,99)),FIND(":",TRIM(MID(SUBSTITUTE(K25,";",REPT(" ",99)),298,99)))+1,999),FIND(":",MID(TRIM(MID(SUBSTITUTE(K25,";",REPT(" ",99)),298,99)),FIND(":",TRIM(MID(SUBSTITUTE(K25,";",REPT(" ",99)),298,99)))+1,999))+1,999))-1)),IF(TRIM(MID(SUBSTITUTE(K25,";",REPT(" ",99)),397,99))="","",IFERROR(VLOOKUP(--LEFT(MID(TRIM(MID(SUBSTITUTE(K25,";",REPT(" ",99)),397,99)),FIND(":",TRIM(MID(SUBSTITUTE(K25,";",REPT(" ",99)),397,99)))+1,999),FIND(":",MID(TRIM(MID(SUBSTITUTE(K25,";",REPT(" ",99)),397,99)),FIND(":",TRIM(MID(SUBSTITUTE(K25,";",REPT(" ",99)),397,99)))+1,999))-1),_Lookup!$A:$B,2,FALSE),"?")&amp;"×"&amp;LEFT(MID(MID(TRIM(MID(SUBSTITUTE(K25,";",REPT(" ",99)),397,99)),FIND(":",TRIM(MID(SUBSTITUTE(K25,";",REPT(" ",99)),397,99)))+1,999),FIND(":",MID(TRIM(MID(SUBSTITUTE(K25,";",REPT(" ",99)),397,99)),FIND(":",TRIM(MID(SUBSTITUTE(K25,";",REPT(" ",99)),397,99)))+1,999))+1,999),FIND(":",MID(MID(TRIM(MID(SUBSTITUTE(K25,";",REPT(" ",99)),397,99)),FIND(":",TRIM(MID(SUBSTITUTE(K25,";",REPT(" ",99)),397,99)))+1,999),FIND(":",MID(TRIM(MID(SUBSTITUTE(K25,";",REPT(" ",99)),397,99)),FIND(":",TRIM(MID(SUBSTITUTE(K25,";",REPT(" ",99)),397,99)))+1,999))+1,999))-1))))</f>
        <v/>
      </c>
    </row>
    <row r="26">
      <c r="D26" s="11">
        <f>IFERROR(VLOOKUP(C26,ItemData_Fish!$A:$B,2,FALSE),"")</f>
        <v/>
      </c>
      <c r="L26" s="11">
        <f>IF(K26="","",TEXTJOIN("; ",TRUE,IF(TRIM(MID(SUBSTITUTE(K26,";",REPT(" ",99)),1,99))="","",IFERROR(VLOOKUP(--LEFT(MID(TRIM(MID(SUBSTITUTE(K26,";",REPT(" ",99)),1,99)),FIND(":",TRIM(MID(SUBSTITUTE(K26,";",REPT(" ",99)),1,99)))+1,999),FIND(":",MID(TRIM(MID(SUBSTITUTE(K26,";",REPT(" ",99)),1,99)),FIND(":",TRIM(MID(SUBSTITUTE(K26,";",REPT(" ",99)),1,99)))+1,999))-1),_Lookup!$A:$B,2,FALSE),"?")&amp;"×"&amp;LEFT(MID(MID(TRIM(MID(SUBSTITUTE(K26,";",REPT(" ",99)),1,99)),FIND(":",TRIM(MID(SUBSTITUTE(K26,";",REPT(" ",99)),1,99)))+1,999),FIND(":",MID(TRIM(MID(SUBSTITUTE(K26,";",REPT(" ",99)),1,99)),FIND(":",TRIM(MID(SUBSTITUTE(K26,";",REPT(" ",99)),1,99)))+1,999))+1,999),FIND(":",MID(MID(TRIM(MID(SUBSTITUTE(K26,";",REPT(" ",99)),1,99)),FIND(":",TRIM(MID(SUBSTITUTE(K26,";",REPT(" ",99)),1,99)))+1,999),FIND(":",MID(TRIM(MID(SUBSTITUTE(K26,";",REPT(" ",99)),1,99)),FIND(":",TRIM(MID(SUBSTITUTE(K26,";",REPT(" ",99)),1,99)))+1,999))+1,999))-1)),IF(TRIM(MID(SUBSTITUTE(K26,";",REPT(" ",99)),100,99))="","",IFERROR(VLOOKUP(--LEFT(MID(TRIM(MID(SUBSTITUTE(K26,";",REPT(" ",99)),100,99)),FIND(":",TRIM(MID(SUBSTITUTE(K26,";",REPT(" ",99)),100,99)))+1,999),FIND(":",MID(TRIM(MID(SUBSTITUTE(K26,";",REPT(" ",99)),100,99)),FIND(":",TRIM(MID(SUBSTITUTE(K26,";",REPT(" ",99)),100,99)))+1,999))-1),_Lookup!$A:$B,2,FALSE),"?")&amp;"×"&amp;LEFT(MID(MID(TRIM(MID(SUBSTITUTE(K26,";",REPT(" ",99)),100,99)),FIND(":",TRIM(MID(SUBSTITUTE(K26,";",REPT(" ",99)),100,99)))+1,999),FIND(":",MID(TRIM(MID(SUBSTITUTE(K26,";",REPT(" ",99)),100,99)),FIND(":",TRIM(MID(SUBSTITUTE(K26,";",REPT(" ",99)),100,99)))+1,999))+1,999),FIND(":",MID(MID(TRIM(MID(SUBSTITUTE(K26,";",REPT(" ",99)),100,99)),FIND(":",TRIM(MID(SUBSTITUTE(K26,";",REPT(" ",99)),100,99)))+1,999),FIND(":",MID(TRIM(MID(SUBSTITUTE(K26,";",REPT(" ",99)),100,99)),FIND(":",TRIM(MID(SUBSTITUTE(K26,";",REPT(" ",99)),100,99)))+1,999))+1,999))-1)),IF(TRIM(MID(SUBSTITUTE(K26,";",REPT(" ",99)),199,99))="","",IFERROR(VLOOKUP(--LEFT(MID(TRIM(MID(SUBSTITUTE(K26,";",REPT(" ",99)),199,99)),FIND(":",TRIM(MID(SUBSTITUTE(K26,";",REPT(" ",99)),199,99)))+1,999),FIND(":",MID(TRIM(MID(SUBSTITUTE(K26,";",REPT(" ",99)),199,99)),FIND(":",TRIM(MID(SUBSTITUTE(K26,";",REPT(" ",99)),199,99)))+1,999))-1),_Lookup!$A:$B,2,FALSE),"?")&amp;"×"&amp;LEFT(MID(MID(TRIM(MID(SUBSTITUTE(K26,";",REPT(" ",99)),199,99)),FIND(":",TRIM(MID(SUBSTITUTE(K26,";",REPT(" ",99)),199,99)))+1,999),FIND(":",MID(TRIM(MID(SUBSTITUTE(K26,";",REPT(" ",99)),199,99)),FIND(":",TRIM(MID(SUBSTITUTE(K26,";",REPT(" ",99)),199,99)))+1,999))+1,999),FIND(":",MID(MID(TRIM(MID(SUBSTITUTE(K26,";",REPT(" ",99)),199,99)),FIND(":",TRIM(MID(SUBSTITUTE(K26,";",REPT(" ",99)),199,99)))+1,999),FIND(":",MID(TRIM(MID(SUBSTITUTE(K26,";",REPT(" ",99)),199,99)),FIND(":",TRIM(MID(SUBSTITUTE(K26,";",REPT(" ",99)),199,99)))+1,999))+1,999))-1)),IF(TRIM(MID(SUBSTITUTE(K26,";",REPT(" ",99)),298,99))="","",IFERROR(VLOOKUP(--LEFT(MID(TRIM(MID(SUBSTITUTE(K26,";",REPT(" ",99)),298,99)),FIND(":",TRIM(MID(SUBSTITUTE(K26,";",REPT(" ",99)),298,99)))+1,999),FIND(":",MID(TRIM(MID(SUBSTITUTE(K26,";",REPT(" ",99)),298,99)),FIND(":",TRIM(MID(SUBSTITUTE(K26,";",REPT(" ",99)),298,99)))+1,999))-1),_Lookup!$A:$B,2,FALSE),"?")&amp;"×"&amp;LEFT(MID(MID(TRIM(MID(SUBSTITUTE(K26,";",REPT(" ",99)),298,99)),FIND(":",TRIM(MID(SUBSTITUTE(K26,";",REPT(" ",99)),298,99)))+1,999),FIND(":",MID(TRIM(MID(SUBSTITUTE(K26,";",REPT(" ",99)),298,99)),FIND(":",TRIM(MID(SUBSTITUTE(K26,";",REPT(" ",99)),298,99)))+1,999))+1,999),FIND(":",MID(MID(TRIM(MID(SUBSTITUTE(K26,";",REPT(" ",99)),298,99)),FIND(":",TRIM(MID(SUBSTITUTE(K26,";",REPT(" ",99)),298,99)))+1,999),FIND(":",MID(TRIM(MID(SUBSTITUTE(K26,";",REPT(" ",99)),298,99)),FIND(":",TRIM(MID(SUBSTITUTE(K26,";",REPT(" ",99)),298,99)))+1,999))+1,999))-1)),IF(TRIM(MID(SUBSTITUTE(K26,";",REPT(" ",99)),397,99))="","",IFERROR(VLOOKUP(--LEFT(MID(TRIM(MID(SUBSTITUTE(K26,";",REPT(" ",99)),397,99)),FIND(":",TRIM(MID(SUBSTITUTE(K26,";",REPT(" ",99)),397,99)))+1,999),FIND(":",MID(TRIM(MID(SUBSTITUTE(K26,";",REPT(" ",99)),397,99)),FIND(":",TRIM(MID(SUBSTITUTE(K26,";",REPT(" ",99)),397,99)))+1,999))-1),_Lookup!$A:$B,2,FALSE),"?")&amp;"×"&amp;LEFT(MID(MID(TRIM(MID(SUBSTITUTE(K26,";",REPT(" ",99)),397,99)),FIND(":",TRIM(MID(SUBSTITUTE(K26,";",REPT(" ",99)),397,99)))+1,999),FIND(":",MID(TRIM(MID(SUBSTITUTE(K26,";",REPT(" ",99)),397,99)),FIND(":",TRIM(MID(SUBSTITUTE(K26,";",REPT(" ",99)),397,99)))+1,999))+1,999),FIND(":",MID(MID(TRIM(MID(SUBSTITUTE(K26,";",REPT(" ",99)),397,99)),FIND(":",TRIM(MID(SUBSTITUTE(K26,";",REPT(" ",99)),397,99)))+1,999),FIND(":",MID(TRIM(MID(SUBSTITUTE(K26,";",REPT(" ",99)),397,99)),FIND(":",TRIM(MID(SUBSTITUTE(K26,";",REPT(" ",99)),397,99)))+1,999))+1,999))-1))))</f>
        <v/>
      </c>
    </row>
    <row r="27">
      <c r="D27" s="11">
        <f>IFERROR(VLOOKUP(C27,ItemData_Fish!$A:$B,2,FALSE),"")</f>
        <v/>
      </c>
      <c r="L27" s="11">
        <f>IF(K27="","",TEXTJOIN("; ",TRUE,IF(TRIM(MID(SUBSTITUTE(K27,";",REPT(" ",99)),1,99))="","",IFERROR(VLOOKUP(--LEFT(MID(TRIM(MID(SUBSTITUTE(K27,";",REPT(" ",99)),1,99)),FIND(":",TRIM(MID(SUBSTITUTE(K27,";",REPT(" ",99)),1,99)))+1,999),FIND(":",MID(TRIM(MID(SUBSTITUTE(K27,";",REPT(" ",99)),1,99)),FIND(":",TRIM(MID(SUBSTITUTE(K27,";",REPT(" ",99)),1,99)))+1,999))-1),_Lookup!$A:$B,2,FALSE),"?")&amp;"×"&amp;LEFT(MID(MID(TRIM(MID(SUBSTITUTE(K27,";",REPT(" ",99)),1,99)),FIND(":",TRIM(MID(SUBSTITUTE(K27,";",REPT(" ",99)),1,99)))+1,999),FIND(":",MID(TRIM(MID(SUBSTITUTE(K27,";",REPT(" ",99)),1,99)),FIND(":",TRIM(MID(SUBSTITUTE(K27,";",REPT(" ",99)),1,99)))+1,999))+1,999),FIND(":",MID(MID(TRIM(MID(SUBSTITUTE(K27,";",REPT(" ",99)),1,99)),FIND(":",TRIM(MID(SUBSTITUTE(K27,";",REPT(" ",99)),1,99)))+1,999),FIND(":",MID(TRIM(MID(SUBSTITUTE(K27,";",REPT(" ",99)),1,99)),FIND(":",TRIM(MID(SUBSTITUTE(K27,";",REPT(" ",99)),1,99)))+1,999))+1,999))-1)),IF(TRIM(MID(SUBSTITUTE(K27,";",REPT(" ",99)),100,99))="","",IFERROR(VLOOKUP(--LEFT(MID(TRIM(MID(SUBSTITUTE(K27,";",REPT(" ",99)),100,99)),FIND(":",TRIM(MID(SUBSTITUTE(K27,";",REPT(" ",99)),100,99)))+1,999),FIND(":",MID(TRIM(MID(SUBSTITUTE(K27,";",REPT(" ",99)),100,99)),FIND(":",TRIM(MID(SUBSTITUTE(K27,";",REPT(" ",99)),100,99)))+1,999))-1),_Lookup!$A:$B,2,FALSE),"?")&amp;"×"&amp;LEFT(MID(MID(TRIM(MID(SUBSTITUTE(K27,";",REPT(" ",99)),100,99)),FIND(":",TRIM(MID(SUBSTITUTE(K27,";",REPT(" ",99)),100,99)))+1,999),FIND(":",MID(TRIM(MID(SUBSTITUTE(K27,";",REPT(" ",99)),100,99)),FIND(":",TRIM(MID(SUBSTITUTE(K27,";",REPT(" ",99)),100,99)))+1,999))+1,999),FIND(":",MID(MID(TRIM(MID(SUBSTITUTE(K27,";",REPT(" ",99)),100,99)),FIND(":",TRIM(MID(SUBSTITUTE(K27,";",REPT(" ",99)),100,99)))+1,999),FIND(":",MID(TRIM(MID(SUBSTITUTE(K27,";",REPT(" ",99)),100,99)),FIND(":",TRIM(MID(SUBSTITUTE(K27,";",REPT(" ",99)),100,99)))+1,999))+1,999))-1)),IF(TRIM(MID(SUBSTITUTE(K27,";",REPT(" ",99)),199,99))="","",IFERROR(VLOOKUP(--LEFT(MID(TRIM(MID(SUBSTITUTE(K27,";",REPT(" ",99)),199,99)),FIND(":",TRIM(MID(SUBSTITUTE(K27,";",REPT(" ",99)),199,99)))+1,999),FIND(":",MID(TRIM(MID(SUBSTITUTE(K27,";",REPT(" ",99)),199,99)),FIND(":",TRIM(MID(SUBSTITUTE(K27,";",REPT(" ",99)),199,99)))+1,999))-1),_Lookup!$A:$B,2,FALSE),"?")&amp;"×"&amp;LEFT(MID(MID(TRIM(MID(SUBSTITUTE(K27,";",REPT(" ",99)),199,99)),FIND(":",TRIM(MID(SUBSTITUTE(K27,";",REPT(" ",99)),199,99)))+1,999),FIND(":",MID(TRIM(MID(SUBSTITUTE(K27,";",REPT(" ",99)),199,99)),FIND(":",TRIM(MID(SUBSTITUTE(K27,";",REPT(" ",99)),199,99)))+1,999))+1,999),FIND(":",MID(MID(TRIM(MID(SUBSTITUTE(K27,";",REPT(" ",99)),199,99)),FIND(":",TRIM(MID(SUBSTITUTE(K27,";",REPT(" ",99)),199,99)))+1,999),FIND(":",MID(TRIM(MID(SUBSTITUTE(K27,";",REPT(" ",99)),199,99)),FIND(":",TRIM(MID(SUBSTITUTE(K27,";",REPT(" ",99)),199,99)))+1,999))+1,999))-1)),IF(TRIM(MID(SUBSTITUTE(K27,";",REPT(" ",99)),298,99))="","",IFERROR(VLOOKUP(--LEFT(MID(TRIM(MID(SUBSTITUTE(K27,";",REPT(" ",99)),298,99)),FIND(":",TRIM(MID(SUBSTITUTE(K27,";",REPT(" ",99)),298,99)))+1,999),FIND(":",MID(TRIM(MID(SUBSTITUTE(K27,";",REPT(" ",99)),298,99)),FIND(":",TRIM(MID(SUBSTITUTE(K27,";",REPT(" ",99)),298,99)))+1,999))-1),_Lookup!$A:$B,2,FALSE),"?")&amp;"×"&amp;LEFT(MID(MID(TRIM(MID(SUBSTITUTE(K27,";",REPT(" ",99)),298,99)),FIND(":",TRIM(MID(SUBSTITUTE(K27,";",REPT(" ",99)),298,99)))+1,999),FIND(":",MID(TRIM(MID(SUBSTITUTE(K27,";",REPT(" ",99)),298,99)),FIND(":",TRIM(MID(SUBSTITUTE(K27,";",REPT(" ",99)),298,99)))+1,999))+1,999),FIND(":",MID(MID(TRIM(MID(SUBSTITUTE(K27,";",REPT(" ",99)),298,99)),FIND(":",TRIM(MID(SUBSTITUTE(K27,";",REPT(" ",99)),298,99)))+1,999),FIND(":",MID(TRIM(MID(SUBSTITUTE(K27,";",REPT(" ",99)),298,99)),FIND(":",TRIM(MID(SUBSTITUTE(K27,";",REPT(" ",99)),298,99)))+1,999))+1,999))-1)),IF(TRIM(MID(SUBSTITUTE(K27,";",REPT(" ",99)),397,99))="","",IFERROR(VLOOKUP(--LEFT(MID(TRIM(MID(SUBSTITUTE(K27,";",REPT(" ",99)),397,99)),FIND(":",TRIM(MID(SUBSTITUTE(K27,";",REPT(" ",99)),397,99)))+1,999),FIND(":",MID(TRIM(MID(SUBSTITUTE(K27,";",REPT(" ",99)),397,99)),FIND(":",TRIM(MID(SUBSTITUTE(K27,";",REPT(" ",99)),397,99)))+1,999))-1),_Lookup!$A:$B,2,FALSE),"?")&amp;"×"&amp;LEFT(MID(MID(TRIM(MID(SUBSTITUTE(K27,";",REPT(" ",99)),397,99)),FIND(":",TRIM(MID(SUBSTITUTE(K27,";",REPT(" ",99)),397,99)))+1,999),FIND(":",MID(TRIM(MID(SUBSTITUTE(K27,";",REPT(" ",99)),397,99)),FIND(":",TRIM(MID(SUBSTITUTE(K27,";",REPT(" ",99)),397,99)))+1,999))+1,999),FIND(":",MID(MID(TRIM(MID(SUBSTITUTE(K27,";",REPT(" ",99)),397,99)),FIND(":",TRIM(MID(SUBSTITUTE(K27,";",REPT(" ",99)),397,99)))+1,999),FIND(":",MID(TRIM(MID(SUBSTITUTE(K27,";",REPT(" ",99)),397,99)),FIND(":",TRIM(MID(SUBSTITUTE(K27,";",REPT(" ",99)),397,99)))+1,999))+1,999))-1))))</f>
        <v/>
      </c>
    </row>
    <row r="28">
      <c r="D28" s="11">
        <f>IFERROR(VLOOKUP(C28,ItemData_Fish!$A:$B,2,FALSE),"")</f>
        <v/>
      </c>
      <c r="L28" s="11">
        <f>IF(K28="","",TEXTJOIN("; ",TRUE,IF(TRIM(MID(SUBSTITUTE(K28,";",REPT(" ",99)),1,99))="","",IFERROR(VLOOKUP(--LEFT(MID(TRIM(MID(SUBSTITUTE(K28,";",REPT(" ",99)),1,99)),FIND(":",TRIM(MID(SUBSTITUTE(K28,";",REPT(" ",99)),1,99)))+1,999),FIND(":",MID(TRIM(MID(SUBSTITUTE(K28,";",REPT(" ",99)),1,99)),FIND(":",TRIM(MID(SUBSTITUTE(K28,";",REPT(" ",99)),1,99)))+1,999))-1),_Lookup!$A:$B,2,FALSE),"?")&amp;"×"&amp;LEFT(MID(MID(TRIM(MID(SUBSTITUTE(K28,";",REPT(" ",99)),1,99)),FIND(":",TRIM(MID(SUBSTITUTE(K28,";",REPT(" ",99)),1,99)))+1,999),FIND(":",MID(TRIM(MID(SUBSTITUTE(K28,";",REPT(" ",99)),1,99)),FIND(":",TRIM(MID(SUBSTITUTE(K28,";",REPT(" ",99)),1,99)))+1,999))+1,999),FIND(":",MID(MID(TRIM(MID(SUBSTITUTE(K28,";",REPT(" ",99)),1,99)),FIND(":",TRIM(MID(SUBSTITUTE(K28,";",REPT(" ",99)),1,99)))+1,999),FIND(":",MID(TRIM(MID(SUBSTITUTE(K28,";",REPT(" ",99)),1,99)),FIND(":",TRIM(MID(SUBSTITUTE(K28,";",REPT(" ",99)),1,99)))+1,999))+1,999))-1)),IF(TRIM(MID(SUBSTITUTE(K28,";",REPT(" ",99)),100,99))="","",IFERROR(VLOOKUP(--LEFT(MID(TRIM(MID(SUBSTITUTE(K28,";",REPT(" ",99)),100,99)),FIND(":",TRIM(MID(SUBSTITUTE(K28,";",REPT(" ",99)),100,99)))+1,999),FIND(":",MID(TRIM(MID(SUBSTITUTE(K28,";",REPT(" ",99)),100,99)),FIND(":",TRIM(MID(SUBSTITUTE(K28,";",REPT(" ",99)),100,99)))+1,999))-1),_Lookup!$A:$B,2,FALSE),"?")&amp;"×"&amp;LEFT(MID(MID(TRIM(MID(SUBSTITUTE(K28,";",REPT(" ",99)),100,99)),FIND(":",TRIM(MID(SUBSTITUTE(K28,";",REPT(" ",99)),100,99)))+1,999),FIND(":",MID(TRIM(MID(SUBSTITUTE(K28,";",REPT(" ",99)),100,99)),FIND(":",TRIM(MID(SUBSTITUTE(K28,";",REPT(" ",99)),100,99)))+1,999))+1,999),FIND(":",MID(MID(TRIM(MID(SUBSTITUTE(K28,";",REPT(" ",99)),100,99)),FIND(":",TRIM(MID(SUBSTITUTE(K28,";",REPT(" ",99)),100,99)))+1,999),FIND(":",MID(TRIM(MID(SUBSTITUTE(K28,";",REPT(" ",99)),100,99)),FIND(":",TRIM(MID(SUBSTITUTE(K28,";",REPT(" ",99)),100,99)))+1,999))+1,999))-1)),IF(TRIM(MID(SUBSTITUTE(K28,";",REPT(" ",99)),199,99))="","",IFERROR(VLOOKUP(--LEFT(MID(TRIM(MID(SUBSTITUTE(K28,";",REPT(" ",99)),199,99)),FIND(":",TRIM(MID(SUBSTITUTE(K28,";",REPT(" ",99)),199,99)))+1,999),FIND(":",MID(TRIM(MID(SUBSTITUTE(K28,";",REPT(" ",99)),199,99)),FIND(":",TRIM(MID(SUBSTITUTE(K28,";",REPT(" ",99)),199,99)))+1,999))-1),_Lookup!$A:$B,2,FALSE),"?")&amp;"×"&amp;LEFT(MID(MID(TRIM(MID(SUBSTITUTE(K28,";",REPT(" ",99)),199,99)),FIND(":",TRIM(MID(SUBSTITUTE(K28,";",REPT(" ",99)),199,99)))+1,999),FIND(":",MID(TRIM(MID(SUBSTITUTE(K28,";",REPT(" ",99)),199,99)),FIND(":",TRIM(MID(SUBSTITUTE(K28,";",REPT(" ",99)),199,99)))+1,999))+1,999),FIND(":",MID(MID(TRIM(MID(SUBSTITUTE(K28,";",REPT(" ",99)),199,99)),FIND(":",TRIM(MID(SUBSTITUTE(K28,";",REPT(" ",99)),199,99)))+1,999),FIND(":",MID(TRIM(MID(SUBSTITUTE(K28,";",REPT(" ",99)),199,99)),FIND(":",TRIM(MID(SUBSTITUTE(K28,";",REPT(" ",99)),199,99)))+1,999))+1,999))-1)),IF(TRIM(MID(SUBSTITUTE(K28,";",REPT(" ",99)),298,99))="","",IFERROR(VLOOKUP(--LEFT(MID(TRIM(MID(SUBSTITUTE(K28,";",REPT(" ",99)),298,99)),FIND(":",TRIM(MID(SUBSTITUTE(K28,";",REPT(" ",99)),298,99)))+1,999),FIND(":",MID(TRIM(MID(SUBSTITUTE(K28,";",REPT(" ",99)),298,99)),FIND(":",TRIM(MID(SUBSTITUTE(K28,";",REPT(" ",99)),298,99)))+1,999))-1),_Lookup!$A:$B,2,FALSE),"?")&amp;"×"&amp;LEFT(MID(MID(TRIM(MID(SUBSTITUTE(K28,";",REPT(" ",99)),298,99)),FIND(":",TRIM(MID(SUBSTITUTE(K28,";",REPT(" ",99)),298,99)))+1,999),FIND(":",MID(TRIM(MID(SUBSTITUTE(K28,";",REPT(" ",99)),298,99)),FIND(":",TRIM(MID(SUBSTITUTE(K28,";",REPT(" ",99)),298,99)))+1,999))+1,999),FIND(":",MID(MID(TRIM(MID(SUBSTITUTE(K28,";",REPT(" ",99)),298,99)),FIND(":",TRIM(MID(SUBSTITUTE(K28,";",REPT(" ",99)),298,99)))+1,999),FIND(":",MID(TRIM(MID(SUBSTITUTE(K28,";",REPT(" ",99)),298,99)),FIND(":",TRIM(MID(SUBSTITUTE(K28,";",REPT(" ",99)),298,99)))+1,999))+1,999))-1)),IF(TRIM(MID(SUBSTITUTE(K28,";",REPT(" ",99)),397,99))="","",IFERROR(VLOOKUP(--LEFT(MID(TRIM(MID(SUBSTITUTE(K28,";",REPT(" ",99)),397,99)),FIND(":",TRIM(MID(SUBSTITUTE(K28,";",REPT(" ",99)),397,99)))+1,999),FIND(":",MID(TRIM(MID(SUBSTITUTE(K28,";",REPT(" ",99)),397,99)),FIND(":",TRIM(MID(SUBSTITUTE(K28,";",REPT(" ",99)),397,99)))+1,999))-1),_Lookup!$A:$B,2,FALSE),"?")&amp;"×"&amp;LEFT(MID(MID(TRIM(MID(SUBSTITUTE(K28,";",REPT(" ",99)),397,99)),FIND(":",TRIM(MID(SUBSTITUTE(K28,";",REPT(" ",99)),397,99)))+1,999),FIND(":",MID(TRIM(MID(SUBSTITUTE(K28,";",REPT(" ",99)),397,99)),FIND(":",TRIM(MID(SUBSTITUTE(K28,";",REPT(" ",99)),397,99)))+1,999))+1,999),FIND(":",MID(MID(TRIM(MID(SUBSTITUTE(K28,";",REPT(" ",99)),397,99)),FIND(":",TRIM(MID(SUBSTITUTE(K28,";",REPT(" ",99)),397,99)))+1,999),FIND(":",MID(TRIM(MID(SUBSTITUTE(K28,";",REPT(" ",99)),397,99)),FIND(":",TRIM(MID(SUBSTITUTE(K28,";",REPT(" ",99)),397,99)))+1,999))+1,999))-1))))</f>
        <v/>
      </c>
    </row>
    <row r="29">
      <c r="D29" s="11">
        <f>IFERROR(VLOOKUP(C29,ItemData_Fish!$A:$B,2,FALSE),"")</f>
        <v/>
      </c>
      <c r="L29" s="11">
        <f>IF(K29="","",TEXTJOIN("; ",TRUE,IF(TRIM(MID(SUBSTITUTE(K29,";",REPT(" ",99)),1,99))="","",IFERROR(VLOOKUP(--LEFT(MID(TRIM(MID(SUBSTITUTE(K29,";",REPT(" ",99)),1,99)),FIND(":",TRIM(MID(SUBSTITUTE(K29,";",REPT(" ",99)),1,99)))+1,999),FIND(":",MID(TRIM(MID(SUBSTITUTE(K29,";",REPT(" ",99)),1,99)),FIND(":",TRIM(MID(SUBSTITUTE(K29,";",REPT(" ",99)),1,99)))+1,999))-1),_Lookup!$A:$B,2,FALSE),"?")&amp;"×"&amp;LEFT(MID(MID(TRIM(MID(SUBSTITUTE(K29,";",REPT(" ",99)),1,99)),FIND(":",TRIM(MID(SUBSTITUTE(K29,";",REPT(" ",99)),1,99)))+1,999),FIND(":",MID(TRIM(MID(SUBSTITUTE(K29,";",REPT(" ",99)),1,99)),FIND(":",TRIM(MID(SUBSTITUTE(K29,";",REPT(" ",99)),1,99)))+1,999))+1,999),FIND(":",MID(MID(TRIM(MID(SUBSTITUTE(K29,";",REPT(" ",99)),1,99)),FIND(":",TRIM(MID(SUBSTITUTE(K29,";",REPT(" ",99)),1,99)))+1,999),FIND(":",MID(TRIM(MID(SUBSTITUTE(K29,";",REPT(" ",99)),1,99)),FIND(":",TRIM(MID(SUBSTITUTE(K29,";",REPT(" ",99)),1,99)))+1,999))+1,999))-1)),IF(TRIM(MID(SUBSTITUTE(K29,";",REPT(" ",99)),100,99))="","",IFERROR(VLOOKUP(--LEFT(MID(TRIM(MID(SUBSTITUTE(K29,";",REPT(" ",99)),100,99)),FIND(":",TRIM(MID(SUBSTITUTE(K29,";",REPT(" ",99)),100,99)))+1,999),FIND(":",MID(TRIM(MID(SUBSTITUTE(K29,";",REPT(" ",99)),100,99)),FIND(":",TRIM(MID(SUBSTITUTE(K29,";",REPT(" ",99)),100,99)))+1,999))-1),_Lookup!$A:$B,2,FALSE),"?")&amp;"×"&amp;LEFT(MID(MID(TRIM(MID(SUBSTITUTE(K29,";",REPT(" ",99)),100,99)),FIND(":",TRIM(MID(SUBSTITUTE(K29,";",REPT(" ",99)),100,99)))+1,999),FIND(":",MID(TRIM(MID(SUBSTITUTE(K29,";",REPT(" ",99)),100,99)),FIND(":",TRIM(MID(SUBSTITUTE(K29,";",REPT(" ",99)),100,99)))+1,999))+1,999),FIND(":",MID(MID(TRIM(MID(SUBSTITUTE(K29,";",REPT(" ",99)),100,99)),FIND(":",TRIM(MID(SUBSTITUTE(K29,";",REPT(" ",99)),100,99)))+1,999),FIND(":",MID(TRIM(MID(SUBSTITUTE(K29,";",REPT(" ",99)),100,99)),FIND(":",TRIM(MID(SUBSTITUTE(K29,";",REPT(" ",99)),100,99)))+1,999))+1,999))-1)),IF(TRIM(MID(SUBSTITUTE(K29,";",REPT(" ",99)),199,99))="","",IFERROR(VLOOKUP(--LEFT(MID(TRIM(MID(SUBSTITUTE(K29,";",REPT(" ",99)),199,99)),FIND(":",TRIM(MID(SUBSTITUTE(K29,";",REPT(" ",99)),199,99)))+1,999),FIND(":",MID(TRIM(MID(SUBSTITUTE(K29,";",REPT(" ",99)),199,99)),FIND(":",TRIM(MID(SUBSTITUTE(K29,";",REPT(" ",99)),199,99)))+1,999))-1),_Lookup!$A:$B,2,FALSE),"?")&amp;"×"&amp;LEFT(MID(MID(TRIM(MID(SUBSTITUTE(K29,";",REPT(" ",99)),199,99)),FIND(":",TRIM(MID(SUBSTITUTE(K29,";",REPT(" ",99)),199,99)))+1,999),FIND(":",MID(TRIM(MID(SUBSTITUTE(K29,";",REPT(" ",99)),199,99)),FIND(":",TRIM(MID(SUBSTITUTE(K29,";",REPT(" ",99)),199,99)))+1,999))+1,999),FIND(":",MID(MID(TRIM(MID(SUBSTITUTE(K29,";",REPT(" ",99)),199,99)),FIND(":",TRIM(MID(SUBSTITUTE(K29,";",REPT(" ",99)),199,99)))+1,999),FIND(":",MID(TRIM(MID(SUBSTITUTE(K29,";",REPT(" ",99)),199,99)),FIND(":",TRIM(MID(SUBSTITUTE(K29,";",REPT(" ",99)),199,99)))+1,999))+1,999))-1)),IF(TRIM(MID(SUBSTITUTE(K29,";",REPT(" ",99)),298,99))="","",IFERROR(VLOOKUP(--LEFT(MID(TRIM(MID(SUBSTITUTE(K29,";",REPT(" ",99)),298,99)),FIND(":",TRIM(MID(SUBSTITUTE(K29,";",REPT(" ",99)),298,99)))+1,999),FIND(":",MID(TRIM(MID(SUBSTITUTE(K29,";",REPT(" ",99)),298,99)),FIND(":",TRIM(MID(SUBSTITUTE(K29,";",REPT(" ",99)),298,99)))+1,999))-1),_Lookup!$A:$B,2,FALSE),"?")&amp;"×"&amp;LEFT(MID(MID(TRIM(MID(SUBSTITUTE(K29,";",REPT(" ",99)),298,99)),FIND(":",TRIM(MID(SUBSTITUTE(K29,";",REPT(" ",99)),298,99)))+1,999),FIND(":",MID(TRIM(MID(SUBSTITUTE(K29,";",REPT(" ",99)),298,99)),FIND(":",TRIM(MID(SUBSTITUTE(K29,";",REPT(" ",99)),298,99)))+1,999))+1,999),FIND(":",MID(MID(TRIM(MID(SUBSTITUTE(K29,";",REPT(" ",99)),298,99)),FIND(":",TRIM(MID(SUBSTITUTE(K29,";",REPT(" ",99)),298,99)))+1,999),FIND(":",MID(TRIM(MID(SUBSTITUTE(K29,";",REPT(" ",99)),298,99)),FIND(":",TRIM(MID(SUBSTITUTE(K29,";",REPT(" ",99)),298,99)))+1,999))+1,999))-1)),IF(TRIM(MID(SUBSTITUTE(K29,";",REPT(" ",99)),397,99))="","",IFERROR(VLOOKUP(--LEFT(MID(TRIM(MID(SUBSTITUTE(K29,";",REPT(" ",99)),397,99)),FIND(":",TRIM(MID(SUBSTITUTE(K29,";",REPT(" ",99)),397,99)))+1,999),FIND(":",MID(TRIM(MID(SUBSTITUTE(K29,";",REPT(" ",99)),397,99)),FIND(":",TRIM(MID(SUBSTITUTE(K29,";",REPT(" ",99)),397,99)))+1,999))-1),_Lookup!$A:$B,2,FALSE),"?")&amp;"×"&amp;LEFT(MID(MID(TRIM(MID(SUBSTITUTE(K29,";",REPT(" ",99)),397,99)),FIND(":",TRIM(MID(SUBSTITUTE(K29,";",REPT(" ",99)),397,99)))+1,999),FIND(":",MID(TRIM(MID(SUBSTITUTE(K29,";",REPT(" ",99)),397,99)),FIND(":",TRIM(MID(SUBSTITUTE(K29,";",REPT(" ",99)),397,99)))+1,999))+1,999),FIND(":",MID(MID(TRIM(MID(SUBSTITUTE(K29,";",REPT(" ",99)),397,99)),FIND(":",TRIM(MID(SUBSTITUTE(K29,";",REPT(" ",99)),397,99)))+1,999),FIND(":",MID(TRIM(MID(SUBSTITUTE(K29,";",REPT(" ",99)),397,99)),FIND(":",TRIM(MID(SUBSTITUTE(K29,";",REPT(" ",99)),397,99)))+1,999))+1,999))-1))))</f>
        <v/>
      </c>
    </row>
    <row r="30">
      <c r="D30" s="11">
        <f>IFERROR(VLOOKUP(C30,ItemData_Fish!$A:$B,2,FALSE),"")</f>
        <v/>
      </c>
      <c r="L30" s="11">
        <f>IF(K30="","",TEXTJOIN("; ",TRUE,IF(TRIM(MID(SUBSTITUTE(K30,";",REPT(" ",99)),1,99))="","",IFERROR(VLOOKUP(--LEFT(MID(TRIM(MID(SUBSTITUTE(K30,";",REPT(" ",99)),1,99)),FIND(":",TRIM(MID(SUBSTITUTE(K30,";",REPT(" ",99)),1,99)))+1,999),FIND(":",MID(TRIM(MID(SUBSTITUTE(K30,";",REPT(" ",99)),1,99)),FIND(":",TRIM(MID(SUBSTITUTE(K30,";",REPT(" ",99)),1,99)))+1,999))-1),_Lookup!$A:$B,2,FALSE),"?")&amp;"×"&amp;LEFT(MID(MID(TRIM(MID(SUBSTITUTE(K30,";",REPT(" ",99)),1,99)),FIND(":",TRIM(MID(SUBSTITUTE(K30,";",REPT(" ",99)),1,99)))+1,999),FIND(":",MID(TRIM(MID(SUBSTITUTE(K30,";",REPT(" ",99)),1,99)),FIND(":",TRIM(MID(SUBSTITUTE(K30,";",REPT(" ",99)),1,99)))+1,999))+1,999),FIND(":",MID(MID(TRIM(MID(SUBSTITUTE(K30,";",REPT(" ",99)),1,99)),FIND(":",TRIM(MID(SUBSTITUTE(K30,";",REPT(" ",99)),1,99)))+1,999),FIND(":",MID(TRIM(MID(SUBSTITUTE(K30,";",REPT(" ",99)),1,99)),FIND(":",TRIM(MID(SUBSTITUTE(K30,";",REPT(" ",99)),1,99)))+1,999))+1,999))-1)),IF(TRIM(MID(SUBSTITUTE(K30,";",REPT(" ",99)),100,99))="","",IFERROR(VLOOKUP(--LEFT(MID(TRIM(MID(SUBSTITUTE(K30,";",REPT(" ",99)),100,99)),FIND(":",TRIM(MID(SUBSTITUTE(K30,";",REPT(" ",99)),100,99)))+1,999),FIND(":",MID(TRIM(MID(SUBSTITUTE(K30,";",REPT(" ",99)),100,99)),FIND(":",TRIM(MID(SUBSTITUTE(K30,";",REPT(" ",99)),100,99)))+1,999))-1),_Lookup!$A:$B,2,FALSE),"?")&amp;"×"&amp;LEFT(MID(MID(TRIM(MID(SUBSTITUTE(K30,";",REPT(" ",99)),100,99)),FIND(":",TRIM(MID(SUBSTITUTE(K30,";",REPT(" ",99)),100,99)))+1,999),FIND(":",MID(TRIM(MID(SUBSTITUTE(K30,";",REPT(" ",99)),100,99)),FIND(":",TRIM(MID(SUBSTITUTE(K30,";",REPT(" ",99)),100,99)))+1,999))+1,999),FIND(":",MID(MID(TRIM(MID(SUBSTITUTE(K30,";",REPT(" ",99)),100,99)),FIND(":",TRIM(MID(SUBSTITUTE(K30,";",REPT(" ",99)),100,99)))+1,999),FIND(":",MID(TRIM(MID(SUBSTITUTE(K30,";",REPT(" ",99)),100,99)),FIND(":",TRIM(MID(SUBSTITUTE(K30,";",REPT(" ",99)),100,99)))+1,999))+1,999))-1)),IF(TRIM(MID(SUBSTITUTE(K30,";",REPT(" ",99)),199,99))="","",IFERROR(VLOOKUP(--LEFT(MID(TRIM(MID(SUBSTITUTE(K30,";",REPT(" ",99)),199,99)),FIND(":",TRIM(MID(SUBSTITUTE(K30,";",REPT(" ",99)),199,99)))+1,999),FIND(":",MID(TRIM(MID(SUBSTITUTE(K30,";",REPT(" ",99)),199,99)),FIND(":",TRIM(MID(SUBSTITUTE(K30,";",REPT(" ",99)),199,99)))+1,999))-1),_Lookup!$A:$B,2,FALSE),"?")&amp;"×"&amp;LEFT(MID(MID(TRIM(MID(SUBSTITUTE(K30,";",REPT(" ",99)),199,99)),FIND(":",TRIM(MID(SUBSTITUTE(K30,";",REPT(" ",99)),199,99)))+1,999),FIND(":",MID(TRIM(MID(SUBSTITUTE(K30,";",REPT(" ",99)),199,99)),FIND(":",TRIM(MID(SUBSTITUTE(K30,";",REPT(" ",99)),199,99)))+1,999))+1,999),FIND(":",MID(MID(TRIM(MID(SUBSTITUTE(K30,";",REPT(" ",99)),199,99)),FIND(":",TRIM(MID(SUBSTITUTE(K30,";",REPT(" ",99)),199,99)))+1,999),FIND(":",MID(TRIM(MID(SUBSTITUTE(K30,";",REPT(" ",99)),199,99)),FIND(":",TRIM(MID(SUBSTITUTE(K30,";",REPT(" ",99)),199,99)))+1,999))+1,999))-1)),IF(TRIM(MID(SUBSTITUTE(K30,";",REPT(" ",99)),298,99))="","",IFERROR(VLOOKUP(--LEFT(MID(TRIM(MID(SUBSTITUTE(K30,";",REPT(" ",99)),298,99)),FIND(":",TRIM(MID(SUBSTITUTE(K30,";",REPT(" ",99)),298,99)))+1,999),FIND(":",MID(TRIM(MID(SUBSTITUTE(K30,";",REPT(" ",99)),298,99)),FIND(":",TRIM(MID(SUBSTITUTE(K30,";",REPT(" ",99)),298,99)))+1,999))-1),_Lookup!$A:$B,2,FALSE),"?")&amp;"×"&amp;LEFT(MID(MID(TRIM(MID(SUBSTITUTE(K30,";",REPT(" ",99)),298,99)),FIND(":",TRIM(MID(SUBSTITUTE(K30,";",REPT(" ",99)),298,99)))+1,999),FIND(":",MID(TRIM(MID(SUBSTITUTE(K30,";",REPT(" ",99)),298,99)),FIND(":",TRIM(MID(SUBSTITUTE(K30,";",REPT(" ",99)),298,99)))+1,999))+1,999),FIND(":",MID(MID(TRIM(MID(SUBSTITUTE(K30,";",REPT(" ",99)),298,99)),FIND(":",TRIM(MID(SUBSTITUTE(K30,";",REPT(" ",99)),298,99)))+1,999),FIND(":",MID(TRIM(MID(SUBSTITUTE(K30,";",REPT(" ",99)),298,99)),FIND(":",TRIM(MID(SUBSTITUTE(K30,";",REPT(" ",99)),298,99)))+1,999))+1,999))-1)),IF(TRIM(MID(SUBSTITUTE(K30,";",REPT(" ",99)),397,99))="","",IFERROR(VLOOKUP(--LEFT(MID(TRIM(MID(SUBSTITUTE(K30,";",REPT(" ",99)),397,99)),FIND(":",TRIM(MID(SUBSTITUTE(K30,";",REPT(" ",99)),397,99)))+1,999),FIND(":",MID(TRIM(MID(SUBSTITUTE(K30,";",REPT(" ",99)),397,99)),FIND(":",TRIM(MID(SUBSTITUTE(K30,";",REPT(" ",99)),397,99)))+1,999))-1),_Lookup!$A:$B,2,FALSE),"?")&amp;"×"&amp;LEFT(MID(MID(TRIM(MID(SUBSTITUTE(K30,";",REPT(" ",99)),397,99)),FIND(":",TRIM(MID(SUBSTITUTE(K30,";",REPT(" ",99)),397,99)))+1,999),FIND(":",MID(TRIM(MID(SUBSTITUTE(K30,";",REPT(" ",99)),397,99)),FIND(":",TRIM(MID(SUBSTITUTE(K30,";",REPT(" ",99)),397,99)))+1,999))+1,999),FIND(":",MID(MID(TRIM(MID(SUBSTITUTE(K30,";",REPT(" ",99)),397,99)),FIND(":",TRIM(MID(SUBSTITUTE(K30,";",REPT(" ",99)),397,99)))+1,999),FIND(":",MID(TRIM(MID(SUBSTITUTE(K30,";",REPT(" ",99)),397,99)),FIND(":",TRIM(MID(SUBSTITUTE(K30,";",REPT(" ",99)),397,99)))+1,999))+1,999))-1))))</f>
        <v/>
      </c>
    </row>
    <row r="31">
      <c r="D31" s="11">
        <f>IFERROR(VLOOKUP(C31,ItemData_Fish!$A:$B,2,FALSE),"")</f>
        <v/>
      </c>
      <c r="L31" s="11">
        <f>IF(K31="","",TEXTJOIN("; ",TRUE,IF(TRIM(MID(SUBSTITUTE(K31,";",REPT(" ",99)),1,99))="","",IFERROR(VLOOKUP(--LEFT(MID(TRIM(MID(SUBSTITUTE(K31,";",REPT(" ",99)),1,99)),FIND(":",TRIM(MID(SUBSTITUTE(K31,";",REPT(" ",99)),1,99)))+1,999),FIND(":",MID(TRIM(MID(SUBSTITUTE(K31,";",REPT(" ",99)),1,99)),FIND(":",TRIM(MID(SUBSTITUTE(K31,";",REPT(" ",99)),1,99)))+1,999))-1),_Lookup!$A:$B,2,FALSE),"?")&amp;"×"&amp;LEFT(MID(MID(TRIM(MID(SUBSTITUTE(K31,";",REPT(" ",99)),1,99)),FIND(":",TRIM(MID(SUBSTITUTE(K31,";",REPT(" ",99)),1,99)))+1,999),FIND(":",MID(TRIM(MID(SUBSTITUTE(K31,";",REPT(" ",99)),1,99)),FIND(":",TRIM(MID(SUBSTITUTE(K31,";",REPT(" ",99)),1,99)))+1,999))+1,999),FIND(":",MID(MID(TRIM(MID(SUBSTITUTE(K31,";",REPT(" ",99)),1,99)),FIND(":",TRIM(MID(SUBSTITUTE(K31,";",REPT(" ",99)),1,99)))+1,999),FIND(":",MID(TRIM(MID(SUBSTITUTE(K31,";",REPT(" ",99)),1,99)),FIND(":",TRIM(MID(SUBSTITUTE(K31,";",REPT(" ",99)),1,99)))+1,999))+1,999))-1)),IF(TRIM(MID(SUBSTITUTE(K31,";",REPT(" ",99)),100,99))="","",IFERROR(VLOOKUP(--LEFT(MID(TRIM(MID(SUBSTITUTE(K31,";",REPT(" ",99)),100,99)),FIND(":",TRIM(MID(SUBSTITUTE(K31,";",REPT(" ",99)),100,99)))+1,999),FIND(":",MID(TRIM(MID(SUBSTITUTE(K31,";",REPT(" ",99)),100,99)),FIND(":",TRIM(MID(SUBSTITUTE(K31,";",REPT(" ",99)),100,99)))+1,999))-1),_Lookup!$A:$B,2,FALSE),"?")&amp;"×"&amp;LEFT(MID(MID(TRIM(MID(SUBSTITUTE(K31,";",REPT(" ",99)),100,99)),FIND(":",TRIM(MID(SUBSTITUTE(K31,";",REPT(" ",99)),100,99)))+1,999),FIND(":",MID(TRIM(MID(SUBSTITUTE(K31,";",REPT(" ",99)),100,99)),FIND(":",TRIM(MID(SUBSTITUTE(K31,";",REPT(" ",99)),100,99)))+1,999))+1,999),FIND(":",MID(MID(TRIM(MID(SUBSTITUTE(K31,";",REPT(" ",99)),100,99)),FIND(":",TRIM(MID(SUBSTITUTE(K31,";",REPT(" ",99)),100,99)))+1,999),FIND(":",MID(TRIM(MID(SUBSTITUTE(K31,";",REPT(" ",99)),100,99)),FIND(":",TRIM(MID(SUBSTITUTE(K31,";",REPT(" ",99)),100,99)))+1,999))+1,999))-1)),IF(TRIM(MID(SUBSTITUTE(K31,";",REPT(" ",99)),199,99))="","",IFERROR(VLOOKUP(--LEFT(MID(TRIM(MID(SUBSTITUTE(K31,";",REPT(" ",99)),199,99)),FIND(":",TRIM(MID(SUBSTITUTE(K31,";",REPT(" ",99)),199,99)))+1,999),FIND(":",MID(TRIM(MID(SUBSTITUTE(K31,";",REPT(" ",99)),199,99)),FIND(":",TRIM(MID(SUBSTITUTE(K31,";",REPT(" ",99)),199,99)))+1,999))-1),_Lookup!$A:$B,2,FALSE),"?")&amp;"×"&amp;LEFT(MID(MID(TRIM(MID(SUBSTITUTE(K31,";",REPT(" ",99)),199,99)),FIND(":",TRIM(MID(SUBSTITUTE(K31,";",REPT(" ",99)),199,99)))+1,999),FIND(":",MID(TRIM(MID(SUBSTITUTE(K31,";",REPT(" ",99)),199,99)),FIND(":",TRIM(MID(SUBSTITUTE(K31,";",REPT(" ",99)),199,99)))+1,999))+1,999),FIND(":",MID(MID(TRIM(MID(SUBSTITUTE(K31,";",REPT(" ",99)),199,99)),FIND(":",TRIM(MID(SUBSTITUTE(K31,";",REPT(" ",99)),199,99)))+1,999),FIND(":",MID(TRIM(MID(SUBSTITUTE(K31,";",REPT(" ",99)),199,99)),FIND(":",TRIM(MID(SUBSTITUTE(K31,";",REPT(" ",99)),199,99)))+1,999))+1,999))-1)),IF(TRIM(MID(SUBSTITUTE(K31,";",REPT(" ",99)),298,99))="","",IFERROR(VLOOKUP(--LEFT(MID(TRIM(MID(SUBSTITUTE(K31,";",REPT(" ",99)),298,99)),FIND(":",TRIM(MID(SUBSTITUTE(K31,";",REPT(" ",99)),298,99)))+1,999),FIND(":",MID(TRIM(MID(SUBSTITUTE(K31,";",REPT(" ",99)),298,99)),FIND(":",TRIM(MID(SUBSTITUTE(K31,";",REPT(" ",99)),298,99)))+1,999))-1),_Lookup!$A:$B,2,FALSE),"?")&amp;"×"&amp;LEFT(MID(MID(TRIM(MID(SUBSTITUTE(K31,";",REPT(" ",99)),298,99)),FIND(":",TRIM(MID(SUBSTITUTE(K31,";",REPT(" ",99)),298,99)))+1,999),FIND(":",MID(TRIM(MID(SUBSTITUTE(K31,";",REPT(" ",99)),298,99)),FIND(":",TRIM(MID(SUBSTITUTE(K31,";",REPT(" ",99)),298,99)))+1,999))+1,999),FIND(":",MID(MID(TRIM(MID(SUBSTITUTE(K31,";",REPT(" ",99)),298,99)),FIND(":",TRIM(MID(SUBSTITUTE(K31,";",REPT(" ",99)),298,99)))+1,999),FIND(":",MID(TRIM(MID(SUBSTITUTE(K31,";",REPT(" ",99)),298,99)),FIND(":",TRIM(MID(SUBSTITUTE(K31,";",REPT(" ",99)),298,99)))+1,999))+1,999))-1)),IF(TRIM(MID(SUBSTITUTE(K31,";",REPT(" ",99)),397,99))="","",IFERROR(VLOOKUP(--LEFT(MID(TRIM(MID(SUBSTITUTE(K31,";",REPT(" ",99)),397,99)),FIND(":",TRIM(MID(SUBSTITUTE(K31,";",REPT(" ",99)),397,99)))+1,999),FIND(":",MID(TRIM(MID(SUBSTITUTE(K31,";",REPT(" ",99)),397,99)),FIND(":",TRIM(MID(SUBSTITUTE(K31,";",REPT(" ",99)),397,99)))+1,999))-1),_Lookup!$A:$B,2,FALSE),"?")&amp;"×"&amp;LEFT(MID(MID(TRIM(MID(SUBSTITUTE(K31,";",REPT(" ",99)),397,99)),FIND(":",TRIM(MID(SUBSTITUTE(K31,";",REPT(" ",99)),397,99)))+1,999),FIND(":",MID(TRIM(MID(SUBSTITUTE(K31,";",REPT(" ",99)),397,99)),FIND(":",TRIM(MID(SUBSTITUTE(K31,";",REPT(" ",99)),397,99)))+1,999))+1,999),FIND(":",MID(MID(TRIM(MID(SUBSTITUTE(K31,";",REPT(" ",99)),397,99)),FIND(":",TRIM(MID(SUBSTITUTE(K31,";",REPT(" ",99)),397,99)))+1,999),FIND(":",MID(TRIM(MID(SUBSTITUTE(K31,";",REPT(" ",99)),397,99)),FIND(":",TRIM(MID(SUBSTITUTE(K31,";",REPT(" ",99)),397,99)))+1,999))+1,999))-1))))</f>
        <v/>
      </c>
    </row>
    <row r="32">
      <c r="D32" s="11">
        <f>IFERROR(VLOOKUP(C32,ItemData_Fish!$A:$B,2,FALSE),"")</f>
        <v/>
      </c>
      <c r="L32" s="11">
        <f>IF(K32="","",TEXTJOIN("; ",TRUE,IF(TRIM(MID(SUBSTITUTE(K32,";",REPT(" ",99)),1,99))="","",IFERROR(VLOOKUP(--LEFT(MID(TRIM(MID(SUBSTITUTE(K32,";",REPT(" ",99)),1,99)),FIND(":",TRIM(MID(SUBSTITUTE(K32,";",REPT(" ",99)),1,99)))+1,999),FIND(":",MID(TRIM(MID(SUBSTITUTE(K32,";",REPT(" ",99)),1,99)),FIND(":",TRIM(MID(SUBSTITUTE(K32,";",REPT(" ",99)),1,99)))+1,999))-1),_Lookup!$A:$B,2,FALSE),"?")&amp;"×"&amp;LEFT(MID(MID(TRIM(MID(SUBSTITUTE(K32,";",REPT(" ",99)),1,99)),FIND(":",TRIM(MID(SUBSTITUTE(K32,";",REPT(" ",99)),1,99)))+1,999),FIND(":",MID(TRIM(MID(SUBSTITUTE(K32,";",REPT(" ",99)),1,99)),FIND(":",TRIM(MID(SUBSTITUTE(K32,";",REPT(" ",99)),1,99)))+1,999))+1,999),FIND(":",MID(MID(TRIM(MID(SUBSTITUTE(K32,";",REPT(" ",99)),1,99)),FIND(":",TRIM(MID(SUBSTITUTE(K32,";",REPT(" ",99)),1,99)))+1,999),FIND(":",MID(TRIM(MID(SUBSTITUTE(K32,";",REPT(" ",99)),1,99)),FIND(":",TRIM(MID(SUBSTITUTE(K32,";",REPT(" ",99)),1,99)))+1,999))+1,999))-1)),IF(TRIM(MID(SUBSTITUTE(K32,";",REPT(" ",99)),100,99))="","",IFERROR(VLOOKUP(--LEFT(MID(TRIM(MID(SUBSTITUTE(K32,";",REPT(" ",99)),100,99)),FIND(":",TRIM(MID(SUBSTITUTE(K32,";",REPT(" ",99)),100,99)))+1,999),FIND(":",MID(TRIM(MID(SUBSTITUTE(K32,";",REPT(" ",99)),100,99)),FIND(":",TRIM(MID(SUBSTITUTE(K32,";",REPT(" ",99)),100,99)))+1,999))-1),_Lookup!$A:$B,2,FALSE),"?")&amp;"×"&amp;LEFT(MID(MID(TRIM(MID(SUBSTITUTE(K32,";",REPT(" ",99)),100,99)),FIND(":",TRIM(MID(SUBSTITUTE(K32,";",REPT(" ",99)),100,99)))+1,999),FIND(":",MID(TRIM(MID(SUBSTITUTE(K32,";",REPT(" ",99)),100,99)),FIND(":",TRIM(MID(SUBSTITUTE(K32,";",REPT(" ",99)),100,99)))+1,999))+1,999),FIND(":",MID(MID(TRIM(MID(SUBSTITUTE(K32,";",REPT(" ",99)),100,99)),FIND(":",TRIM(MID(SUBSTITUTE(K32,";",REPT(" ",99)),100,99)))+1,999),FIND(":",MID(TRIM(MID(SUBSTITUTE(K32,";",REPT(" ",99)),100,99)),FIND(":",TRIM(MID(SUBSTITUTE(K32,";",REPT(" ",99)),100,99)))+1,999))+1,999))-1)),IF(TRIM(MID(SUBSTITUTE(K32,";",REPT(" ",99)),199,99))="","",IFERROR(VLOOKUP(--LEFT(MID(TRIM(MID(SUBSTITUTE(K32,";",REPT(" ",99)),199,99)),FIND(":",TRIM(MID(SUBSTITUTE(K32,";",REPT(" ",99)),199,99)))+1,999),FIND(":",MID(TRIM(MID(SUBSTITUTE(K32,";",REPT(" ",99)),199,99)),FIND(":",TRIM(MID(SUBSTITUTE(K32,";",REPT(" ",99)),199,99)))+1,999))-1),_Lookup!$A:$B,2,FALSE),"?")&amp;"×"&amp;LEFT(MID(MID(TRIM(MID(SUBSTITUTE(K32,";",REPT(" ",99)),199,99)),FIND(":",TRIM(MID(SUBSTITUTE(K32,";",REPT(" ",99)),199,99)))+1,999),FIND(":",MID(TRIM(MID(SUBSTITUTE(K32,";",REPT(" ",99)),199,99)),FIND(":",TRIM(MID(SUBSTITUTE(K32,";",REPT(" ",99)),199,99)))+1,999))+1,999),FIND(":",MID(MID(TRIM(MID(SUBSTITUTE(K32,";",REPT(" ",99)),199,99)),FIND(":",TRIM(MID(SUBSTITUTE(K32,";",REPT(" ",99)),199,99)))+1,999),FIND(":",MID(TRIM(MID(SUBSTITUTE(K32,";",REPT(" ",99)),199,99)),FIND(":",TRIM(MID(SUBSTITUTE(K32,";",REPT(" ",99)),199,99)))+1,999))+1,999))-1)),IF(TRIM(MID(SUBSTITUTE(K32,";",REPT(" ",99)),298,99))="","",IFERROR(VLOOKUP(--LEFT(MID(TRIM(MID(SUBSTITUTE(K32,";",REPT(" ",99)),298,99)),FIND(":",TRIM(MID(SUBSTITUTE(K32,";",REPT(" ",99)),298,99)))+1,999),FIND(":",MID(TRIM(MID(SUBSTITUTE(K32,";",REPT(" ",99)),298,99)),FIND(":",TRIM(MID(SUBSTITUTE(K32,";",REPT(" ",99)),298,99)))+1,999))-1),_Lookup!$A:$B,2,FALSE),"?")&amp;"×"&amp;LEFT(MID(MID(TRIM(MID(SUBSTITUTE(K32,";",REPT(" ",99)),298,99)),FIND(":",TRIM(MID(SUBSTITUTE(K32,";",REPT(" ",99)),298,99)))+1,999),FIND(":",MID(TRIM(MID(SUBSTITUTE(K32,";",REPT(" ",99)),298,99)),FIND(":",TRIM(MID(SUBSTITUTE(K32,";",REPT(" ",99)),298,99)))+1,999))+1,999),FIND(":",MID(MID(TRIM(MID(SUBSTITUTE(K32,";",REPT(" ",99)),298,99)),FIND(":",TRIM(MID(SUBSTITUTE(K32,";",REPT(" ",99)),298,99)))+1,999),FIND(":",MID(TRIM(MID(SUBSTITUTE(K32,";",REPT(" ",99)),298,99)),FIND(":",TRIM(MID(SUBSTITUTE(K32,";",REPT(" ",99)),298,99)))+1,999))+1,999))-1)),IF(TRIM(MID(SUBSTITUTE(K32,";",REPT(" ",99)),397,99))="","",IFERROR(VLOOKUP(--LEFT(MID(TRIM(MID(SUBSTITUTE(K32,";",REPT(" ",99)),397,99)),FIND(":",TRIM(MID(SUBSTITUTE(K32,";",REPT(" ",99)),397,99)))+1,999),FIND(":",MID(TRIM(MID(SUBSTITUTE(K32,";",REPT(" ",99)),397,99)),FIND(":",TRIM(MID(SUBSTITUTE(K32,";",REPT(" ",99)),397,99)))+1,999))-1),_Lookup!$A:$B,2,FALSE),"?")&amp;"×"&amp;LEFT(MID(MID(TRIM(MID(SUBSTITUTE(K32,";",REPT(" ",99)),397,99)),FIND(":",TRIM(MID(SUBSTITUTE(K32,";",REPT(" ",99)),397,99)))+1,999),FIND(":",MID(TRIM(MID(SUBSTITUTE(K32,";",REPT(" ",99)),397,99)),FIND(":",TRIM(MID(SUBSTITUTE(K32,";",REPT(" ",99)),397,99)))+1,999))+1,999),FIND(":",MID(MID(TRIM(MID(SUBSTITUTE(K32,";",REPT(" ",99)),397,99)),FIND(":",TRIM(MID(SUBSTITUTE(K32,";",REPT(" ",99)),397,99)))+1,999),FIND(":",MID(TRIM(MID(SUBSTITUTE(K32,";",REPT(" ",99)),397,99)),FIND(":",TRIM(MID(SUBSTITUTE(K32,";",REPT(" ",99)),397,99)))+1,999))+1,999))-1))))</f>
        <v/>
      </c>
    </row>
    <row r="33">
      <c r="D33" s="11">
        <f>IFERROR(VLOOKUP(C33,ItemData_Fish!$A:$B,2,FALSE),"")</f>
        <v/>
      </c>
      <c r="L33" s="11">
        <f>IF(K33="","",TEXTJOIN("; ",TRUE,IF(TRIM(MID(SUBSTITUTE(K33,";",REPT(" ",99)),1,99))="","",IFERROR(VLOOKUP(--LEFT(MID(TRIM(MID(SUBSTITUTE(K33,";",REPT(" ",99)),1,99)),FIND(":",TRIM(MID(SUBSTITUTE(K33,";",REPT(" ",99)),1,99)))+1,999),FIND(":",MID(TRIM(MID(SUBSTITUTE(K33,";",REPT(" ",99)),1,99)),FIND(":",TRIM(MID(SUBSTITUTE(K33,";",REPT(" ",99)),1,99)))+1,999))-1),_Lookup!$A:$B,2,FALSE),"?")&amp;"×"&amp;LEFT(MID(MID(TRIM(MID(SUBSTITUTE(K33,";",REPT(" ",99)),1,99)),FIND(":",TRIM(MID(SUBSTITUTE(K33,";",REPT(" ",99)),1,99)))+1,999),FIND(":",MID(TRIM(MID(SUBSTITUTE(K33,";",REPT(" ",99)),1,99)),FIND(":",TRIM(MID(SUBSTITUTE(K33,";",REPT(" ",99)),1,99)))+1,999))+1,999),FIND(":",MID(MID(TRIM(MID(SUBSTITUTE(K33,";",REPT(" ",99)),1,99)),FIND(":",TRIM(MID(SUBSTITUTE(K33,";",REPT(" ",99)),1,99)))+1,999),FIND(":",MID(TRIM(MID(SUBSTITUTE(K33,";",REPT(" ",99)),1,99)),FIND(":",TRIM(MID(SUBSTITUTE(K33,";",REPT(" ",99)),1,99)))+1,999))+1,999))-1)),IF(TRIM(MID(SUBSTITUTE(K33,";",REPT(" ",99)),100,99))="","",IFERROR(VLOOKUP(--LEFT(MID(TRIM(MID(SUBSTITUTE(K33,";",REPT(" ",99)),100,99)),FIND(":",TRIM(MID(SUBSTITUTE(K33,";",REPT(" ",99)),100,99)))+1,999),FIND(":",MID(TRIM(MID(SUBSTITUTE(K33,";",REPT(" ",99)),100,99)),FIND(":",TRIM(MID(SUBSTITUTE(K33,";",REPT(" ",99)),100,99)))+1,999))-1),_Lookup!$A:$B,2,FALSE),"?")&amp;"×"&amp;LEFT(MID(MID(TRIM(MID(SUBSTITUTE(K33,";",REPT(" ",99)),100,99)),FIND(":",TRIM(MID(SUBSTITUTE(K33,";",REPT(" ",99)),100,99)))+1,999),FIND(":",MID(TRIM(MID(SUBSTITUTE(K33,";",REPT(" ",99)),100,99)),FIND(":",TRIM(MID(SUBSTITUTE(K33,";",REPT(" ",99)),100,99)))+1,999))+1,999),FIND(":",MID(MID(TRIM(MID(SUBSTITUTE(K33,";",REPT(" ",99)),100,99)),FIND(":",TRIM(MID(SUBSTITUTE(K33,";",REPT(" ",99)),100,99)))+1,999),FIND(":",MID(TRIM(MID(SUBSTITUTE(K33,";",REPT(" ",99)),100,99)),FIND(":",TRIM(MID(SUBSTITUTE(K33,";",REPT(" ",99)),100,99)))+1,999))+1,999))-1)),IF(TRIM(MID(SUBSTITUTE(K33,";",REPT(" ",99)),199,99))="","",IFERROR(VLOOKUP(--LEFT(MID(TRIM(MID(SUBSTITUTE(K33,";",REPT(" ",99)),199,99)),FIND(":",TRIM(MID(SUBSTITUTE(K33,";",REPT(" ",99)),199,99)))+1,999),FIND(":",MID(TRIM(MID(SUBSTITUTE(K33,";",REPT(" ",99)),199,99)),FIND(":",TRIM(MID(SUBSTITUTE(K33,";",REPT(" ",99)),199,99)))+1,999))-1),_Lookup!$A:$B,2,FALSE),"?")&amp;"×"&amp;LEFT(MID(MID(TRIM(MID(SUBSTITUTE(K33,";",REPT(" ",99)),199,99)),FIND(":",TRIM(MID(SUBSTITUTE(K33,";",REPT(" ",99)),199,99)))+1,999),FIND(":",MID(TRIM(MID(SUBSTITUTE(K33,";",REPT(" ",99)),199,99)),FIND(":",TRIM(MID(SUBSTITUTE(K33,";",REPT(" ",99)),199,99)))+1,999))+1,999),FIND(":",MID(MID(TRIM(MID(SUBSTITUTE(K33,";",REPT(" ",99)),199,99)),FIND(":",TRIM(MID(SUBSTITUTE(K33,";",REPT(" ",99)),199,99)))+1,999),FIND(":",MID(TRIM(MID(SUBSTITUTE(K33,";",REPT(" ",99)),199,99)),FIND(":",TRIM(MID(SUBSTITUTE(K33,";",REPT(" ",99)),199,99)))+1,999))+1,999))-1)),IF(TRIM(MID(SUBSTITUTE(K33,";",REPT(" ",99)),298,99))="","",IFERROR(VLOOKUP(--LEFT(MID(TRIM(MID(SUBSTITUTE(K33,";",REPT(" ",99)),298,99)),FIND(":",TRIM(MID(SUBSTITUTE(K33,";",REPT(" ",99)),298,99)))+1,999),FIND(":",MID(TRIM(MID(SUBSTITUTE(K33,";",REPT(" ",99)),298,99)),FIND(":",TRIM(MID(SUBSTITUTE(K33,";",REPT(" ",99)),298,99)))+1,999))-1),_Lookup!$A:$B,2,FALSE),"?")&amp;"×"&amp;LEFT(MID(MID(TRIM(MID(SUBSTITUTE(K33,";",REPT(" ",99)),298,99)),FIND(":",TRIM(MID(SUBSTITUTE(K33,";",REPT(" ",99)),298,99)))+1,999),FIND(":",MID(TRIM(MID(SUBSTITUTE(K33,";",REPT(" ",99)),298,99)),FIND(":",TRIM(MID(SUBSTITUTE(K33,";",REPT(" ",99)),298,99)))+1,999))+1,999),FIND(":",MID(MID(TRIM(MID(SUBSTITUTE(K33,";",REPT(" ",99)),298,99)),FIND(":",TRIM(MID(SUBSTITUTE(K33,";",REPT(" ",99)),298,99)))+1,999),FIND(":",MID(TRIM(MID(SUBSTITUTE(K33,";",REPT(" ",99)),298,99)),FIND(":",TRIM(MID(SUBSTITUTE(K33,";",REPT(" ",99)),298,99)))+1,999))+1,999))-1)),IF(TRIM(MID(SUBSTITUTE(K33,";",REPT(" ",99)),397,99))="","",IFERROR(VLOOKUP(--LEFT(MID(TRIM(MID(SUBSTITUTE(K33,";",REPT(" ",99)),397,99)),FIND(":",TRIM(MID(SUBSTITUTE(K33,";",REPT(" ",99)),397,99)))+1,999),FIND(":",MID(TRIM(MID(SUBSTITUTE(K33,";",REPT(" ",99)),397,99)),FIND(":",TRIM(MID(SUBSTITUTE(K33,";",REPT(" ",99)),397,99)))+1,999))-1),_Lookup!$A:$B,2,FALSE),"?")&amp;"×"&amp;LEFT(MID(MID(TRIM(MID(SUBSTITUTE(K33,";",REPT(" ",99)),397,99)),FIND(":",TRIM(MID(SUBSTITUTE(K33,";",REPT(" ",99)),397,99)))+1,999),FIND(":",MID(TRIM(MID(SUBSTITUTE(K33,";",REPT(" ",99)),397,99)),FIND(":",TRIM(MID(SUBSTITUTE(K33,";",REPT(" ",99)),397,99)))+1,999))+1,999),FIND(":",MID(MID(TRIM(MID(SUBSTITUTE(K33,";",REPT(" ",99)),397,99)),FIND(":",TRIM(MID(SUBSTITUTE(K33,";",REPT(" ",99)),397,99)))+1,999),FIND(":",MID(TRIM(MID(SUBSTITUTE(K33,";",REPT(" ",99)),397,99)),FIND(":",TRIM(MID(SUBSTITUTE(K33,";",REPT(" ",99)),397,99)))+1,999))+1,999))-1))))</f>
        <v/>
      </c>
    </row>
    <row r="34">
      <c r="D34" s="11">
        <f>IFERROR(VLOOKUP(C34,ItemData_Fish!$A:$B,2,FALSE),"")</f>
        <v/>
      </c>
      <c r="L34" s="11">
        <f>IF(K34="","",TEXTJOIN("; ",TRUE,IF(TRIM(MID(SUBSTITUTE(K34,";",REPT(" ",99)),1,99))="","",IFERROR(VLOOKUP(--LEFT(MID(TRIM(MID(SUBSTITUTE(K34,";",REPT(" ",99)),1,99)),FIND(":",TRIM(MID(SUBSTITUTE(K34,";",REPT(" ",99)),1,99)))+1,999),FIND(":",MID(TRIM(MID(SUBSTITUTE(K34,";",REPT(" ",99)),1,99)),FIND(":",TRIM(MID(SUBSTITUTE(K34,";",REPT(" ",99)),1,99)))+1,999))-1),_Lookup!$A:$B,2,FALSE),"?")&amp;"×"&amp;LEFT(MID(MID(TRIM(MID(SUBSTITUTE(K34,";",REPT(" ",99)),1,99)),FIND(":",TRIM(MID(SUBSTITUTE(K34,";",REPT(" ",99)),1,99)))+1,999),FIND(":",MID(TRIM(MID(SUBSTITUTE(K34,";",REPT(" ",99)),1,99)),FIND(":",TRIM(MID(SUBSTITUTE(K34,";",REPT(" ",99)),1,99)))+1,999))+1,999),FIND(":",MID(MID(TRIM(MID(SUBSTITUTE(K34,";",REPT(" ",99)),1,99)),FIND(":",TRIM(MID(SUBSTITUTE(K34,";",REPT(" ",99)),1,99)))+1,999),FIND(":",MID(TRIM(MID(SUBSTITUTE(K34,";",REPT(" ",99)),1,99)),FIND(":",TRIM(MID(SUBSTITUTE(K34,";",REPT(" ",99)),1,99)))+1,999))+1,999))-1)),IF(TRIM(MID(SUBSTITUTE(K34,";",REPT(" ",99)),100,99))="","",IFERROR(VLOOKUP(--LEFT(MID(TRIM(MID(SUBSTITUTE(K34,";",REPT(" ",99)),100,99)),FIND(":",TRIM(MID(SUBSTITUTE(K34,";",REPT(" ",99)),100,99)))+1,999),FIND(":",MID(TRIM(MID(SUBSTITUTE(K34,";",REPT(" ",99)),100,99)),FIND(":",TRIM(MID(SUBSTITUTE(K34,";",REPT(" ",99)),100,99)))+1,999))-1),_Lookup!$A:$B,2,FALSE),"?")&amp;"×"&amp;LEFT(MID(MID(TRIM(MID(SUBSTITUTE(K34,";",REPT(" ",99)),100,99)),FIND(":",TRIM(MID(SUBSTITUTE(K34,";",REPT(" ",99)),100,99)))+1,999),FIND(":",MID(TRIM(MID(SUBSTITUTE(K34,";",REPT(" ",99)),100,99)),FIND(":",TRIM(MID(SUBSTITUTE(K34,";",REPT(" ",99)),100,99)))+1,999))+1,999),FIND(":",MID(MID(TRIM(MID(SUBSTITUTE(K34,";",REPT(" ",99)),100,99)),FIND(":",TRIM(MID(SUBSTITUTE(K34,";",REPT(" ",99)),100,99)))+1,999),FIND(":",MID(TRIM(MID(SUBSTITUTE(K34,";",REPT(" ",99)),100,99)),FIND(":",TRIM(MID(SUBSTITUTE(K34,";",REPT(" ",99)),100,99)))+1,999))+1,999))-1)),IF(TRIM(MID(SUBSTITUTE(K34,";",REPT(" ",99)),199,99))="","",IFERROR(VLOOKUP(--LEFT(MID(TRIM(MID(SUBSTITUTE(K34,";",REPT(" ",99)),199,99)),FIND(":",TRIM(MID(SUBSTITUTE(K34,";",REPT(" ",99)),199,99)))+1,999),FIND(":",MID(TRIM(MID(SUBSTITUTE(K34,";",REPT(" ",99)),199,99)),FIND(":",TRIM(MID(SUBSTITUTE(K34,";",REPT(" ",99)),199,99)))+1,999))-1),_Lookup!$A:$B,2,FALSE),"?")&amp;"×"&amp;LEFT(MID(MID(TRIM(MID(SUBSTITUTE(K34,";",REPT(" ",99)),199,99)),FIND(":",TRIM(MID(SUBSTITUTE(K34,";",REPT(" ",99)),199,99)))+1,999),FIND(":",MID(TRIM(MID(SUBSTITUTE(K34,";",REPT(" ",99)),199,99)),FIND(":",TRIM(MID(SUBSTITUTE(K34,";",REPT(" ",99)),199,99)))+1,999))+1,999),FIND(":",MID(MID(TRIM(MID(SUBSTITUTE(K34,";",REPT(" ",99)),199,99)),FIND(":",TRIM(MID(SUBSTITUTE(K34,";",REPT(" ",99)),199,99)))+1,999),FIND(":",MID(TRIM(MID(SUBSTITUTE(K34,";",REPT(" ",99)),199,99)),FIND(":",TRIM(MID(SUBSTITUTE(K34,";",REPT(" ",99)),199,99)))+1,999))+1,999))-1)),IF(TRIM(MID(SUBSTITUTE(K34,";",REPT(" ",99)),298,99))="","",IFERROR(VLOOKUP(--LEFT(MID(TRIM(MID(SUBSTITUTE(K34,";",REPT(" ",99)),298,99)),FIND(":",TRIM(MID(SUBSTITUTE(K34,";",REPT(" ",99)),298,99)))+1,999),FIND(":",MID(TRIM(MID(SUBSTITUTE(K34,";",REPT(" ",99)),298,99)),FIND(":",TRIM(MID(SUBSTITUTE(K34,";",REPT(" ",99)),298,99)))+1,999))-1),_Lookup!$A:$B,2,FALSE),"?")&amp;"×"&amp;LEFT(MID(MID(TRIM(MID(SUBSTITUTE(K34,";",REPT(" ",99)),298,99)),FIND(":",TRIM(MID(SUBSTITUTE(K34,";",REPT(" ",99)),298,99)))+1,999),FIND(":",MID(TRIM(MID(SUBSTITUTE(K34,";",REPT(" ",99)),298,99)),FIND(":",TRIM(MID(SUBSTITUTE(K34,";",REPT(" ",99)),298,99)))+1,999))+1,999),FIND(":",MID(MID(TRIM(MID(SUBSTITUTE(K34,";",REPT(" ",99)),298,99)),FIND(":",TRIM(MID(SUBSTITUTE(K34,";",REPT(" ",99)),298,99)))+1,999),FIND(":",MID(TRIM(MID(SUBSTITUTE(K34,";",REPT(" ",99)),298,99)),FIND(":",TRIM(MID(SUBSTITUTE(K34,";",REPT(" ",99)),298,99)))+1,999))+1,999))-1)),IF(TRIM(MID(SUBSTITUTE(K34,";",REPT(" ",99)),397,99))="","",IFERROR(VLOOKUP(--LEFT(MID(TRIM(MID(SUBSTITUTE(K34,";",REPT(" ",99)),397,99)),FIND(":",TRIM(MID(SUBSTITUTE(K34,";",REPT(" ",99)),397,99)))+1,999),FIND(":",MID(TRIM(MID(SUBSTITUTE(K34,";",REPT(" ",99)),397,99)),FIND(":",TRIM(MID(SUBSTITUTE(K34,";",REPT(" ",99)),397,99)))+1,999))-1),_Lookup!$A:$B,2,FALSE),"?")&amp;"×"&amp;LEFT(MID(MID(TRIM(MID(SUBSTITUTE(K34,";",REPT(" ",99)),397,99)),FIND(":",TRIM(MID(SUBSTITUTE(K34,";",REPT(" ",99)),397,99)))+1,999),FIND(":",MID(TRIM(MID(SUBSTITUTE(K34,";",REPT(" ",99)),397,99)),FIND(":",TRIM(MID(SUBSTITUTE(K34,";",REPT(" ",99)),397,99)))+1,999))+1,999),FIND(":",MID(MID(TRIM(MID(SUBSTITUTE(K34,";",REPT(" ",99)),397,99)),FIND(":",TRIM(MID(SUBSTITUTE(K34,";",REPT(" ",99)),397,99)))+1,999),FIND(":",MID(TRIM(MID(SUBSTITUTE(K34,";",REPT(" ",99)),397,99)),FIND(":",TRIM(MID(SUBSTITUTE(K34,";",REPT(" ",99)),397,99)))+1,999))+1,999))-1))))</f>
        <v/>
      </c>
    </row>
    <row r="35">
      <c r="D35" s="11">
        <f>IFERROR(VLOOKUP(C35,ItemData_Fish!$A:$B,2,FALSE),"")</f>
        <v/>
      </c>
      <c r="L35" s="11">
        <f>IF(K35="","",TEXTJOIN("; ",TRUE,IF(TRIM(MID(SUBSTITUTE(K35,";",REPT(" ",99)),1,99))="","",IFERROR(VLOOKUP(--LEFT(MID(TRIM(MID(SUBSTITUTE(K35,";",REPT(" ",99)),1,99)),FIND(":",TRIM(MID(SUBSTITUTE(K35,";",REPT(" ",99)),1,99)))+1,999),FIND(":",MID(TRIM(MID(SUBSTITUTE(K35,";",REPT(" ",99)),1,99)),FIND(":",TRIM(MID(SUBSTITUTE(K35,";",REPT(" ",99)),1,99)))+1,999))-1),_Lookup!$A:$B,2,FALSE),"?")&amp;"×"&amp;LEFT(MID(MID(TRIM(MID(SUBSTITUTE(K35,";",REPT(" ",99)),1,99)),FIND(":",TRIM(MID(SUBSTITUTE(K35,";",REPT(" ",99)),1,99)))+1,999),FIND(":",MID(TRIM(MID(SUBSTITUTE(K35,";",REPT(" ",99)),1,99)),FIND(":",TRIM(MID(SUBSTITUTE(K35,";",REPT(" ",99)),1,99)))+1,999))+1,999),FIND(":",MID(MID(TRIM(MID(SUBSTITUTE(K35,";",REPT(" ",99)),1,99)),FIND(":",TRIM(MID(SUBSTITUTE(K35,";",REPT(" ",99)),1,99)))+1,999),FIND(":",MID(TRIM(MID(SUBSTITUTE(K35,";",REPT(" ",99)),1,99)),FIND(":",TRIM(MID(SUBSTITUTE(K35,";",REPT(" ",99)),1,99)))+1,999))+1,999))-1)),IF(TRIM(MID(SUBSTITUTE(K35,";",REPT(" ",99)),100,99))="","",IFERROR(VLOOKUP(--LEFT(MID(TRIM(MID(SUBSTITUTE(K35,";",REPT(" ",99)),100,99)),FIND(":",TRIM(MID(SUBSTITUTE(K35,";",REPT(" ",99)),100,99)))+1,999),FIND(":",MID(TRIM(MID(SUBSTITUTE(K35,";",REPT(" ",99)),100,99)),FIND(":",TRIM(MID(SUBSTITUTE(K35,";",REPT(" ",99)),100,99)))+1,999))-1),_Lookup!$A:$B,2,FALSE),"?")&amp;"×"&amp;LEFT(MID(MID(TRIM(MID(SUBSTITUTE(K35,";",REPT(" ",99)),100,99)),FIND(":",TRIM(MID(SUBSTITUTE(K35,";",REPT(" ",99)),100,99)))+1,999),FIND(":",MID(TRIM(MID(SUBSTITUTE(K35,";",REPT(" ",99)),100,99)),FIND(":",TRIM(MID(SUBSTITUTE(K35,";",REPT(" ",99)),100,99)))+1,999))+1,999),FIND(":",MID(MID(TRIM(MID(SUBSTITUTE(K35,";",REPT(" ",99)),100,99)),FIND(":",TRIM(MID(SUBSTITUTE(K35,";",REPT(" ",99)),100,99)))+1,999),FIND(":",MID(TRIM(MID(SUBSTITUTE(K35,";",REPT(" ",99)),100,99)),FIND(":",TRIM(MID(SUBSTITUTE(K35,";",REPT(" ",99)),100,99)))+1,999))+1,999))-1)),IF(TRIM(MID(SUBSTITUTE(K35,";",REPT(" ",99)),199,99))="","",IFERROR(VLOOKUP(--LEFT(MID(TRIM(MID(SUBSTITUTE(K35,";",REPT(" ",99)),199,99)),FIND(":",TRIM(MID(SUBSTITUTE(K35,";",REPT(" ",99)),199,99)))+1,999),FIND(":",MID(TRIM(MID(SUBSTITUTE(K35,";",REPT(" ",99)),199,99)),FIND(":",TRIM(MID(SUBSTITUTE(K35,";",REPT(" ",99)),199,99)))+1,999))-1),_Lookup!$A:$B,2,FALSE),"?")&amp;"×"&amp;LEFT(MID(MID(TRIM(MID(SUBSTITUTE(K35,";",REPT(" ",99)),199,99)),FIND(":",TRIM(MID(SUBSTITUTE(K35,";",REPT(" ",99)),199,99)))+1,999),FIND(":",MID(TRIM(MID(SUBSTITUTE(K35,";",REPT(" ",99)),199,99)),FIND(":",TRIM(MID(SUBSTITUTE(K35,";",REPT(" ",99)),199,99)))+1,999))+1,999),FIND(":",MID(MID(TRIM(MID(SUBSTITUTE(K35,";",REPT(" ",99)),199,99)),FIND(":",TRIM(MID(SUBSTITUTE(K35,";",REPT(" ",99)),199,99)))+1,999),FIND(":",MID(TRIM(MID(SUBSTITUTE(K35,";",REPT(" ",99)),199,99)),FIND(":",TRIM(MID(SUBSTITUTE(K35,";",REPT(" ",99)),199,99)))+1,999))+1,999))-1)),IF(TRIM(MID(SUBSTITUTE(K35,";",REPT(" ",99)),298,99))="","",IFERROR(VLOOKUP(--LEFT(MID(TRIM(MID(SUBSTITUTE(K35,";",REPT(" ",99)),298,99)),FIND(":",TRIM(MID(SUBSTITUTE(K35,";",REPT(" ",99)),298,99)))+1,999),FIND(":",MID(TRIM(MID(SUBSTITUTE(K35,";",REPT(" ",99)),298,99)),FIND(":",TRIM(MID(SUBSTITUTE(K35,";",REPT(" ",99)),298,99)))+1,999))-1),_Lookup!$A:$B,2,FALSE),"?")&amp;"×"&amp;LEFT(MID(MID(TRIM(MID(SUBSTITUTE(K35,";",REPT(" ",99)),298,99)),FIND(":",TRIM(MID(SUBSTITUTE(K35,";",REPT(" ",99)),298,99)))+1,999),FIND(":",MID(TRIM(MID(SUBSTITUTE(K35,";",REPT(" ",99)),298,99)),FIND(":",TRIM(MID(SUBSTITUTE(K35,";",REPT(" ",99)),298,99)))+1,999))+1,999),FIND(":",MID(MID(TRIM(MID(SUBSTITUTE(K35,";",REPT(" ",99)),298,99)),FIND(":",TRIM(MID(SUBSTITUTE(K35,";",REPT(" ",99)),298,99)))+1,999),FIND(":",MID(TRIM(MID(SUBSTITUTE(K35,";",REPT(" ",99)),298,99)),FIND(":",TRIM(MID(SUBSTITUTE(K35,";",REPT(" ",99)),298,99)))+1,999))+1,999))-1)),IF(TRIM(MID(SUBSTITUTE(K35,";",REPT(" ",99)),397,99))="","",IFERROR(VLOOKUP(--LEFT(MID(TRIM(MID(SUBSTITUTE(K35,";",REPT(" ",99)),397,99)),FIND(":",TRIM(MID(SUBSTITUTE(K35,";",REPT(" ",99)),397,99)))+1,999),FIND(":",MID(TRIM(MID(SUBSTITUTE(K35,";",REPT(" ",99)),397,99)),FIND(":",TRIM(MID(SUBSTITUTE(K35,";",REPT(" ",99)),397,99)))+1,999))-1),_Lookup!$A:$B,2,FALSE),"?")&amp;"×"&amp;LEFT(MID(MID(TRIM(MID(SUBSTITUTE(K35,";",REPT(" ",99)),397,99)),FIND(":",TRIM(MID(SUBSTITUTE(K35,";",REPT(" ",99)),397,99)))+1,999),FIND(":",MID(TRIM(MID(SUBSTITUTE(K35,";",REPT(" ",99)),397,99)),FIND(":",TRIM(MID(SUBSTITUTE(K35,";",REPT(" ",99)),397,99)))+1,999))+1,999),FIND(":",MID(MID(TRIM(MID(SUBSTITUTE(K35,";",REPT(" ",99)),397,99)),FIND(":",TRIM(MID(SUBSTITUTE(K35,";",REPT(" ",99)),397,99)))+1,999),FIND(":",MID(TRIM(MID(SUBSTITUTE(K35,";",REPT(" ",99)),397,99)),FIND(":",TRIM(MID(SUBSTITUTE(K35,";",REPT(" ",99)),397,99)))+1,999))+1,999))-1))))</f>
        <v/>
      </c>
    </row>
    <row r="36">
      <c r="D36" s="11">
        <f>IFERROR(VLOOKUP(C36,ItemData_Fish!$A:$B,2,FALSE),"")</f>
        <v/>
      </c>
      <c r="L36" s="11">
        <f>IF(K36="","",TEXTJOIN("; ",TRUE,IF(TRIM(MID(SUBSTITUTE(K36,";",REPT(" ",99)),1,99))="","",IFERROR(VLOOKUP(--LEFT(MID(TRIM(MID(SUBSTITUTE(K36,";",REPT(" ",99)),1,99)),FIND(":",TRIM(MID(SUBSTITUTE(K36,";",REPT(" ",99)),1,99)))+1,999),FIND(":",MID(TRIM(MID(SUBSTITUTE(K36,";",REPT(" ",99)),1,99)),FIND(":",TRIM(MID(SUBSTITUTE(K36,";",REPT(" ",99)),1,99)))+1,999))-1),_Lookup!$A:$B,2,FALSE),"?")&amp;"×"&amp;LEFT(MID(MID(TRIM(MID(SUBSTITUTE(K36,";",REPT(" ",99)),1,99)),FIND(":",TRIM(MID(SUBSTITUTE(K36,";",REPT(" ",99)),1,99)))+1,999),FIND(":",MID(TRIM(MID(SUBSTITUTE(K36,";",REPT(" ",99)),1,99)),FIND(":",TRIM(MID(SUBSTITUTE(K36,";",REPT(" ",99)),1,99)))+1,999))+1,999),FIND(":",MID(MID(TRIM(MID(SUBSTITUTE(K36,";",REPT(" ",99)),1,99)),FIND(":",TRIM(MID(SUBSTITUTE(K36,";",REPT(" ",99)),1,99)))+1,999),FIND(":",MID(TRIM(MID(SUBSTITUTE(K36,";",REPT(" ",99)),1,99)),FIND(":",TRIM(MID(SUBSTITUTE(K36,";",REPT(" ",99)),1,99)))+1,999))+1,999))-1)),IF(TRIM(MID(SUBSTITUTE(K36,";",REPT(" ",99)),100,99))="","",IFERROR(VLOOKUP(--LEFT(MID(TRIM(MID(SUBSTITUTE(K36,";",REPT(" ",99)),100,99)),FIND(":",TRIM(MID(SUBSTITUTE(K36,";",REPT(" ",99)),100,99)))+1,999),FIND(":",MID(TRIM(MID(SUBSTITUTE(K36,";",REPT(" ",99)),100,99)),FIND(":",TRIM(MID(SUBSTITUTE(K36,";",REPT(" ",99)),100,99)))+1,999))-1),_Lookup!$A:$B,2,FALSE),"?")&amp;"×"&amp;LEFT(MID(MID(TRIM(MID(SUBSTITUTE(K36,";",REPT(" ",99)),100,99)),FIND(":",TRIM(MID(SUBSTITUTE(K36,";",REPT(" ",99)),100,99)))+1,999),FIND(":",MID(TRIM(MID(SUBSTITUTE(K36,";",REPT(" ",99)),100,99)),FIND(":",TRIM(MID(SUBSTITUTE(K36,";",REPT(" ",99)),100,99)))+1,999))+1,999),FIND(":",MID(MID(TRIM(MID(SUBSTITUTE(K36,";",REPT(" ",99)),100,99)),FIND(":",TRIM(MID(SUBSTITUTE(K36,";",REPT(" ",99)),100,99)))+1,999),FIND(":",MID(TRIM(MID(SUBSTITUTE(K36,";",REPT(" ",99)),100,99)),FIND(":",TRIM(MID(SUBSTITUTE(K36,";",REPT(" ",99)),100,99)))+1,999))+1,999))-1)),IF(TRIM(MID(SUBSTITUTE(K36,";",REPT(" ",99)),199,99))="","",IFERROR(VLOOKUP(--LEFT(MID(TRIM(MID(SUBSTITUTE(K36,";",REPT(" ",99)),199,99)),FIND(":",TRIM(MID(SUBSTITUTE(K36,";",REPT(" ",99)),199,99)))+1,999),FIND(":",MID(TRIM(MID(SUBSTITUTE(K36,";",REPT(" ",99)),199,99)),FIND(":",TRIM(MID(SUBSTITUTE(K36,";",REPT(" ",99)),199,99)))+1,999))-1),_Lookup!$A:$B,2,FALSE),"?")&amp;"×"&amp;LEFT(MID(MID(TRIM(MID(SUBSTITUTE(K36,";",REPT(" ",99)),199,99)),FIND(":",TRIM(MID(SUBSTITUTE(K36,";",REPT(" ",99)),199,99)))+1,999),FIND(":",MID(TRIM(MID(SUBSTITUTE(K36,";",REPT(" ",99)),199,99)),FIND(":",TRIM(MID(SUBSTITUTE(K36,";",REPT(" ",99)),199,99)))+1,999))+1,999),FIND(":",MID(MID(TRIM(MID(SUBSTITUTE(K36,";",REPT(" ",99)),199,99)),FIND(":",TRIM(MID(SUBSTITUTE(K36,";",REPT(" ",99)),199,99)))+1,999),FIND(":",MID(TRIM(MID(SUBSTITUTE(K36,";",REPT(" ",99)),199,99)),FIND(":",TRIM(MID(SUBSTITUTE(K36,";",REPT(" ",99)),199,99)))+1,999))+1,999))-1)),IF(TRIM(MID(SUBSTITUTE(K36,";",REPT(" ",99)),298,99))="","",IFERROR(VLOOKUP(--LEFT(MID(TRIM(MID(SUBSTITUTE(K36,";",REPT(" ",99)),298,99)),FIND(":",TRIM(MID(SUBSTITUTE(K36,";",REPT(" ",99)),298,99)))+1,999),FIND(":",MID(TRIM(MID(SUBSTITUTE(K36,";",REPT(" ",99)),298,99)),FIND(":",TRIM(MID(SUBSTITUTE(K36,";",REPT(" ",99)),298,99)))+1,999))-1),_Lookup!$A:$B,2,FALSE),"?")&amp;"×"&amp;LEFT(MID(MID(TRIM(MID(SUBSTITUTE(K36,";",REPT(" ",99)),298,99)),FIND(":",TRIM(MID(SUBSTITUTE(K36,";",REPT(" ",99)),298,99)))+1,999),FIND(":",MID(TRIM(MID(SUBSTITUTE(K36,";",REPT(" ",99)),298,99)),FIND(":",TRIM(MID(SUBSTITUTE(K36,";",REPT(" ",99)),298,99)))+1,999))+1,999),FIND(":",MID(MID(TRIM(MID(SUBSTITUTE(K36,";",REPT(" ",99)),298,99)),FIND(":",TRIM(MID(SUBSTITUTE(K36,";",REPT(" ",99)),298,99)))+1,999),FIND(":",MID(TRIM(MID(SUBSTITUTE(K36,";",REPT(" ",99)),298,99)),FIND(":",TRIM(MID(SUBSTITUTE(K36,";",REPT(" ",99)),298,99)))+1,999))+1,999))-1)),IF(TRIM(MID(SUBSTITUTE(K36,";",REPT(" ",99)),397,99))="","",IFERROR(VLOOKUP(--LEFT(MID(TRIM(MID(SUBSTITUTE(K36,";",REPT(" ",99)),397,99)),FIND(":",TRIM(MID(SUBSTITUTE(K36,";",REPT(" ",99)),397,99)))+1,999),FIND(":",MID(TRIM(MID(SUBSTITUTE(K36,";",REPT(" ",99)),397,99)),FIND(":",TRIM(MID(SUBSTITUTE(K36,";",REPT(" ",99)),397,99)))+1,999))-1),_Lookup!$A:$B,2,FALSE),"?")&amp;"×"&amp;LEFT(MID(MID(TRIM(MID(SUBSTITUTE(K36,";",REPT(" ",99)),397,99)),FIND(":",TRIM(MID(SUBSTITUTE(K36,";",REPT(" ",99)),397,99)))+1,999),FIND(":",MID(TRIM(MID(SUBSTITUTE(K36,";",REPT(" ",99)),397,99)),FIND(":",TRIM(MID(SUBSTITUTE(K36,";",REPT(" ",99)),397,99)))+1,999))+1,999),FIND(":",MID(MID(TRIM(MID(SUBSTITUTE(K36,";",REPT(" ",99)),397,99)),FIND(":",TRIM(MID(SUBSTITUTE(K36,";",REPT(" ",99)),397,99)))+1,999),FIND(":",MID(TRIM(MID(SUBSTITUTE(K36,";",REPT(" ",99)),397,99)),FIND(":",TRIM(MID(SUBSTITUTE(K36,";",REPT(" ",99)),397,99)))+1,999))+1,999))-1))))</f>
        <v/>
      </c>
    </row>
    <row r="37">
      <c r="D37" s="11">
        <f>IFERROR(VLOOKUP(C37,ItemData_Fish!$A:$B,2,FALSE),"")</f>
        <v/>
      </c>
      <c r="L37" s="11">
        <f>IF(K37="","",TEXTJOIN("; ",TRUE,IF(TRIM(MID(SUBSTITUTE(K37,";",REPT(" ",99)),1,99))="","",IFERROR(VLOOKUP(--LEFT(MID(TRIM(MID(SUBSTITUTE(K37,";",REPT(" ",99)),1,99)),FIND(":",TRIM(MID(SUBSTITUTE(K37,";",REPT(" ",99)),1,99)))+1,999),FIND(":",MID(TRIM(MID(SUBSTITUTE(K37,";",REPT(" ",99)),1,99)),FIND(":",TRIM(MID(SUBSTITUTE(K37,";",REPT(" ",99)),1,99)))+1,999))-1),_Lookup!$A:$B,2,FALSE),"?")&amp;"×"&amp;LEFT(MID(MID(TRIM(MID(SUBSTITUTE(K37,";",REPT(" ",99)),1,99)),FIND(":",TRIM(MID(SUBSTITUTE(K37,";",REPT(" ",99)),1,99)))+1,999),FIND(":",MID(TRIM(MID(SUBSTITUTE(K37,";",REPT(" ",99)),1,99)),FIND(":",TRIM(MID(SUBSTITUTE(K37,";",REPT(" ",99)),1,99)))+1,999))+1,999),FIND(":",MID(MID(TRIM(MID(SUBSTITUTE(K37,";",REPT(" ",99)),1,99)),FIND(":",TRIM(MID(SUBSTITUTE(K37,";",REPT(" ",99)),1,99)))+1,999),FIND(":",MID(TRIM(MID(SUBSTITUTE(K37,";",REPT(" ",99)),1,99)),FIND(":",TRIM(MID(SUBSTITUTE(K37,";",REPT(" ",99)),1,99)))+1,999))+1,999))-1)),IF(TRIM(MID(SUBSTITUTE(K37,";",REPT(" ",99)),100,99))="","",IFERROR(VLOOKUP(--LEFT(MID(TRIM(MID(SUBSTITUTE(K37,";",REPT(" ",99)),100,99)),FIND(":",TRIM(MID(SUBSTITUTE(K37,";",REPT(" ",99)),100,99)))+1,999),FIND(":",MID(TRIM(MID(SUBSTITUTE(K37,";",REPT(" ",99)),100,99)),FIND(":",TRIM(MID(SUBSTITUTE(K37,";",REPT(" ",99)),100,99)))+1,999))-1),_Lookup!$A:$B,2,FALSE),"?")&amp;"×"&amp;LEFT(MID(MID(TRIM(MID(SUBSTITUTE(K37,";",REPT(" ",99)),100,99)),FIND(":",TRIM(MID(SUBSTITUTE(K37,";",REPT(" ",99)),100,99)))+1,999),FIND(":",MID(TRIM(MID(SUBSTITUTE(K37,";",REPT(" ",99)),100,99)),FIND(":",TRIM(MID(SUBSTITUTE(K37,";",REPT(" ",99)),100,99)))+1,999))+1,999),FIND(":",MID(MID(TRIM(MID(SUBSTITUTE(K37,";",REPT(" ",99)),100,99)),FIND(":",TRIM(MID(SUBSTITUTE(K37,";",REPT(" ",99)),100,99)))+1,999),FIND(":",MID(TRIM(MID(SUBSTITUTE(K37,";",REPT(" ",99)),100,99)),FIND(":",TRIM(MID(SUBSTITUTE(K37,";",REPT(" ",99)),100,99)))+1,999))+1,999))-1)),IF(TRIM(MID(SUBSTITUTE(K37,";",REPT(" ",99)),199,99))="","",IFERROR(VLOOKUP(--LEFT(MID(TRIM(MID(SUBSTITUTE(K37,";",REPT(" ",99)),199,99)),FIND(":",TRIM(MID(SUBSTITUTE(K37,";",REPT(" ",99)),199,99)))+1,999),FIND(":",MID(TRIM(MID(SUBSTITUTE(K37,";",REPT(" ",99)),199,99)),FIND(":",TRIM(MID(SUBSTITUTE(K37,";",REPT(" ",99)),199,99)))+1,999))-1),_Lookup!$A:$B,2,FALSE),"?")&amp;"×"&amp;LEFT(MID(MID(TRIM(MID(SUBSTITUTE(K37,";",REPT(" ",99)),199,99)),FIND(":",TRIM(MID(SUBSTITUTE(K37,";",REPT(" ",99)),199,99)))+1,999),FIND(":",MID(TRIM(MID(SUBSTITUTE(K37,";",REPT(" ",99)),199,99)),FIND(":",TRIM(MID(SUBSTITUTE(K37,";",REPT(" ",99)),199,99)))+1,999))+1,999),FIND(":",MID(MID(TRIM(MID(SUBSTITUTE(K37,";",REPT(" ",99)),199,99)),FIND(":",TRIM(MID(SUBSTITUTE(K37,";",REPT(" ",99)),199,99)))+1,999),FIND(":",MID(TRIM(MID(SUBSTITUTE(K37,";",REPT(" ",99)),199,99)),FIND(":",TRIM(MID(SUBSTITUTE(K37,";",REPT(" ",99)),199,99)))+1,999))+1,999))-1)),IF(TRIM(MID(SUBSTITUTE(K37,";",REPT(" ",99)),298,99))="","",IFERROR(VLOOKUP(--LEFT(MID(TRIM(MID(SUBSTITUTE(K37,";",REPT(" ",99)),298,99)),FIND(":",TRIM(MID(SUBSTITUTE(K37,";",REPT(" ",99)),298,99)))+1,999),FIND(":",MID(TRIM(MID(SUBSTITUTE(K37,";",REPT(" ",99)),298,99)),FIND(":",TRIM(MID(SUBSTITUTE(K37,";",REPT(" ",99)),298,99)))+1,999))-1),_Lookup!$A:$B,2,FALSE),"?")&amp;"×"&amp;LEFT(MID(MID(TRIM(MID(SUBSTITUTE(K37,";",REPT(" ",99)),298,99)),FIND(":",TRIM(MID(SUBSTITUTE(K37,";",REPT(" ",99)),298,99)))+1,999),FIND(":",MID(TRIM(MID(SUBSTITUTE(K37,";",REPT(" ",99)),298,99)),FIND(":",TRIM(MID(SUBSTITUTE(K37,";",REPT(" ",99)),298,99)))+1,999))+1,999),FIND(":",MID(MID(TRIM(MID(SUBSTITUTE(K37,";",REPT(" ",99)),298,99)),FIND(":",TRIM(MID(SUBSTITUTE(K37,";",REPT(" ",99)),298,99)))+1,999),FIND(":",MID(TRIM(MID(SUBSTITUTE(K37,";",REPT(" ",99)),298,99)),FIND(":",TRIM(MID(SUBSTITUTE(K37,";",REPT(" ",99)),298,99)))+1,999))+1,999))-1)),IF(TRIM(MID(SUBSTITUTE(K37,";",REPT(" ",99)),397,99))="","",IFERROR(VLOOKUP(--LEFT(MID(TRIM(MID(SUBSTITUTE(K37,";",REPT(" ",99)),397,99)),FIND(":",TRIM(MID(SUBSTITUTE(K37,";",REPT(" ",99)),397,99)))+1,999),FIND(":",MID(TRIM(MID(SUBSTITUTE(K37,";",REPT(" ",99)),397,99)),FIND(":",TRIM(MID(SUBSTITUTE(K37,";",REPT(" ",99)),397,99)))+1,999))-1),_Lookup!$A:$B,2,FALSE),"?")&amp;"×"&amp;LEFT(MID(MID(TRIM(MID(SUBSTITUTE(K37,";",REPT(" ",99)),397,99)),FIND(":",TRIM(MID(SUBSTITUTE(K37,";",REPT(" ",99)),397,99)))+1,999),FIND(":",MID(TRIM(MID(SUBSTITUTE(K37,";",REPT(" ",99)),397,99)),FIND(":",TRIM(MID(SUBSTITUTE(K37,";",REPT(" ",99)),397,99)))+1,999))+1,999),FIND(":",MID(MID(TRIM(MID(SUBSTITUTE(K37,";",REPT(" ",99)),397,99)),FIND(":",TRIM(MID(SUBSTITUTE(K37,";",REPT(" ",99)),397,99)))+1,999),FIND(":",MID(TRIM(MID(SUBSTITUTE(K37,";",REPT(" ",99)),397,99)),FIND(":",TRIM(MID(SUBSTITUTE(K37,";",REPT(" ",99)),397,99)))+1,999))+1,999))-1))))</f>
        <v/>
      </c>
    </row>
    <row r="38">
      <c r="D38" s="11">
        <f>IFERROR(VLOOKUP(C38,ItemData_Fish!$A:$B,2,FALSE),"")</f>
        <v/>
      </c>
      <c r="L38" s="11">
        <f>IF(K38="","",TEXTJOIN("; ",TRUE,IF(TRIM(MID(SUBSTITUTE(K38,";",REPT(" ",99)),1,99))="","",IFERROR(VLOOKUP(--LEFT(MID(TRIM(MID(SUBSTITUTE(K38,";",REPT(" ",99)),1,99)),FIND(":",TRIM(MID(SUBSTITUTE(K38,";",REPT(" ",99)),1,99)))+1,999),FIND(":",MID(TRIM(MID(SUBSTITUTE(K38,";",REPT(" ",99)),1,99)),FIND(":",TRIM(MID(SUBSTITUTE(K38,";",REPT(" ",99)),1,99)))+1,999))-1),_Lookup!$A:$B,2,FALSE),"?")&amp;"×"&amp;LEFT(MID(MID(TRIM(MID(SUBSTITUTE(K38,";",REPT(" ",99)),1,99)),FIND(":",TRIM(MID(SUBSTITUTE(K38,";",REPT(" ",99)),1,99)))+1,999),FIND(":",MID(TRIM(MID(SUBSTITUTE(K38,";",REPT(" ",99)),1,99)),FIND(":",TRIM(MID(SUBSTITUTE(K38,";",REPT(" ",99)),1,99)))+1,999))+1,999),FIND(":",MID(MID(TRIM(MID(SUBSTITUTE(K38,";",REPT(" ",99)),1,99)),FIND(":",TRIM(MID(SUBSTITUTE(K38,";",REPT(" ",99)),1,99)))+1,999),FIND(":",MID(TRIM(MID(SUBSTITUTE(K38,";",REPT(" ",99)),1,99)),FIND(":",TRIM(MID(SUBSTITUTE(K38,";",REPT(" ",99)),1,99)))+1,999))+1,999))-1)),IF(TRIM(MID(SUBSTITUTE(K38,";",REPT(" ",99)),100,99))="","",IFERROR(VLOOKUP(--LEFT(MID(TRIM(MID(SUBSTITUTE(K38,";",REPT(" ",99)),100,99)),FIND(":",TRIM(MID(SUBSTITUTE(K38,";",REPT(" ",99)),100,99)))+1,999),FIND(":",MID(TRIM(MID(SUBSTITUTE(K38,";",REPT(" ",99)),100,99)),FIND(":",TRIM(MID(SUBSTITUTE(K38,";",REPT(" ",99)),100,99)))+1,999))-1),_Lookup!$A:$B,2,FALSE),"?")&amp;"×"&amp;LEFT(MID(MID(TRIM(MID(SUBSTITUTE(K38,";",REPT(" ",99)),100,99)),FIND(":",TRIM(MID(SUBSTITUTE(K38,";",REPT(" ",99)),100,99)))+1,999),FIND(":",MID(TRIM(MID(SUBSTITUTE(K38,";",REPT(" ",99)),100,99)),FIND(":",TRIM(MID(SUBSTITUTE(K38,";",REPT(" ",99)),100,99)))+1,999))+1,999),FIND(":",MID(MID(TRIM(MID(SUBSTITUTE(K38,";",REPT(" ",99)),100,99)),FIND(":",TRIM(MID(SUBSTITUTE(K38,";",REPT(" ",99)),100,99)))+1,999),FIND(":",MID(TRIM(MID(SUBSTITUTE(K38,";",REPT(" ",99)),100,99)),FIND(":",TRIM(MID(SUBSTITUTE(K38,";",REPT(" ",99)),100,99)))+1,999))+1,999))-1)),IF(TRIM(MID(SUBSTITUTE(K38,";",REPT(" ",99)),199,99))="","",IFERROR(VLOOKUP(--LEFT(MID(TRIM(MID(SUBSTITUTE(K38,";",REPT(" ",99)),199,99)),FIND(":",TRIM(MID(SUBSTITUTE(K38,";",REPT(" ",99)),199,99)))+1,999),FIND(":",MID(TRIM(MID(SUBSTITUTE(K38,";",REPT(" ",99)),199,99)),FIND(":",TRIM(MID(SUBSTITUTE(K38,";",REPT(" ",99)),199,99)))+1,999))-1),_Lookup!$A:$B,2,FALSE),"?")&amp;"×"&amp;LEFT(MID(MID(TRIM(MID(SUBSTITUTE(K38,";",REPT(" ",99)),199,99)),FIND(":",TRIM(MID(SUBSTITUTE(K38,";",REPT(" ",99)),199,99)))+1,999),FIND(":",MID(TRIM(MID(SUBSTITUTE(K38,";",REPT(" ",99)),199,99)),FIND(":",TRIM(MID(SUBSTITUTE(K38,";",REPT(" ",99)),199,99)))+1,999))+1,999),FIND(":",MID(MID(TRIM(MID(SUBSTITUTE(K38,";",REPT(" ",99)),199,99)),FIND(":",TRIM(MID(SUBSTITUTE(K38,";",REPT(" ",99)),199,99)))+1,999),FIND(":",MID(TRIM(MID(SUBSTITUTE(K38,";",REPT(" ",99)),199,99)),FIND(":",TRIM(MID(SUBSTITUTE(K38,";",REPT(" ",99)),199,99)))+1,999))+1,999))-1)),IF(TRIM(MID(SUBSTITUTE(K38,";",REPT(" ",99)),298,99))="","",IFERROR(VLOOKUP(--LEFT(MID(TRIM(MID(SUBSTITUTE(K38,";",REPT(" ",99)),298,99)),FIND(":",TRIM(MID(SUBSTITUTE(K38,";",REPT(" ",99)),298,99)))+1,999),FIND(":",MID(TRIM(MID(SUBSTITUTE(K38,";",REPT(" ",99)),298,99)),FIND(":",TRIM(MID(SUBSTITUTE(K38,";",REPT(" ",99)),298,99)))+1,999))-1),_Lookup!$A:$B,2,FALSE),"?")&amp;"×"&amp;LEFT(MID(MID(TRIM(MID(SUBSTITUTE(K38,";",REPT(" ",99)),298,99)),FIND(":",TRIM(MID(SUBSTITUTE(K38,";",REPT(" ",99)),298,99)))+1,999),FIND(":",MID(TRIM(MID(SUBSTITUTE(K38,";",REPT(" ",99)),298,99)),FIND(":",TRIM(MID(SUBSTITUTE(K38,";",REPT(" ",99)),298,99)))+1,999))+1,999),FIND(":",MID(MID(TRIM(MID(SUBSTITUTE(K38,";",REPT(" ",99)),298,99)),FIND(":",TRIM(MID(SUBSTITUTE(K38,";",REPT(" ",99)),298,99)))+1,999),FIND(":",MID(TRIM(MID(SUBSTITUTE(K38,";",REPT(" ",99)),298,99)),FIND(":",TRIM(MID(SUBSTITUTE(K38,";",REPT(" ",99)),298,99)))+1,999))+1,999))-1)),IF(TRIM(MID(SUBSTITUTE(K38,";",REPT(" ",99)),397,99))="","",IFERROR(VLOOKUP(--LEFT(MID(TRIM(MID(SUBSTITUTE(K38,";",REPT(" ",99)),397,99)),FIND(":",TRIM(MID(SUBSTITUTE(K38,";",REPT(" ",99)),397,99)))+1,999),FIND(":",MID(TRIM(MID(SUBSTITUTE(K38,";",REPT(" ",99)),397,99)),FIND(":",TRIM(MID(SUBSTITUTE(K38,";",REPT(" ",99)),397,99)))+1,999))-1),_Lookup!$A:$B,2,FALSE),"?")&amp;"×"&amp;LEFT(MID(MID(TRIM(MID(SUBSTITUTE(K38,";",REPT(" ",99)),397,99)),FIND(":",TRIM(MID(SUBSTITUTE(K38,";",REPT(" ",99)),397,99)))+1,999),FIND(":",MID(TRIM(MID(SUBSTITUTE(K38,";",REPT(" ",99)),397,99)),FIND(":",TRIM(MID(SUBSTITUTE(K38,";",REPT(" ",99)),397,99)))+1,999))+1,999),FIND(":",MID(MID(TRIM(MID(SUBSTITUTE(K38,";",REPT(" ",99)),397,99)),FIND(":",TRIM(MID(SUBSTITUTE(K38,";",REPT(" ",99)),397,99)))+1,999),FIND(":",MID(TRIM(MID(SUBSTITUTE(K38,";",REPT(" ",99)),397,99)),FIND(":",TRIM(MID(SUBSTITUTE(K38,";",REPT(" ",99)),397,99)))+1,999))+1,999))-1))))</f>
        <v/>
      </c>
    </row>
    <row r="39">
      <c r="D39" s="11">
        <f>IFERROR(VLOOKUP(C39,ItemData_Fish!$A:$B,2,FALSE),"")</f>
        <v/>
      </c>
      <c r="L39" s="11">
        <f>IF(K39="","",TEXTJOIN("; ",TRUE,IF(TRIM(MID(SUBSTITUTE(K39,";",REPT(" ",99)),1,99))="","",IFERROR(VLOOKUP(--LEFT(MID(TRIM(MID(SUBSTITUTE(K39,";",REPT(" ",99)),1,99)),FIND(":",TRIM(MID(SUBSTITUTE(K39,";",REPT(" ",99)),1,99)))+1,999),FIND(":",MID(TRIM(MID(SUBSTITUTE(K39,";",REPT(" ",99)),1,99)),FIND(":",TRIM(MID(SUBSTITUTE(K39,";",REPT(" ",99)),1,99)))+1,999))-1),_Lookup!$A:$B,2,FALSE),"?")&amp;"×"&amp;LEFT(MID(MID(TRIM(MID(SUBSTITUTE(K39,";",REPT(" ",99)),1,99)),FIND(":",TRIM(MID(SUBSTITUTE(K39,";",REPT(" ",99)),1,99)))+1,999),FIND(":",MID(TRIM(MID(SUBSTITUTE(K39,";",REPT(" ",99)),1,99)),FIND(":",TRIM(MID(SUBSTITUTE(K39,";",REPT(" ",99)),1,99)))+1,999))+1,999),FIND(":",MID(MID(TRIM(MID(SUBSTITUTE(K39,";",REPT(" ",99)),1,99)),FIND(":",TRIM(MID(SUBSTITUTE(K39,";",REPT(" ",99)),1,99)))+1,999),FIND(":",MID(TRIM(MID(SUBSTITUTE(K39,";",REPT(" ",99)),1,99)),FIND(":",TRIM(MID(SUBSTITUTE(K39,";",REPT(" ",99)),1,99)))+1,999))+1,999))-1)),IF(TRIM(MID(SUBSTITUTE(K39,";",REPT(" ",99)),100,99))="","",IFERROR(VLOOKUP(--LEFT(MID(TRIM(MID(SUBSTITUTE(K39,";",REPT(" ",99)),100,99)),FIND(":",TRIM(MID(SUBSTITUTE(K39,";",REPT(" ",99)),100,99)))+1,999),FIND(":",MID(TRIM(MID(SUBSTITUTE(K39,";",REPT(" ",99)),100,99)),FIND(":",TRIM(MID(SUBSTITUTE(K39,";",REPT(" ",99)),100,99)))+1,999))-1),_Lookup!$A:$B,2,FALSE),"?")&amp;"×"&amp;LEFT(MID(MID(TRIM(MID(SUBSTITUTE(K39,";",REPT(" ",99)),100,99)),FIND(":",TRIM(MID(SUBSTITUTE(K39,";",REPT(" ",99)),100,99)))+1,999),FIND(":",MID(TRIM(MID(SUBSTITUTE(K39,";",REPT(" ",99)),100,99)),FIND(":",TRIM(MID(SUBSTITUTE(K39,";",REPT(" ",99)),100,99)))+1,999))+1,999),FIND(":",MID(MID(TRIM(MID(SUBSTITUTE(K39,";",REPT(" ",99)),100,99)),FIND(":",TRIM(MID(SUBSTITUTE(K39,";",REPT(" ",99)),100,99)))+1,999),FIND(":",MID(TRIM(MID(SUBSTITUTE(K39,";",REPT(" ",99)),100,99)),FIND(":",TRIM(MID(SUBSTITUTE(K39,";",REPT(" ",99)),100,99)))+1,999))+1,999))-1)),IF(TRIM(MID(SUBSTITUTE(K39,";",REPT(" ",99)),199,99))="","",IFERROR(VLOOKUP(--LEFT(MID(TRIM(MID(SUBSTITUTE(K39,";",REPT(" ",99)),199,99)),FIND(":",TRIM(MID(SUBSTITUTE(K39,";",REPT(" ",99)),199,99)))+1,999),FIND(":",MID(TRIM(MID(SUBSTITUTE(K39,";",REPT(" ",99)),199,99)),FIND(":",TRIM(MID(SUBSTITUTE(K39,";",REPT(" ",99)),199,99)))+1,999))-1),_Lookup!$A:$B,2,FALSE),"?")&amp;"×"&amp;LEFT(MID(MID(TRIM(MID(SUBSTITUTE(K39,";",REPT(" ",99)),199,99)),FIND(":",TRIM(MID(SUBSTITUTE(K39,";",REPT(" ",99)),199,99)))+1,999),FIND(":",MID(TRIM(MID(SUBSTITUTE(K39,";",REPT(" ",99)),199,99)),FIND(":",TRIM(MID(SUBSTITUTE(K39,";",REPT(" ",99)),199,99)))+1,999))+1,999),FIND(":",MID(MID(TRIM(MID(SUBSTITUTE(K39,";",REPT(" ",99)),199,99)),FIND(":",TRIM(MID(SUBSTITUTE(K39,";",REPT(" ",99)),199,99)))+1,999),FIND(":",MID(TRIM(MID(SUBSTITUTE(K39,";",REPT(" ",99)),199,99)),FIND(":",TRIM(MID(SUBSTITUTE(K39,";",REPT(" ",99)),199,99)))+1,999))+1,999))-1)),IF(TRIM(MID(SUBSTITUTE(K39,";",REPT(" ",99)),298,99))="","",IFERROR(VLOOKUP(--LEFT(MID(TRIM(MID(SUBSTITUTE(K39,";",REPT(" ",99)),298,99)),FIND(":",TRIM(MID(SUBSTITUTE(K39,";",REPT(" ",99)),298,99)))+1,999),FIND(":",MID(TRIM(MID(SUBSTITUTE(K39,";",REPT(" ",99)),298,99)),FIND(":",TRIM(MID(SUBSTITUTE(K39,";",REPT(" ",99)),298,99)))+1,999))-1),_Lookup!$A:$B,2,FALSE),"?")&amp;"×"&amp;LEFT(MID(MID(TRIM(MID(SUBSTITUTE(K39,";",REPT(" ",99)),298,99)),FIND(":",TRIM(MID(SUBSTITUTE(K39,";",REPT(" ",99)),298,99)))+1,999),FIND(":",MID(TRIM(MID(SUBSTITUTE(K39,";",REPT(" ",99)),298,99)),FIND(":",TRIM(MID(SUBSTITUTE(K39,";",REPT(" ",99)),298,99)))+1,999))+1,999),FIND(":",MID(MID(TRIM(MID(SUBSTITUTE(K39,";",REPT(" ",99)),298,99)),FIND(":",TRIM(MID(SUBSTITUTE(K39,";",REPT(" ",99)),298,99)))+1,999),FIND(":",MID(TRIM(MID(SUBSTITUTE(K39,";",REPT(" ",99)),298,99)),FIND(":",TRIM(MID(SUBSTITUTE(K39,";",REPT(" ",99)),298,99)))+1,999))+1,999))-1)),IF(TRIM(MID(SUBSTITUTE(K39,";",REPT(" ",99)),397,99))="","",IFERROR(VLOOKUP(--LEFT(MID(TRIM(MID(SUBSTITUTE(K39,";",REPT(" ",99)),397,99)),FIND(":",TRIM(MID(SUBSTITUTE(K39,";",REPT(" ",99)),397,99)))+1,999),FIND(":",MID(TRIM(MID(SUBSTITUTE(K39,";",REPT(" ",99)),397,99)),FIND(":",TRIM(MID(SUBSTITUTE(K39,";",REPT(" ",99)),397,99)))+1,999))-1),_Lookup!$A:$B,2,FALSE),"?")&amp;"×"&amp;LEFT(MID(MID(TRIM(MID(SUBSTITUTE(K39,";",REPT(" ",99)),397,99)),FIND(":",TRIM(MID(SUBSTITUTE(K39,";",REPT(" ",99)),397,99)))+1,999),FIND(":",MID(TRIM(MID(SUBSTITUTE(K39,";",REPT(" ",99)),397,99)),FIND(":",TRIM(MID(SUBSTITUTE(K39,";",REPT(" ",99)),397,99)))+1,999))+1,999),FIND(":",MID(MID(TRIM(MID(SUBSTITUTE(K39,";",REPT(" ",99)),397,99)),FIND(":",TRIM(MID(SUBSTITUTE(K39,";",REPT(" ",99)),397,99)))+1,999),FIND(":",MID(TRIM(MID(SUBSTITUTE(K39,";",REPT(" ",99)),397,99)),FIND(":",TRIM(MID(SUBSTITUTE(K39,";",REPT(" ",99)),397,99)))+1,999))+1,999))-1))))</f>
        <v/>
      </c>
    </row>
    <row r="40">
      <c r="D40" s="11">
        <f>IFERROR(VLOOKUP(C40,ItemData_Fish!$A:$B,2,FALSE),"")</f>
        <v/>
      </c>
      <c r="L40" s="11">
        <f>IF(K40="","",TEXTJOIN("; ",TRUE,IF(TRIM(MID(SUBSTITUTE(K40,";",REPT(" ",99)),1,99))="","",IFERROR(VLOOKUP(--LEFT(MID(TRIM(MID(SUBSTITUTE(K40,";",REPT(" ",99)),1,99)),FIND(":",TRIM(MID(SUBSTITUTE(K40,";",REPT(" ",99)),1,99)))+1,999),FIND(":",MID(TRIM(MID(SUBSTITUTE(K40,";",REPT(" ",99)),1,99)),FIND(":",TRIM(MID(SUBSTITUTE(K40,";",REPT(" ",99)),1,99)))+1,999))-1),_Lookup!$A:$B,2,FALSE),"?")&amp;"×"&amp;LEFT(MID(MID(TRIM(MID(SUBSTITUTE(K40,";",REPT(" ",99)),1,99)),FIND(":",TRIM(MID(SUBSTITUTE(K40,";",REPT(" ",99)),1,99)))+1,999),FIND(":",MID(TRIM(MID(SUBSTITUTE(K40,";",REPT(" ",99)),1,99)),FIND(":",TRIM(MID(SUBSTITUTE(K40,";",REPT(" ",99)),1,99)))+1,999))+1,999),FIND(":",MID(MID(TRIM(MID(SUBSTITUTE(K40,";",REPT(" ",99)),1,99)),FIND(":",TRIM(MID(SUBSTITUTE(K40,";",REPT(" ",99)),1,99)))+1,999),FIND(":",MID(TRIM(MID(SUBSTITUTE(K40,";",REPT(" ",99)),1,99)),FIND(":",TRIM(MID(SUBSTITUTE(K40,";",REPT(" ",99)),1,99)))+1,999))+1,999))-1)),IF(TRIM(MID(SUBSTITUTE(K40,";",REPT(" ",99)),100,99))="","",IFERROR(VLOOKUP(--LEFT(MID(TRIM(MID(SUBSTITUTE(K40,";",REPT(" ",99)),100,99)),FIND(":",TRIM(MID(SUBSTITUTE(K40,";",REPT(" ",99)),100,99)))+1,999),FIND(":",MID(TRIM(MID(SUBSTITUTE(K40,";",REPT(" ",99)),100,99)),FIND(":",TRIM(MID(SUBSTITUTE(K40,";",REPT(" ",99)),100,99)))+1,999))-1),_Lookup!$A:$B,2,FALSE),"?")&amp;"×"&amp;LEFT(MID(MID(TRIM(MID(SUBSTITUTE(K40,";",REPT(" ",99)),100,99)),FIND(":",TRIM(MID(SUBSTITUTE(K40,";",REPT(" ",99)),100,99)))+1,999),FIND(":",MID(TRIM(MID(SUBSTITUTE(K40,";",REPT(" ",99)),100,99)),FIND(":",TRIM(MID(SUBSTITUTE(K40,";",REPT(" ",99)),100,99)))+1,999))+1,999),FIND(":",MID(MID(TRIM(MID(SUBSTITUTE(K40,";",REPT(" ",99)),100,99)),FIND(":",TRIM(MID(SUBSTITUTE(K40,";",REPT(" ",99)),100,99)))+1,999),FIND(":",MID(TRIM(MID(SUBSTITUTE(K40,";",REPT(" ",99)),100,99)),FIND(":",TRIM(MID(SUBSTITUTE(K40,";",REPT(" ",99)),100,99)))+1,999))+1,999))-1)),IF(TRIM(MID(SUBSTITUTE(K40,";",REPT(" ",99)),199,99))="","",IFERROR(VLOOKUP(--LEFT(MID(TRIM(MID(SUBSTITUTE(K40,";",REPT(" ",99)),199,99)),FIND(":",TRIM(MID(SUBSTITUTE(K40,";",REPT(" ",99)),199,99)))+1,999),FIND(":",MID(TRIM(MID(SUBSTITUTE(K40,";",REPT(" ",99)),199,99)),FIND(":",TRIM(MID(SUBSTITUTE(K40,";",REPT(" ",99)),199,99)))+1,999))-1),_Lookup!$A:$B,2,FALSE),"?")&amp;"×"&amp;LEFT(MID(MID(TRIM(MID(SUBSTITUTE(K40,";",REPT(" ",99)),199,99)),FIND(":",TRIM(MID(SUBSTITUTE(K40,";",REPT(" ",99)),199,99)))+1,999),FIND(":",MID(TRIM(MID(SUBSTITUTE(K40,";",REPT(" ",99)),199,99)),FIND(":",TRIM(MID(SUBSTITUTE(K40,";",REPT(" ",99)),199,99)))+1,999))+1,999),FIND(":",MID(MID(TRIM(MID(SUBSTITUTE(K40,";",REPT(" ",99)),199,99)),FIND(":",TRIM(MID(SUBSTITUTE(K40,";",REPT(" ",99)),199,99)))+1,999),FIND(":",MID(TRIM(MID(SUBSTITUTE(K40,";",REPT(" ",99)),199,99)),FIND(":",TRIM(MID(SUBSTITUTE(K40,";",REPT(" ",99)),199,99)))+1,999))+1,999))-1)),IF(TRIM(MID(SUBSTITUTE(K40,";",REPT(" ",99)),298,99))="","",IFERROR(VLOOKUP(--LEFT(MID(TRIM(MID(SUBSTITUTE(K40,";",REPT(" ",99)),298,99)),FIND(":",TRIM(MID(SUBSTITUTE(K40,";",REPT(" ",99)),298,99)))+1,999),FIND(":",MID(TRIM(MID(SUBSTITUTE(K40,";",REPT(" ",99)),298,99)),FIND(":",TRIM(MID(SUBSTITUTE(K40,";",REPT(" ",99)),298,99)))+1,999))-1),_Lookup!$A:$B,2,FALSE),"?")&amp;"×"&amp;LEFT(MID(MID(TRIM(MID(SUBSTITUTE(K40,";",REPT(" ",99)),298,99)),FIND(":",TRIM(MID(SUBSTITUTE(K40,";",REPT(" ",99)),298,99)))+1,999),FIND(":",MID(TRIM(MID(SUBSTITUTE(K40,";",REPT(" ",99)),298,99)),FIND(":",TRIM(MID(SUBSTITUTE(K40,";",REPT(" ",99)),298,99)))+1,999))+1,999),FIND(":",MID(MID(TRIM(MID(SUBSTITUTE(K40,";",REPT(" ",99)),298,99)),FIND(":",TRIM(MID(SUBSTITUTE(K40,";",REPT(" ",99)),298,99)))+1,999),FIND(":",MID(TRIM(MID(SUBSTITUTE(K40,";",REPT(" ",99)),298,99)),FIND(":",TRIM(MID(SUBSTITUTE(K40,";",REPT(" ",99)),298,99)))+1,999))+1,999))-1)),IF(TRIM(MID(SUBSTITUTE(K40,";",REPT(" ",99)),397,99))="","",IFERROR(VLOOKUP(--LEFT(MID(TRIM(MID(SUBSTITUTE(K40,";",REPT(" ",99)),397,99)),FIND(":",TRIM(MID(SUBSTITUTE(K40,";",REPT(" ",99)),397,99)))+1,999),FIND(":",MID(TRIM(MID(SUBSTITUTE(K40,";",REPT(" ",99)),397,99)),FIND(":",TRIM(MID(SUBSTITUTE(K40,";",REPT(" ",99)),397,99)))+1,999))-1),_Lookup!$A:$B,2,FALSE),"?")&amp;"×"&amp;LEFT(MID(MID(TRIM(MID(SUBSTITUTE(K40,";",REPT(" ",99)),397,99)),FIND(":",TRIM(MID(SUBSTITUTE(K40,";",REPT(" ",99)),397,99)))+1,999),FIND(":",MID(TRIM(MID(SUBSTITUTE(K40,";",REPT(" ",99)),397,99)),FIND(":",TRIM(MID(SUBSTITUTE(K40,";",REPT(" ",99)),397,99)))+1,999))+1,999),FIND(":",MID(MID(TRIM(MID(SUBSTITUTE(K40,";",REPT(" ",99)),397,99)),FIND(":",TRIM(MID(SUBSTITUTE(K40,";",REPT(" ",99)),397,99)))+1,999),FIND(":",MID(TRIM(MID(SUBSTITUTE(K40,";",REPT(" ",99)),397,99)),FIND(":",TRIM(MID(SUBSTITUTE(K40,";",REPT(" ",99)),397,99)))+1,999))+1,999))-1))))</f>
        <v/>
      </c>
    </row>
    <row r="41">
      <c r="D41" s="11">
        <f>IFERROR(VLOOKUP(C41,ItemData_Fish!$A:$B,2,FALSE),"")</f>
        <v/>
      </c>
      <c r="L41" s="11">
        <f>IF(K41="","",TEXTJOIN("; ",TRUE,IF(TRIM(MID(SUBSTITUTE(K41,";",REPT(" ",99)),1,99))="","",IFERROR(VLOOKUP(--LEFT(MID(TRIM(MID(SUBSTITUTE(K41,";",REPT(" ",99)),1,99)),FIND(":",TRIM(MID(SUBSTITUTE(K41,";",REPT(" ",99)),1,99)))+1,999),FIND(":",MID(TRIM(MID(SUBSTITUTE(K41,";",REPT(" ",99)),1,99)),FIND(":",TRIM(MID(SUBSTITUTE(K41,";",REPT(" ",99)),1,99)))+1,999))-1),_Lookup!$A:$B,2,FALSE),"?")&amp;"×"&amp;LEFT(MID(MID(TRIM(MID(SUBSTITUTE(K41,";",REPT(" ",99)),1,99)),FIND(":",TRIM(MID(SUBSTITUTE(K41,";",REPT(" ",99)),1,99)))+1,999),FIND(":",MID(TRIM(MID(SUBSTITUTE(K41,";",REPT(" ",99)),1,99)),FIND(":",TRIM(MID(SUBSTITUTE(K41,";",REPT(" ",99)),1,99)))+1,999))+1,999),FIND(":",MID(MID(TRIM(MID(SUBSTITUTE(K41,";",REPT(" ",99)),1,99)),FIND(":",TRIM(MID(SUBSTITUTE(K41,";",REPT(" ",99)),1,99)))+1,999),FIND(":",MID(TRIM(MID(SUBSTITUTE(K41,";",REPT(" ",99)),1,99)),FIND(":",TRIM(MID(SUBSTITUTE(K41,";",REPT(" ",99)),1,99)))+1,999))+1,999))-1)),IF(TRIM(MID(SUBSTITUTE(K41,";",REPT(" ",99)),100,99))="","",IFERROR(VLOOKUP(--LEFT(MID(TRIM(MID(SUBSTITUTE(K41,";",REPT(" ",99)),100,99)),FIND(":",TRIM(MID(SUBSTITUTE(K41,";",REPT(" ",99)),100,99)))+1,999),FIND(":",MID(TRIM(MID(SUBSTITUTE(K41,";",REPT(" ",99)),100,99)),FIND(":",TRIM(MID(SUBSTITUTE(K41,";",REPT(" ",99)),100,99)))+1,999))-1),_Lookup!$A:$B,2,FALSE),"?")&amp;"×"&amp;LEFT(MID(MID(TRIM(MID(SUBSTITUTE(K41,";",REPT(" ",99)),100,99)),FIND(":",TRIM(MID(SUBSTITUTE(K41,";",REPT(" ",99)),100,99)))+1,999),FIND(":",MID(TRIM(MID(SUBSTITUTE(K41,";",REPT(" ",99)),100,99)),FIND(":",TRIM(MID(SUBSTITUTE(K41,";",REPT(" ",99)),100,99)))+1,999))+1,999),FIND(":",MID(MID(TRIM(MID(SUBSTITUTE(K41,";",REPT(" ",99)),100,99)),FIND(":",TRIM(MID(SUBSTITUTE(K41,";",REPT(" ",99)),100,99)))+1,999),FIND(":",MID(TRIM(MID(SUBSTITUTE(K41,";",REPT(" ",99)),100,99)),FIND(":",TRIM(MID(SUBSTITUTE(K41,";",REPT(" ",99)),100,99)))+1,999))+1,999))-1)),IF(TRIM(MID(SUBSTITUTE(K41,";",REPT(" ",99)),199,99))="","",IFERROR(VLOOKUP(--LEFT(MID(TRIM(MID(SUBSTITUTE(K41,";",REPT(" ",99)),199,99)),FIND(":",TRIM(MID(SUBSTITUTE(K41,";",REPT(" ",99)),199,99)))+1,999),FIND(":",MID(TRIM(MID(SUBSTITUTE(K41,";",REPT(" ",99)),199,99)),FIND(":",TRIM(MID(SUBSTITUTE(K41,";",REPT(" ",99)),199,99)))+1,999))-1),_Lookup!$A:$B,2,FALSE),"?")&amp;"×"&amp;LEFT(MID(MID(TRIM(MID(SUBSTITUTE(K41,";",REPT(" ",99)),199,99)),FIND(":",TRIM(MID(SUBSTITUTE(K41,";",REPT(" ",99)),199,99)))+1,999),FIND(":",MID(TRIM(MID(SUBSTITUTE(K41,";",REPT(" ",99)),199,99)),FIND(":",TRIM(MID(SUBSTITUTE(K41,";",REPT(" ",99)),199,99)))+1,999))+1,999),FIND(":",MID(MID(TRIM(MID(SUBSTITUTE(K41,";",REPT(" ",99)),199,99)),FIND(":",TRIM(MID(SUBSTITUTE(K41,";",REPT(" ",99)),199,99)))+1,999),FIND(":",MID(TRIM(MID(SUBSTITUTE(K41,";",REPT(" ",99)),199,99)),FIND(":",TRIM(MID(SUBSTITUTE(K41,";",REPT(" ",99)),199,99)))+1,999))+1,999))-1)),IF(TRIM(MID(SUBSTITUTE(K41,";",REPT(" ",99)),298,99))="","",IFERROR(VLOOKUP(--LEFT(MID(TRIM(MID(SUBSTITUTE(K41,";",REPT(" ",99)),298,99)),FIND(":",TRIM(MID(SUBSTITUTE(K41,";",REPT(" ",99)),298,99)))+1,999),FIND(":",MID(TRIM(MID(SUBSTITUTE(K41,";",REPT(" ",99)),298,99)),FIND(":",TRIM(MID(SUBSTITUTE(K41,";",REPT(" ",99)),298,99)))+1,999))-1),_Lookup!$A:$B,2,FALSE),"?")&amp;"×"&amp;LEFT(MID(MID(TRIM(MID(SUBSTITUTE(K41,";",REPT(" ",99)),298,99)),FIND(":",TRIM(MID(SUBSTITUTE(K41,";",REPT(" ",99)),298,99)))+1,999),FIND(":",MID(TRIM(MID(SUBSTITUTE(K41,";",REPT(" ",99)),298,99)),FIND(":",TRIM(MID(SUBSTITUTE(K41,";",REPT(" ",99)),298,99)))+1,999))+1,999),FIND(":",MID(MID(TRIM(MID(SUBSTITUTE(K41,";",REPT(" ",99)),298,99)),FIND(":",TRIM(MID(SUBSTITUTE(K41,";",REPT(" ",99)),298,99)))+1,999),FIND(":",MID(TRIM(MID(SUBSTITUTE(K41,";",REPT(" ",99)),298,99)),FIND(":",TRIM(MID(SUBSTITUTE(K41,";",REPT(" ",99)),298,99)))+1,999))+1,999))-1)),IF(TRIM(MID(SUBSTITUTE(K41,";",REPT(" ",99)),397,99))="","",IFERROR(VLOOKUP(--LEFT(MID(TRIM(MID(SUBSTITUTE(K41,";",REPT(" ",99)),397,99)),FIND(":",TRIM(MID(SUBSTITUTE(K41,";",REPT(" ",99)),397,99)))+1,999),FIND(":",MID(TRIM(MID(SUBSTITUTE(K41,";",REPT(" ",99)),397,99)),FIND(":",TRIM(MID(SUBSTITUTE(K41,";",REPT(" ",99)),397,99)))+1,999))-1),_Lookup!$A:$B,2,FALSE),"?")&amp;"×"&amp;LEFT(MID(MID(TRIM(MID(SUBSTITUTE(K41,";",REPT(" ",99)),397,99)),FIND(":",TRIM(MID(SUBSTITUTE(K41,";",REPT(" ",99)),397,99)))+1,999),FIND(":",MID(TRIM(MID(SUBSTITUTE(K41,";",REPT(" ",99)),397,99)),FIND(":",TRIM(MID(SUBSTITUTE(K41,";",REPT(" ",99)),397,99)))+1,999))+1,999),FIND(":",MID(MID(TRIM(MID(SUBSTITUTE(K41,";",REPT(" ",99)),397,99)),FIND(":",TRIM(MID(SUBSTITUTE(K41,";",REPT(" ",99)),397,99)))+1,999),FIND(":",MID(TRIM(MID(SUBSTITUTE(K41,";",REPT(" ",99)),397,99)),FIND(":",TRIM(MID(SUBSTITUTE(K41,";",REPT(" ",99)),397,99)))+1,999))+1,999))-1))))</f>
        <v/>
      </c>
    </row>
    <row r="42">
      <c r="D42" s="11">
        <f>IFERROR(VLOOKUP(C42,ItemData_Fish!$A:$B,2,FALSE),"")</f>
        <v/>
      </c>
      <c r="L42" s="11">
        <f>IF(K42="","",TEXTJOIN("; ",TRUE,IF(TRIM(MID(SUBSTITUTE(K42,";",REPT(" ",99)),1,99))="","",IFERROR(VLOOKUP(--LEFT(MID(TRIM(MID(SUBSTITUTE(K42,";",REPT(" ",99)),1,99)),FIND(":",TRIM(MID(SUBSTITUTE(K42,";",REPT(" ",99)),1,99)))+1,999),FIND(":",MID(TRIM(MID(SUBSTITUTE(K42,";",REPT(" ",99)),1,99)),FIND(":",TRIM(MID(SUBSTITUTE(K42,";",REPT(" ",99)),1,99)))+1,999))-1),_Lookup!$A:$B,2,FALSE),"?")&amp;"×"&amp;LEFT(MID(MID(TRIM(MID(SUBSTITUTE(K42,";",REPT(" ",99)),1,99)),FIND(":",TRIM(MID(SUBSTITUTE(K42,";",REPT(" ",99)),1,99)))+1,999),FIND(":",MID(TRIM(MID(SUBSTITUTE(K42,";",REPT(" ",99)),1,99)),FIND(":",TRIM(MID(SUBSTITUTE(K42,";",REPT(" ",99)),1,99)))+1,999))+1,999),FIND(":",MID(MID(TRIM(MID(SUBSTITUTE(K42,";",REPT(" ",99)),1,99)),FIND(":",TRIM(MID(SUBSTITUTE(K42,";",REPT(" ",99)),1,99)))+1,999),FIND(":",MID(TRIM(MID(SUBSTITUTE(K42,";",REPT(" ",99)),1,99)),FIND(":",TRIM(MID(SUBSTITUTE(K42,";",REPT(" ",99)),1,99)))+1,999))+1,999))-1)),IF(TRIM(MID(SUBSTITUTE(K42,";",REPT(" ",99)),100,99))="","",IFERROR(VLOOKUP(--LEFT(MID(TRIM(MID(SUBSTITUTE(K42,";",REPT(" ",99)),100,99)),FIND(":",TRIM(MID(SUBSTITUTE(K42,";",REPT(" ",99)),100,99)))+1,999),FIND(":",MID(TRIM(MID(SUBSTITUTE(K42,";",REPT(" ",99)),100,99)),FIND(":",TRIM(MID(SUBSTITUTE(K42,";",REPT(" ",99)),100,99)))+1,999))-1),_Lookup!$A:$B,2,FALSE),"?")&amp;"×"&amp;LEFT(MID(MID(TRIM(MID(SUBSTITUTE(K42,";",REPT(" ",99)),100,99)),FIND(":",TRIM(MID(SUBSTITUTE(K42,";",REPT(" ",99)),100,99)))+1,999),FIND(":",MID(TRIM(MID(SUBSTITUTE(K42,";",REPT(" ",99)),100,99)),FIND(":",TRIM(MID(SUBSTITUTE(K42,";",REPT(" ",99)),100,99)))+1,999))+1,999),FIND(":",MID(MID(TRIM(MID(SUBSTITUTE(K42,";",REPT(" ",99)),100,99)),FIND(":",TRIM(MID(SUBSTITUTE(K42,";",REPT(" ",99)),100,99)))+1,999),FIND(":",MID(TRIM(MID(SUBSTITUTE(K42,";",REPT(" ",99)),100,99)),FIND(":",TRIM(MID(SUBSTITUTE(K42,";",REPT(" ",99)),100,99)))+1,999))+1,999))-1)),IF(TRIM(MID(SUBSTITUTE(K42,";",REPT(" ",99)),199,99))="","",IFERROR(VLOOKUP(--LEFT(MID(TRIM(MID(SUBSTITUTE(K42,";",REPT(" ",99)),199,99)),FIND(":",TRIM(MID(SUBSTITUTE(K42,";",REPT(" ",99)),199,99)))+1,999),FIND(":",MID(TRIM(MID(SUBSTITUTE(K42,";",REPT(" ",99)),199,99)),FIND(":",TRIM(MID(SUBSTITUTE(K42,";",REPT(" ",99)),199,99)))+1,999))-1),_Lookup!$A:$B,2,FALSE),"?")&amp;"×"&amp;LEFT(MID(MID(TRIM(MID(SUBSTITUTE(K42,";",REPT(" ",99)),199,99)),FIND(":",TRIM(MID(SUBSTITUTE(K42,";",REPT(" ",99)),199,99)))+1,999),FIND(":",MID(TRIM(MID(SUBSTITUTE(K42,";",REPT(" ",99)),199,99)),FIND(":",TRIM(MID(SUBSTITUTE(K42,";",REPT(" ",99)),199,99)))+1,999))+1,999),FIND(":",MID(MID(TRIM(MID(SUBSTITUTE(K42,";",REPT(" ",99)),199,99)),FIND(":",TRIM(MID(SUBSTITUTE(K42,";",REPT(" ",99)),199,99)))+1,999),FIND(":",MID(TRIM(MID(SUBSTITUTE(K42,";",REPT(" ",99)),199,99)),FIND(":",TRIM(MID(SUBSTITUTE(K42,";",REPT(" ",99)),199,99)))+1,999))+1,999))-1)),IF(TRIM(MID(SUBSTITUTE(K42,";",REPT(" ",99)),298,99))="","",IFERROR(VLOOKUP(--LEFT(MID(TRIM(MID(SUBSTITUTE(K42,";",REPT(" ",99)),298,99)),FIND(":",TRIM(MID(SUBSTITUTE(K42,";",REPT(" ",99)),298,99)))+1,999),FIND(":",MID(TRIM(MID(SUBSTITUTE(K42,";",REPT(" ",99)),298,99)),FIND(":",TRIM(MID(SUBSTITUTE(K42,";",REPT(" ",99)),298,99)))+1,999))-1),_Lookup!$A:$B,2,FALSE),"?")&amp;"×"&amp;LEFT(MID(MID(TRIM(MID(SUBSTITUTE(K42,";",REPT(" ",99)),298,99)),FIND(":",TRIM(MID(SUBSTITUTE(K42,";",REPT(" ",99)),298,99)))+1,999),FIND(":",MID(TRIM(MID(SUBSTITUTE(K42,";",REPT(" ",99)),298,99)),FIND(":",TRIM(MID(SUBSTITUTE(K42,";",REPT(" ",99)),298,99)))+1,999))+1,999),FIND(":",MID(MID(TRIM(MID(SUBSTITUTE(K42,";",REPT(" ",99)),298,99)),FIND(":",TRIM(MID(SUBSTITUTE(K42,";",REPT(" ",99)),298,99)))+1,999),FIND(":",MID(TRIM(MID(SUBSTITUTE(K42,";",REPT(" ",99)),298,99)),FIND(":",TRIM(MID(SUBSTITUTE(K42,";",REPT(" ",99)),298,99)))+1,999))+1,999))-1)),IF(TRIM(MID(SUBSTITUTE(K42,";",REPT(" ",99)),397,99))="","",IFERROR(VLOOKUP(--LEFT(MID(TRIM(MID(SUBSTITUTE(K42,";",REPT(" ",99)),397,99)),FIND(":",TRIM(MID(SUBSTITUTE(K42,";",REPT(" ",99)),397,99)))+1,999),FIND(":",MID(TRIM(MID(SUBSTITUTE(K42,";",REPT(" ",99)),397,99)),FIND(":",TRIM(MID(SUBSTITUTE(K42,";",REPT(" ",99)),397,99)))+1,999))-1),_Lookup!$A:$B,2,FALSE),"?")&amp;"×"&amp;LEFT(MID(MID(TRIM(MID(SUBSTITUTE(K42,";",REPT(" ",99)),397,99)),FIND(":",TRIM(MID(SUBSTITUTE(K42,";",REPT(" ",99)),397,99)))+1,999),FIND(":",MID(TRIM(MID(SUBSTITUTE(K42,";",REPT(" ",99)),397,99)),FIND(":",TRIM(MID(SUBSTITUTE(K42,";",REPT(" ",99)),397,99)))+1,999))+1,999),FIND(":",MID(MID(TRIM(MID(SUBSTITUTE(K42,";",REPT(" ",99)),397,99)),FIND(":",TRIM(MID(SUBSTITUTE(K42,";",REPT(" ",99)),397,99)))+1,999),FIND(":",MID(TRIM(MID(SUBSTITUTE(K42,";",REPT(" ",99)),397,99)),FIND(":",TRIM(MID(SUBSTITUTE(K42,";",REPT(" ",99)),397,99)))+1,999))+1,999))-1))))</f>
        <v/>
      </c>
    </row>
    <row r="43">
      <c r="D43" s="11">
        <f>IFERROR(VLOOKUP(C43,ItemData_Fish!$A:$B,2,FALSE),"")</f>
        <v/>
      </c>
      <c r="L43" s="11">
        <f>IF(K43="","",TEXTJOIN("; ",TRUE,IF(TRIM(MID(SUBSTITUTE(K43,";",REPT(" ",99)),1,99))="","",IFERROR(VLOOKUP(--LEFT(MID(TRIM(MID(SUBSTITUTE(K43,";",REPT(" ",99)),1,99)),FIND(":",TRIM(MID(SUBSTITUTE(K43,";",REPT(" ",99)),1,99)))+1,999),FIND(":",MID(TRIM(MID(SUBSTITUTE(K43,";",REPT(" ",99)),1,99)),FIND(":",TRIM(MID(SUBSTITUTE(K43,";",REPT(" ",99)),1,99)))+1,999))-1),_Lookup!$A:$B,2,FALSE),"?")&amp;"×"&amp;LEFT(MID(MID(TRIM(MID(SUBSTITUTE(K43,";",REPT(" ",99)),1,99)),FIND(":",TRIM(MID(SUBSTITUTE(K43,";",REPT(" ",99)),1,99)))+1,999),FIND(":",MID(TRIM(MID(SUBSTITUTE(K43,";",REPT(" ",99)),1,99)),FIND(":",TRIM(MID(SUBSTITUTE(K43,";",REPT(" ",99)),1,99)))+1,999))+1,999),FIND(":",MID(MID(TRIM(MID(SUBSTITUTE(K43,";",REPT(" ",99)),1,99)),FIND(":",TRIM(MID(SUBSTITUTE(K43,";",REPT(" ",99)),1,99)))+1,999),FIND(":",MID(TRIM(MID(SUBSTITUTE(K43,";",REPT(" ",99)),1,99)),FIND(":",TRIM(MID(SUBSTITUTE(K43,";",REPT(" ",99)),1,99)))+1,999))+1,999))-1)),IF(TRIM(MID(SUBSTITUTE(K43,";",REPT(" ",99)),100,99))="","",IFERROR(VLOOKUP(--LEFT(MID(TRIM(MID(SUBSTITUTE(K43,";",REPT(" ",99)),100,99)),FIND(":",TRIM(MID(SUBSTITUTE(K43,";",REPT(" ",99)),100,99)))+1,999),FIND(":",MID(TRIM(MID(SUBSTITUTE(K43,";",REPT(" ",99)),100,99)),FIND(":",TRIM(MID(SUBSTITUTE(K43,";",REPT(" ",99)),100,99)))+1,999))-1),_Lookup!$A:$B,2,FALSE),"?")&amp;"×"&amp;LEFT(MID(MID(TRIM(MID(SUBSTITUTE(K43,";",REPT(" ",99)),100,99)),FIND(":",TRIM(MID(SUBSTITUTE(K43,";",REPT(" ",99)),100,99)))+1,999),FIND(":",MID(TRIM(MID(SUBSTITUTE(K43,";",REPT(" ",99)),100,99)),FIND(":",TRIM(MID(SUBSTITUTE(K43,";",REPT(" ",99)),100,99)))+1,999))+1,999),FIND(":",MID(MID(TRIM(MID(SUBSTITUTE(K43,";",REPT(" ",99)),100,99)),FIND(":",TRIM(MID(SUBSTITUTE(K43,";",REPT(" ",99)),100,99)))+1,999),FIND(":",MID(TRIM(MID(SUBSTITUTE(K43,";",REPT(" ",99)),100,99)),FIND(":",TRIM(MID(SUBSTITUTE(K43,";",REPT(" ",99)),100,99)))+1,999))+1,999))-1)),IF(TRIM(MID(SUBSTITUTE(K43,";",REPT(" ",99)),199,99))="","",IFERROR(VLOOKUP(--LEFT(MID(TRIM(MID(SUBSTITUTE(K43,";",REPT(" ",99)),199,99)),FIND(":",TRIM(MID(SUBSTITUTE(K43,";",REPT(" ",99)),199,99)))+1,999),FIND(":",MID(TRIM(MID(SUBSTITUTE(K43,";",REPT(" ",99)),199,99)),FIND(":",TRIM(MID(SUBSTITUTE(K43,";",REPT(" ",99)),199,99)))+1,999))-1),_Lookup!$A:$B,2,FALSE),"?")&amp;"×"&amp;LEFT(MID(MID(TRIM(MID(SUBSTITUTE(K43,";",REPT(" ",99)),199,99)),FIND(":",TRIM(MID(SUBSTITUTE(K43,";",REPT(" ",99)),199,99)))+1,999),FIND(":",MID(TRIM(MID(SUBSTITUTE(K43,";",REPT(" ",99)),199,99)),FIND(":",TRIM(MID(SUBSTITUTE(K43,";",REPT(" ",99)),199,99)))+1,999))+1,999),FIND(":",MID(MID(TRIM(MID(SUBSTITUTE(K43,";",REPT(" ",99)),199,99)),FIND(":",TRIM(MID(SUBSTITUTE(K43,";",REPT(" ",99)),199,99)))+1,999),FIND(":",MID(TRIM(MID(SUBSTITUTE(K43,";",REPT(" ",99)),199,99)),FIND(":",TRIM(MID(SUBSTITUTE(K43,";",REPT(" ",99)),199,99)))+1,999))+1,999))-1)),IF(TRIM(MID(SUBSTITUTE(K43,";",REPT(" ",99)),298,99))="","",IFERROR(VLOOKUP(--LEFT(MID(TRIM(MID(SUBSTITUTE(K43,";",REPT(" ",99)),298,99)),FIND(":",TRIM(MID(SUBSTITUTE(K43,";",REPT(" ",99)),298,99)))+1,999),FIND(":",MID(TRIM(MID(SUBSTITUTE(K43,";",REPT(" ",99)),298,99)),FIND(":",TRIM(MID(SUBSTITUTE(K43,";",REPT(" ",99)),298,99)))+1,999))-1),_Lookup!$A:$B,2,FALSE),"?")&amp;"×"&amp;LEFT(MID(MID(TRIM(MID(SUBSTITUTE(K43,";",REPT(" ",99)),298,99)),FIND(":",TRIM(MID(SUBSTITUTE(K43,";",REPT(" ",99)),298,99)))+1,999),FIND(":",MID(TRIM(MID(SUBSTITUTE(K43,";",REPT(" ",99)),298,99)),FIND(":",TRIM(MID(SUBSTITUTE(K43,";",REPT(" ",99)),298,99)))+1,999))+1,999),FIND(":",MID(MID(TRIM(MID(SUBSTITUTE(K43,";",REPT(" ",99)),298,99)),FIND(":",TRIM(MID(SUBSTITUTE(K43,";",REPT(" ",99)),298,99)))+1,999),FIND(":",MID(TRIM(MID(SUBSTITUTE(K43,";",REPT(" ",99)),298,99)),FIND(":",TRIM(MID(SUBSTITUTE(K43,";",REPT(" ",99)),298,99)))+1,999))+1,999))-1)),IF(TRIM(MID(SUBSTITUTE(K43,";",REPT(" ",99)),397,99))="","",IFERROR(VLOOKUP(--LEFT(MID(TRIM(MID(SUBSTITUTE(K43,";",REPT(" ",99)),397,99)),FIND(":",TRIM(MID(SUBSTITUTE(K43,";",REPT(" ",99)),397,99)))+1,999),FIND(":",MID(TRIM(MID(SUBSTITUTE(K43,";",REPT(" ",99)),397,99)),FIND(":",TRIM(MID(SUBSTITUTE(K43,";",REPT(" ",99)),397,99)))+1,999))-1),_Lookup!$A:$B,2,FALSE),"?")&amp;"×"&amp;LEFT(MID(MID(TRIM(MID(SUBSTITUTE(K43,";",REPT(" ",99)),397,99)),FIND(":",TRIM(MID(SUBSTITUTE(K43,";",REPT(" ",99)),397,99)))+1,999),FIND(":",MID(TRIM(MID(SUBSTITUTE(K43,";",REPT(" ",99)),397,99)),FIND(":",TRIM(MID(SUBSTITUTE(K43,";",REPT(" ",99)),397,99)))+1,999))+1,999),FIND(":",MID(MID(TRIM(MID(SUBSTITUTE(K43,";",REPT(" ",99)),397,99)),FIND(":",TRIM(MID(SUBSTITUTE(K43,";",REPT(" ",99)),397,99)))+1,999),FIND(":",MID(TRIM(MID(SUBSTITUTE(K43,";",REPT(" ",99)),397,99)),FIND(":",TRIM(MID(SUBSTITUTE(K43,";",REPT(" ",99)),397,99)))+1,999))+1,999))-1))))</f>
        <v/>
      </c>
    </row>
    <row r="44">
      <c r="D44" s="11">
        <f>IFERROR(VLOOKUP(C44,ItemData_Fish!$A:$B,2,FALSE),"")</f>
        <v/>
      </c>
      <c r="L44" s="11">
        <f>IF(K44="","",TEXTJOIN("; ",TRUE,IF(TRIM(MID(SUBSTITUTE(K44,";",REPT(" ",99)),1,99))="","",IFERROR(VLOOKUP(--LEFT(MID(TRIM(MID(SUBSTITUTE(K44,";",REPT(" ",99)),1,99)),FIND(":",TRIM(MID(SUBSTITUTE(K44,";",REPT(" ",99)),1,99)))+1,999),FIND(":",MID(TRIM(MID(SUBSTITUTE(K44,";",REPT(" ",99)),1,99)),FIND(":",TRIM(MID(SUBSTITUTE(K44,";",REPT(" ",99)),1,99)))+1,999))-1),_Lookup!$A:$B,2,FALSE),"?")&amp;"×"&amp;LEFT(MID(MID(TRIM(MID(SUBSTITUTE(K44,";",REPT(" ",99)),1,99)),FIND(":",TRIM(MID(SUBSTITUTE(K44,";",REPT(" ",99)),1,99)))+1,999),FIND(":",MID(TRIM(MID(SUBSTITUTE(K44,";",REPT(" ",99)),1,99)),FIND(":",TRIM(MID(SUBSTITUTE(K44,";",REPT(" ",99)),1,99)))+1,999))+1,999),FIND(":",MID(MID(TRIM(MID(SUBSTITUTE(K44,";",REPT(" ",99)),1,99)),FIND(":",TRIM(MID(SUBSTITUTE(K44,";",REPT(" ",99)),1,99)))+1,999),FIND(":",MID(TRIM(MID(SUBSTITUTE(K44,";",REPT(" ",99)),1,99)),FIND(":",TRIM(MID(SUBSTITUTE(K44,";",REPT(" ",99)),1,99)))+1,999))+1,999))-1)),IF(TRIM(MID(SUBSTITUTE(K44,";",REPT(" ",99)),100,99))="","",IFERROR(VLOOKUP(--LEFT(MID(TRIM(MID(SUBSTITUTE(K44,";",REPT(" ",99)),100,99)),FIND(":",TRIM(MID(SUBSTITUTE(K44,";",REPT(" ",99)),100,99)))+1,999),FIND(":",MID(TRIM(MID(SUBSTITUTE(K44,";",REPT(" ",99)),100,99)),FIND(":",TRIM(MID(SUBSTITUTE(K44,";",REPT(" ",99)),100,99)))+1,999))-1),_Lookup!$A:$B,2,FALSE),"?")&amp;"×"&amp;LEFT(MID(MID(TRIM(MID(SUBSTITUTE(K44,";",REPT(" ",99)),100,99)),FIND(":",TRIM(MID(SUBSTITUTE(K44,";",REPT(" ",99)),100,99)))+1,999),FIND(":",MID(TRIM(MID(SUBSTITUTE(K44,";",REPT(" ",99)),100,99)),FIND(":",TRIM(MID(SUBSTITUTE(K44,";",REPT(" ",99)),100,99)))+1,999))+1,999),FIND(":",MID(MID(TRIM(MID(SUBSTITUTE(K44,";",REPT(" ",99)),100,99)),FIND(":",TRIM(MID(SUBSTITUTE(K44,";",REPT(" ",99)),100,99)))+1,999),FIND(":",MID(TRIM(MID(SUBSTITUTE(K44,";",REPT(" ",99)),100,99)),FIND(":",TRIM(MID(SUBSTITUTE(K44,";",REPT(" ",99)),100,99)))+1,999))+1,999))-1)),IF(TRIM(MID(SUBSTITUTE(K44,";",REPT(" ",99)),199,99))="","",IFERROR(VLOOKUP(--LEFT(MID(TRIM(MID(SUBSTITUTE(K44,";",REPT(" ",99)),199,99)),FIND(":",TRIM(MID(SUBSTITUTE(K44,";",REPT(" ",99)),199,99)))+1,999),FIND(":",MID(TRIM(MID(SUBSTITUTE(K44,";",REPT(" ",99)),199,99)),FIND(":",TRIM(MID(SUBSTITUTE(K44,";",REPT(" ",99)),199,99)))+1,999))-1),_Lookup!$A:$B,2,FALSE),"?")&amp;"×"&amp;LEFT(MID(MID(TRIM(MID(SUBSTITUTE(K44,";",REPT(" ",99)),199,99)),FIND(":",TRIM(MID(SUBSTITUTE(K44,";",REPT(" ",99)),199,99)))+1,999),FIND(":",MID(TRIM(MID(SUBSTITUTE(K44,";",REPT(" ",99)),199,99)),FIND(":",TRIM(MID(SUBSTITUTE(K44,";",REPT(" ",99)),199,99)))+1,999))+1,999),FIND(":",MID(MID(TRIM(MID(SUBSTITUTE(K44,";",REPT(" ",99)),199,99)),FIND(":",TRIM(MID(SUBSTITUTE(K44,";",REPT(" ",99)),199,99)))+1,999),FIND(":",MID(TRIM(MID(SUBSTITUTE(K44,";",REPT(" ",99)),199,99)),FIND(":",TRIM(MID(SUBSTITUTE(K44,";",REPT(" ",99)),199,99)))+1,999))+1,999))-1)),IF(TRIM(MID(SUBSTITUTE(K44,";",REPT(" ",99)),298,99))="","",IFERROR(VLOOKUP(--LEFT(MID(TRIM(MID(SUBSTITUTE(K44,";",REPT(" ",99)),298,99)),FIND(":",TRIM(MID(SUBSTITUTE(K44,";",REPT(" ",99)),298,99)))+1,999),FIND(":",MID(TRIM(MID(SUBSTITUTE(K44,";",REPT(" ",99)),298,99)),FIND(":",TRIM(MID(SUBSTITUTE(K44,";",REPT(" ",99)),298,99)))+1,999))-1),_Lookup!$A:$B,2,FALSE),"?")&amp;"×"&amp;LEFT(MID(MID(TRIM(MID(SUBSTITUTE(K44,";",REPT(" ",99)),298,99)),FIND(":",TRIM(MID(SUBSTITUTE(K44,";",REPT(" ",99)),298,99)))+1,999),FIND(":",MID(TRIM(MID(SUBSTITUTE(K44,";",REPT(" ",99)),298,99)),FIND(":",TRIM(MID(SUBSTITUTE(K44,";",REPT(" ",99)),298,99)))+1,999))+1,999),FIND(":",MID(MID(TRIM(MID(SUBSTITUTE(K44,";",REPT(" ",99)),298,99)),FIND(":",TRIM(MID(SUBSTITUTE(K44,";",REPT(" ",99)),298,99)))+1,999),FIND(":",MID(TRIM(MID(SUBSTITUTE(K44,";",REPT(" ",99)),298,99)),FIND(":",TRIM(MID(SUBSTITUTE(K44,";",REPT(" ",99)),298,99)))+1,999))+1,999))-1)),IF(TRIM(MID(SUBSTITUTE(K44,";",REPT(" ",99)),397,99))="","",IFERROR(VLOOKUP(--LEFT(MID(TRIM(MID(SUBSTITUTE(K44,";",REPT(" ",99)),397,99)),FIND(":",TRIM(MID(SUBSTITUTE(K44,";",REPT(" ",99)),397,99)))+1,999),FIND(":",MID(TRIM(MID(SUBSTITUTE(K44,";",REPT(" ",99)),397,99)),FIND(":",TRIM(MID(SUBSTITUTE(K44,";",REPT(" ",99)),397,99)))+1,999))-1),_Lookup!$A:$B,2,FALSE),"?")&amp;"×"&amp;LEFT(MID(MID(TRIM(MID(SUBSTITUTE(K44,";",REPT(" ",99)),397,99)),FIND(":",TRIM(MID(SUBSTITUTE(K44,";",REPT(" ",99)),397,99)))+1,999),FIND(":",MID(TRIM(MID(SUBSTITUTE(K44,";",REPT(" ",99)),397,99)),FIND(":",TRIM(MID(SUBSTITUTE(K44,";",REPT(" ",99)),397,99)))+1,999))+1,999),FIND(":",MID(MID(TRIM(MID(SUBSTITUTE(K44,";",REPT(" ",99)),397,99)),FIND(":",TRIM(MID(SUBSTITUTE(K44,";",REPT(" ",99)),397,99)))+1,999),FIND(":",MID(TRIM(MID(SUBSTITUTE(K44,";",REPT(" ",99)),397,99)),FIND(":",TRIM(MID(SUBSTITUTE(K44,";",REPT(" ",99)),397,99)))+1,999))+1,999))-1))))</f>
        <v/>
      </c>
    </row>
    <row r="45">
      <c r="D45" s="11">
        <f>IFERROR(VLOOKUP(C45,ItemData_Fish!$A:$B,2,FALSE),"")</f>
        <v/>
      </c>
      <c r="L45" s="11">
        <f>IF(K45="","",TEXTJOIN("; ",TRUE,IF(TRIM(MID(SUBSTITUTE(K45,";",REPT(" ",99)),1,99))="","",IFERROR(VLOOKUP(--LEFT(MID(TRIM(MID(SUBSTITUTE(K45,";",REPT(" ",99)),1,99)),FIND(":",TRIM(MID(SUBSTITUTE(K45,";",REPT(" ",99)),1,99)))+1,999),FIND(":",MID(TRIM(MID(SUBSTITUTE(K45,";",REPT(" ",99)),1,99)),FIND(":",TRIM(MID(SUBSTITUTE(K45,";",REPT(" ",99)),1,99)))+1,999))-1),_Lookup!$A:$B,2,FALSE),"?")&amp;"×"&amp;LEFT(MID(MID(TRIM(MID(SUBSTITUTE(K45,";",REPT(" ",99)),1,99)),FIND(":",TRIM(MID(SUBSTITUTE(K45,";",REPT(" ",99)),1,99)))+1,999),FIND(":",MID(TRIM(MID(SUBSTITUTE(K45,";",REPT(" ",99)),1,99)),FIND(":",TRIM(MID(SUBSTITUTE(K45,";",REPT(" ",99)),1,99)))+1,999))+1,999),FIND(":",MID(MID(TRIM(MID(SUBSTITUTE(K45,";",REPT(" ",99)),1,99)),FIND(":",TRIM(MID(SUBSTITUTE(K45,";",REPT(" ",99)),1,99)))+1,999),FIND(":",MID(TRIM(MID(SUBSTITUTE(K45,";",REPT(" ",99)),1,99)),FIND(":",TRIM(MID(SUBSTITUTE(K45,";",REPT(" ",99)),1,99)))+1,999))+1,999))-1)),IF(TRIM(MID(SUBSTITUTE(K45,";",REPT(" ",99)),100,99))="","",IFERROR(VLOOKUP(--LEFT(MID(TRIM(MID(SUBSTITUTE(K45,";",REPT(" ",99)),100,99)),FIND(":",TRIM(MID(SUBSTITUTE(K45,";",REPT(" ",99)),100,99)))+1,999),FIND(":",MID(TRIM(MID(SUBSTITUTE(K45,";",REPT(" ",99)),100,99)),FIND(":",TRIM(MID(SUBSTITUTE(K45,";",REPT(" ",99)),100,99)))+1,999))-1),_Lookup!$A:$B,2,FALSE),"?")&amp;"×"&amp;LEFT(MID(MID(TRIM(MID(SUBSTITUTE(K45,";",REPT(" ",99)),100,99)),FIND(":",TRIM(MID(SUBSTITUTE(K45,";",REPT(" ",99)),100,99)))+1,999),FIND(":",MID(TRIM(MID(SUBSTITUTE(K45,";",REPT(" ",99)),100,99)),FIND(":",TRIM(MID(SUBSTITUTE(K45,";",REPT(" ",99)),100,99)))+1,999))+1,999),FIND(":",MID(MID(TRIM(MID(SUBSTITUTE(K45,";",REPT(" ",99)),100,99)),FIND(":",TRIM(MID(SUBSTITUTE(K45,";",REPT(" ",99)),100,99)))+1,999),FIND(":",MID(TRIM(MID(SUBSTITUTE(K45,";",REPT(" ",99)),100,99)),FIND(":",TRIM(MID(SUBSTITUTE(K45,";",REPT(" ",99)),100,99)))+1,999))+1,999))-1)),IF(TRIM(MID(SUBSTITUTE(K45,";",REPT(" ",99)),199,99))="","",IFERROR(VLOOKUP(--LEFT(MID(TRIM(MID(SUBSTITUTE(K45,";",REPT(" ",99)),199,99)),FIND(":",TRIM(MID(SUBSTITUTE(K45,";",REPT(" ",99)),199,99)))+1,999),FIND(":",MID(TRIM(MID(SUBSTITUTE(K45,";",REPT(" ",99)),199,99)),FIND(":",TRIM(MID(SUBSTITUTE(K45,";",REPT(" ",99)),199,99)))+1,999))-1),_Lookup!$A:$B,2,FALSE),"?")&amp;"×"&amp;LEFT(MID(MID(TRIM(MID(SUBSTITUTE(K45,";",REPT(" ",99)),199,99)),FIND(":",TRIM(MID(SUBSTITUTE(K45,";",REPT(" ",99)),199,99)))+1,999),FIND(":",MID(TRIM(MID(SUBSTITUTE(K45,";",REPT(" ",99)),199,99)),FIND(":",TRIM(MID(SUBSTITUTE(K45,";",REPT(" ",99)),199,99)))+1,999))+1,999),FIND(":",MID(MID(TRIM(MID(SUBSTITUTE(K45,";",REPT(" ",99)),199,99)),FIND(":",TRIM(MID(SUBSTITUTE(K45,";",REPT(" ",99)),199,99)))+1,999),FIND(":",MID(TRIM(MID(SUBSTITUTE(K45,";",REPT(" ",99)),199,99)),FIND(":",TRIM(MID(SUBSTITUTE(K45,";",REPT(" ",99)),199,99)))+1,999))+1,999))-1)),IF(TRIM(MID(SUBSTITUTE(K45,";",REPT(" ",99)),298,99))="","",IFERROR(VLOOKUP(--LEFT(MID(TRIM(MID(SUBSTITUTE(K45,";",REPT(" ",99)),298,99)),FIND(":",TRIM(MID(SUBSTITUTE(K45,";",REPT(" ",99)),298,99)))+1,999),FIND(":",MID(TRIM(MID(SUBSTITUTE(K45,";",REPT(" ",99)),298,99)),FIND(":",TRIM(MID(SUBSTITUTE(K45,";",REPT(" ",99)),298,99)))+1,999))-1),_Lookup!$A:$B,2,FALSE),"?")&amp;"×"&amp;LEFT(MID(MID(TRIM(MID(SUBSTITUTE(K45,";",REPT(" ",99)),298,99)),FIND(":",TRIM(MID(SUBSTITUTE(K45,";",REPT(" ",99)),298,99)))+1,999),FIND(":",MID(TRIM(MID(SUBSTITUTE(K45,";",REPT(" ",99)),298,99)),FIND(":",TRIM(MID(SUBSTITUTE(K45,";",REPT(" ",99)),298,99)))+1,999))+1,999),FIND(":",MID(MID(TRIM(MID(SUBSTITUTE(K45,";",REPT(" ",99)),298,99)),FIND(":",TRIM(MID(SUBSTITUTE(K45,";",REPT(" ",99)),298,99)))+1,999),FIND(":",MID(TRIM(MID(SUBSTITUTE(K45,";",REPT(" ",99)),298,99)),FIND(":",TRIM(MID(SUBSTITUTE(K45,";",REPT(" ",99)),298,99)))+1,999))+1,999))-1)),IF(TRIM(MID(SUBSTITUTE(K45,";",REPT(" ",99)),397,99))="","",IFERROR(VLOOKUP(--LEFT(MID(TRIM(MID(SUBSTITUTE(K45,";",REPT(" ",99)),397,99)),FIND(":",TRIM(MID(SUBSTITUTE(K45,";",REPT(" ",99)),397,99)))+1,999),FIND(":",MID(TRIM(MID(SUBSTITUTE(K45,";",REPT(" ",99)),397,99)),FIND(":",TRIM(MID(SUBSTITUTE(K45,";",REPT(" ",99)),397,99)))+1,999))-1),_Lookup!$A:$B,2,FALSE),"?")&amp;"×"&amp;LEFT(MID(MID(TRIM(MID(SUBSTITUTE(K45,";",REPT(" ",99)),397,99)),FIND(":",TRIM(MID(SUBSTITUTE(K45,";",REPT(" ",99)),397,99)))+1,999),FIND(":",MID(TRIM(MID(SUBSTITUTE(K45,";",REPT(" ",99)),397,99)),FIND(":",TRIM(MID(SUBSTITUTE(K45,";",REPT(" ",99)),397,99)))+1,999))+1,999),FIND(":",MID(MID(TRIM(MID(SUBSTITUTE(K45,";",REPT(" ",99)),397,99)),FIND(":",TRIM(MID(SUBSTITUTE(K45,";",REPT(" ",99)),397,99)))+1,999),FIND(":",MID(TRIM(MID(SUBSTITUTE(K45,";",REPT(" ",99)),397,99)),FIND(":",TRIM(MID(SUBSTITUTE(K45,";",REPT(" ",99)),397,99)))+1,999))+1,999))-1))))</f>
        <v/>
      </c>
    </row>
    <row r="46">
      <c r="D46" s="11">
        <f>IFERROR(VLOOKUP(C46,ItemData_Fish!$A:$B,2,FALSE),"")</f>
        <v/>
      </c>
      <c r="L46" s="11">
        <f>IF(K46="","",TEXTJOIN("; ",TRUE,IF(TRIM(MID(SUBSTITUTE(K46,";",REPT(" ",99)),1,99))="","",IFERROR(VLOOKUP(--LEFT(MID(TRIM(MID(SUBSTITUTE(K46,";",REPT(" ",99)),1,99)),FIND(":",TRIM(MID(SUBSTITUTE(K46,";",REPT(" ",99)),1,99)))+1,999),FIND(":",MID(TRIM(MID(SUBSTITUTE(K46,";",REPT(" ",99)),1,99)),FIND(":",TRIM(MID(SUBSTITUTE(K46,";",REPT(" ",99)),1,99)))+1,999))-1),_Lookup!$A:$B,2,FALSE),"?")&amp;"×"&amp;LEFT(MID(MID(TRIM(MID(SUBSTITUTE(K46,";",REPT(" ",99)),1,99)),FIND(":",TRIM(MID(SUBSTITUTE(K46,";",REPT(" ",99)),1,99)))+1,999),FIND(":",MID(TRIM(MID(SUBSTITUTE(K46,";",REPT(" ",99)),1,99)),FIND(":",TRIM(MID(SUBSTITUTE(K46,";",REPT(" ",99)),1,99)))+1,999))+1,999),FIND(":",MID(MID(TRIM(MID(SUBSTITUTE(K46,";",REPT(" ",99)),1,99)),FIND(":",TRIM(MID(SUBSTITUTE(K46,";",REPT(" ",99)),1,99)))+1,999),FIND(":",MID(TRIM(MID(SUBSTITUTE(K46,";",REPT(" ",99)),1,99)),FIND(":",TRIM(MID(SUBSTITUTE(K46,";",REPT(" ",99)),1,99)))+1,999))+1,999))-1)),IF(TRIM(MID(SUBSTITUTE(K46,";",REPT(" ",99)),100,99))="","",IFERROR(VLOOKUP(--LEFT(MID(TRIM(MID(SUBSTITUTE(K46,";",REPT(" ",99)),100,99)),FIND(":",TRIM(MID(SUBSTITUTE(K46,";",REPT(" ",99)),100,99)))+1,999),FIND(":",MID(TRIM(MID(SUBSTITUTE(K46,";",REPT(" ",99)),100,99)),FIND(":",TRIM(MID(SUBSTITUTE(K46,";",REPT(" ",99)),100,99)))+1,999))-1),_Lookup!$A:$B,2,FALSE),"?")&amp;"×"&amp;LEFT(MID(MID(TRIM(MID(SUBSTITUTE(K46,";",REPT(" ",99)),100,99)),FIND(":",TRIM(MID(SUBSTITUTE(K46,";",REPT(" ",99)),100,99)))+1,999),FIND(":",MID(TRIM(MID(SUBSTITUTE(K46,";",REPT(" ",99)),100,99)),FIND(":",TRIM(MID(SUBSTITUTE(K46,";",REPT(" ",99)),100,99)))+1,999))+1,999),FIND(":",MID(MID(TRIM(MID(SUBSTITUTE(K46,";",REPT(" ",99)),100,99)),FIND(":",TRIM(MID(SUBSTITUTE(K46,";",REPT(" ",99)),100,99)))+1,999),FIND(":",MID(TRIM(MID(SUBSTITUTE(K46,";",REPT(" ",99)),100,99)),FIND(":",TRIM(MID(SUBSTITUTE(K46,";",REPT(" ",99)),100,99)))+1,999))+1,999))-1)),IF(TRIM(MID(SUBSTITUTE(K46,";",REPT(" ",99)),199,99))="","",IFERROR(VLOOKUP(--LEFT(MID(TRIM(MID(SUBSTITUTE(K46,";",REPT(" ",99)),199,99)),FIND(":",TRIM(MID(SUBSTITUTE(K46,";",REPT(" ",99)),199,99)))+1,999),FIND(":",MID(TRIM(MID(SUBSTITUTE(K46,";",REPT(" ",99)),199,99)),FIND(":",TRIM(MID(SUBSTITUTE(K46,";",REPT(" ",99)),199,99)))+1,999))-1),_Lookup!$A:$B,2,FALSE),"?")&amp;"×"&amp;LEFT(MID(MID(TRIM(MID(SUBSTITUTE(K46,";",REPT(" ",99)),199,99)),FIND(":",TRIM(MID(SUBSTITUTE(K46,";",REPT(" ",99)),199,99)))+1,999),FIND(":",MID(TRIM(MID(SUBSTITUTE(K46,";",REPT(" ",99)),199,99)),FIND(":",TRIM(MID(SUBSTITUTE(K46,";",REPT(" ",99)),199,99)))+1,999))+1,999),FIND(":",MID(MID(TRIM(MID(SUBSTITUTE(K46,";",REPT(" ",99)),199,99)),FIND(":",TRIM(MID(SUBSTITUTE(K46,";",REPT(" ",99)),199,99)))+1,999),FIND(":",MID(TRIM(MID(SUBSTITUTE(K46,";",REPT(" ",99)),199,99)),FIND(":",TRIM(MID(SUBSTITUTE(K46,";",REPT(" ",99)),199,99)))+1,999))+1,999))-1)),IF(TRIM(MID(SUBSTITUTE(K46,";",REPT(" ",99)),298,99))="","",IFERROR(VLOOKUP(--LEFT(MID(TRIM(MID(SUBSTITUTE(K46,";",REPT(" ",99)),298,99)),FIND(":",TRIM(MID(SUBSTITUTE(K46,";",REPT(" ",99)),298,99)))+1,999),FIND(":",MID(TRIM(MID(SUBSTITUTE(K46,";",REPT(" ",99)),298,99)),FIND(":",TRIM(MID(SUBSTITUTE(K46,";",REPT(" ",99)),298,99)))+1,999))-1),_Lookup!$A:$B,2,FALSE),"?")&amp;"×"&amp;LEFT(MID(MID(TRIM(MID(SUBSTITUTE(K46,";",REPT(" ",99)),298,99)),FIND(":",TRIM(MID(SUBSTITUTE(K46,";",REPT(" ",99)),298,99)))+1,999),FIND(":",MID(TRIM(MID(SUBSTITUTE(K46,";",REPT(" ",99)),298,99)),FIND(":",TRIM(MID(SUBSTITUTE(K46,";",REPT(" ",99)),298,99)))+1,999))+1,999),FIND(":",MID(MID(TRIM(MID(SUBSTITUTE(K46,";",REPT(" ",99)),298,99)),FIND(":",TRIM(MID(SUBSTITUTE(K46,";",REPT(" ",99)),298,99)))+1,999),FIND(":",MID(TRIM(MID(SUBSTITUTE(K46,";",REPT(" ",99)),298,99)),FIND(":",TRIM(MID(SUBSTITUTE(K46,";",REPT(" ",99)),298,99)))+1,999))+1,999))-1)),IF(TRIM(MID(SUBSTITUTE(K46,";",REPT(" ",99)),397,99))="","",IFERROR(VLOOKUP(--LEFT(MID(TRIM(MID(SUBSTITUTE(K46,";",REPT(" ",99)),397,99)),FIND(":",TRIM(MID(SUBSTITUTE(K46,";",REPT(" ",99)),397,99)))+1,999),FIND(":",MID(TRIM(MID(SUBSTITUTE(K46,";",REPT(" ",99)),397,99)),FIND(":",TRIM(MID(SUBSTITUTE(K46,";",REPT(" ",99)),397,99)))+1,999))-1),_Lookup!$A:$B,2,FALSE),"?")&amp;"×"&amp;LEFT(MID(MID(TRIM(MID(SUBSTITUTE(K46,";",REPT(" ",99)),397,99)),FIND(":",TRIM(MID(SUBSTITUTE(K46,";",REPT(" ",99)),397,99)))+1,999),FIND(":",MID(TRIM(MID(SUBSTITUTE(K46,";",REPT(" ",99)),397,99)),FIND(":",TRIM(MID(SUBSTITUTE(K46,";",REPT(" ",99)),397,99)))+1,999))+1,999),FIND(":",MID(MID(TRIM(MID(SUBSTITUTE(K46,";",REPT(" ",99)),397,99)),FIND(":",TRIM(MID(SUBSTITUTE(K46,";",REPT(" ",99)),397,99)))+1,999),FIND(":",MID(TRIM(MID(SUBSTITUTE(K46,";",REPT(" ",99)),397,99)),FIND(":",TRIM(MID(SUBSTITUTE(K46,";",REPT(" ",99)),397,99)))+1,999))+1,999))-1))))</f>
        <v/>
      </c>
    </row>
    <row r="47">
      <c r="D47" s="11">
        <f>IFERROR(VLOOKUP(C47,ItemData_Fish!$A:$B,2,FALSE),"")</f>
        <v/>
      </c>
      <c r="L47" s="11">
        <f>IF(K47="","",TEXTJOIN("; ",TRUE,IF(TRIM(MID(SUBSTITUTE(K47,";",REPT(" ",99)),1,99))="","",IFERROR(VLOOKUP(--LEFT(MID(TRIM(MID(SUBSTITUTE(K47,";",REPT(" ",99)),1,99)),FIND(":",TRIM(MID(SUBSTITUTE(K47,";",REPT(" ",99)),1,99)))+1,999),FIND(":",MID(TRIM(MID(SUBSTITUTE(K47,";",REPT(" ",99)),1,99)),FIND(":",TRIM(MID(SUBSTITUTE(K47,";",REPT(" ",99)),1,99)))+1,999))-1),_Lookup!$A:$B,2,FALSE),"?")&amp;"×"&amp;LEFT(MID(MID(TRIM(MID(SUBSTITUTE(K47,";",REPT(" ",99)),1,99)),FIND(":",TRIM(MID(SUBSTITUTE(K47,";",REPT(" ",99)),1,99)))+1,999),FIND(":",MID(TRIM(MID(SUBSTITUTE(K47,";",REPT(" ",99)),1,99)),FIND(":",TRIM(MID(SUBSTITUTE(K47,";",REPT(" ",99)),1,99)))+1,999))+1,999),FIND(":",MID(MID(TRIM(MID(SUBSTITUTE(K47,";",REPT(" ",99)),1,99)),FIND(":",TRIM(MID(SUBSTITUTE(K47,";",REPT(" ",99)),1,99)))+1,999),FIND(":",MID(TRIM(MID(SUBSTITUTE(K47,";",REPT(" ",99)),1,99)),FIND(":",TRIM(MID(SUBSTITUTE(K47,";",REPT(" ",99)),1,99)))+1,999))+1,999))-1)),IF(TRIM(MID(SUBSTITUTE(K47,";",REPT(" ",99)),100,99))="","",IFERROR(VLOOKUP(--LEFT(MID(TRIM(MID(SUBSTITUTE(K47,";",REPT(" ",99)),100,99)),FIND(":",TRIM(MID(SUBSTITUTE(K47,";",REPT(" ",99)),100,99)))+1,999),FIND(":",MID(TRIM(MID(SUBSTITUTE(K47,";",REPT(" ",99)),100,99)),FIND(":",TRIM(MID(SUBSTITUTE(K47,";",REPT(" ",99)),100,99)))+1,999))-1),_Lookup!$A:$B,2,FALSE),"?")&amp;"×"&amp;LEFT(MID(MID(TRIM(MID(SUBSTITUTE(K47,";",REPT(" ",99)),100,99)),FIND(":",TRIM(MID(SUBSTITUTE(K47,";",REPT(" ",99)),100,99)))+1,999),FIND(":",MID(TRIM(MID(SUBSTITUTE(K47,";",REPT(" ",99)),100,99)),FIND(":",TRIM(MID(SUBSTITUTE(K47,";",REPT(" ",99)),100,99)))+1,999))+1,999),FIND(":",MID(MID(TRIM(MID(SUBSTITUTE(K47,";",REPT(" ",99)),100,99)),FIND(":",TRIM(MID(SUBSTITUTE(K47,";",REPT(" ",99)),100,99)))+1,999),FIND(":",MID(TRIM(MID(SUBSTITUTE(K47,";",REPT(" ",99)),100,99)),FIND(":",TRIM(MID(SUBSTITUTE(K47,";",REPT(" ",99)),100,99)))+1,999))+1,999))-1)),IF(TRIM(MID(SUBSTITUTE(K47,";",REPT(" ",99)),199,99))="","",IFERROR(VLOOKUP(--LEFT(MID(TRIM(MID(SUBSTITUTE(K47,";",REPT(" ",99)),199,99)),FIND(":",TRIM(MID(SUBSTITUTE(K47,";",REPT(" ",99)),199,99)))+1,999),FIND(":",MID(TRIM(MID(SUBSTITUTE(K47,";",REPT(" ",99)),199,99)),FIND(":",TRIM(MID(SUBSTITUTE(K47,";",REPT(" ",99)),199,99)))+1,999))-1),_Lookup!$A:$B,2,FALSE),"?")&amp;"×"&amp;LEFT(MID(MID(TRIM(MID(SUBSTITUTE(K47,";",REPT(" ",99)),199,99)),FIND(":",TRIM(MID(SUBSTITUTE(K47,";",REPT(" ",99)),199,99)))+1,999),FIND(":",MID(TRIM(MID(SUBSTITUTE(K47,";",REPT(" ",99)),199,99)),FIND(":",TRIM(MID(SUBSTITUTE(K47,";",REPT(" ",99)),199,99)))+1,999))+1,999),FIND(":",MID(MID(TRIM(MID(SUBSTITUTE(K47,";",REPT(" ",99)),199,99)),FIND(":",TRIM(MID(SUBSTITUTE(K47,";",REPT(" ",99)),199,99)))+1,999),FIND(":",MID(TRIM(MID(SUBSTITUTE(K47,";",REPT(" ",99)),199,99)),FIND(":",TRIM(MID(SUBSTITUTE(K47,";",REPT(" ",99)),199,99)))+1,999))+1,999))-1)),IF(TRIM(MID(SUBSTITUTE(K47,";",REPT(" ",99)),298,99))="","",IFERROR(VLOOKUP(--LEFT(MID(TRIM(MID(SUBSTITUTE(K47,";",REPT(" ",99)),298,99)),FIND(":",TRIM(MID(SUBSTITUTE(K47,";",REPT(" ",99)),298,99)))+1,999),FIND(":",MID(TRIM(MID(SUBSTITUTE(K47,";",REPT(" ",99)),298,99)),FIND(":",TRIM(MID(SUBSTITUTE(K47,";",REPT(" ",99)),298,99)))+1,999))-1),_Lookup!$A:$B,2,FALSE),"?")&amp;"×"&amp;LEFT(MID(MID(TRIM(MID(SUBSTITUTE(K47,";",REPT(" ",99)),298,99)),FIND(":",TRIM(MID(SUBSTITUTE(K47,";",REPT(" ",99)),298,99)))+1,999),FIND(":",MID(TRIM(MID(SUBSTITUTE(K47,";",REPT(" ",99)),298,99)),FIND(":",TRIM(MID(SUBSTITUTE(K47,";",REPT(" ",99)),298,99)))+1,999))+1,999),FIND(":",MID(MID(TRIM(MID(SUBSTITUTE(K47,";",REPT(" ",99)),298,99)),FIND(":",TRIM(MID(SUBSTITUTE(K47,";",REPT(" ",99)),298,99)))+1,999),FIND(":",MID(TRIM(MID(SUBSTITUTE(K47,";",REPT(" ",99)),298,99)),FIND(":",TRIM(MID(SUBSTITUTE(K47,";",REPT(" ",99)),298,99)))+1,999))+1,999))-1)),IF(TRIM(MID(SUBSTITUTE(K47,";",REPT(" ",99)),397,99))="","",IFERROR(VLOOKUP(--LEFT(MID(TRIM(MID(SUBSTITUTE(K47,";",REPT(" ",99)),397,99)),FIND(":",TRIM(MID(SUBSTITUTE(K47,";",REPT(" ",99)),397,99)))+1,999),FIND(":",MID(TRIM(MID(SUBSTITUTE(K47,";",REPT(" ",99)),397,99)),FIND(":",TRIM(MID(SUBSTITUTE(K47,";",REPT(" ",99)),397,99)))+1,999))-1),_Lookup!$A:$B,2,FALSE),"?")&amp;"×"&amp;LEFT(MID(MID(TRIM(MID(SUBSTITUTE(K47,";",REPT(" ",99)),397,99)),FIND(":",TRIM(MID(SUBSTITUTE(K47,";",REPT(" ",99)),397,99)))+1,999),FIND(":",MID(TRIM(MID(SUBSTITUTE(K47,";",REPT(" ",99)),397,99)),FIND(":",TRIM(MID(SUBSTITUTE(K47,";",REPT(" ",99)),397,99)))+1,999))+1,999),FIND(":",MID(MID(TRIM(MID(SUBSTITUTE(K47,";",REPT(" ",99)),397,99)),FIND(":",TRIM(MID(SUBSTITUTE(K47,";",REPT(" ",99)),397,99)))+1,999),FIND(":",MID(TRIM(MID(SUBSTITUTE(K47,";",REPT(" ",99)),397,99)),FIND(":",TRIM(MID(SUBSTITUTE(K47,";",REPT(" ",99)),397,99)))+1,999))+1,999))-1))))</f>
        <v/>
      </c>
    </row>
    <row r="48">
      <c r="D48" s="11">
        <f>IFERROR(VLOOKUP(C48,ItemData_Fish!$A:$B,2,FALSE),"")</f>
        <v/>
      </c>
      <c r="L48" s="11">
        <f>IF(K48="","",TEXTJOIN("; ",TRUE,IF(TRIM(MID(SUBSTITUTE(K48,";",REPT(" ",99)),1,99))="","",IFERROR(VLOOKUP(--LEFT(MID(TRIM(MID(SUBSTITUTE(K48,";",REPT(" ",99)),1,99)),FIND(":",TRIM(MID(SUBSTITUTE(K48,";",REPT(" ",99)),1,99)))+1,999),FIND(":",MID(TRIM(MID(SUBSTITUTE(K48,";",REPT(" ",99)),1,99)),FIND(":",TRIM(MID(SUBSTITUTE(K48,";",REPT(" ",99)),1,99)))+1,999))-1),_Lookup!$A:$B,2,FALSE),"?")&amp;"×"&amp;LEFT(MID(MID(TRIM(MID(SUBSTITUTE(K48,";",REPT(" ",99)),1,99)),FIND(":",TRIM(MID(SUBSTITUTE(K48,";",REPT(" ",99)),1,99)))+1,999),FIND(":",MID(TRIM(MID(SUBSTITUTE(K48,";",REPT(" ",99)),1,99)),FIND(":",TRIM(MID(SUBSTITUTE(K48,";",REPT(" ",99)),1,99)))+1,999))+1,999),FIND(":",MID(MID(TRIM(MID(SUBSTITUTE(K48,";",REPT(" ",99)),1,99)),FIND(":",TRIM(MID(SUBSTITUTE(K48,";",REPT(" ",99)),1,99)))+1,999),FIND(":",MID(TRIM(MID(SUBSTITUTE(K48,";",REPT(" ",99)),1,99)),FIND(":",TRIM(MID(SUBSTITUTE(K48,";",REPT(" ",99)),1,99)))+1,999))+1,999))-1)),IF(TRIM(MID(SUBSTITUTE(K48,";",REPT(" ",99)),100,99))="","",IFERROR(VLOOKUP(--LEFT(MID(TRIM(MID(SUBSTITUTE(K48,";",REPT(" ",99)),100,99)),FIND(":",TRIM(MID(SUBSTITUTE(K48,";",REPT(" ",99)),100,99)))+1,999),FIND(":",MID(TRIM(MID(SUBSTITUTE(K48,";",REPT(" ",99)),100,99)),FIND(":",TRIM(MID(SUBSTITUTE(K48,";",REPT(" ",99)),100,99)))+1,999))-1),_Lookup!$A:$B,2,FALSE),"?")&amp;"×"&amp;LEFT(MID(MID(TRIM(MID(SUBSTITUTE(K48,";",REPT(" ",99)),100,99)),FIND(":",TRIM(MID(SUBSTITUTE(K48,";",REPT(" ",99)),100,99)))+1,999),FIND(":",MID(TRIM(MID(SUBSTITUTE(K48,";",REPT(" ",99)),100,99)),FIND(":",TRIM(MID(SUBSTITUTE(K48,";",REPT(" ",99)),100,99)))+1,999))+1,999),FIND(":",MID(MID(TRIM(MID(SUBSTITUTE(K48,";",REPT(" ",99)),100,99)),FIND(":",TRIM(MID(SUBSTITUTE(K48,";",REPT(" ",99)),100,99)))+1,999),FIND(":",MID(TRIM(MID(SUBSTITUTE(K48,";",REPT(" ",99)),100,99)),FIND(":",TRIM(MID(SUBSTITUTE(K48,";",REPT(" ",99)),100,99)))+1,999))+1,999))-1)),IF(TRIM(MID(SUBSTITUTE(K48,";",REPT(" ",99)),199,99))="","",IFERROR(VLOOKUP(--LEFT(MID(TRIM(MID(SUBSTITUTE(K48,";",REPT(" ",99)),199,99)),FIND(":",TRIM(MID(SUBSTITUTE(K48,";",REPT(" ",99)),199,99)))+1,999),FIND(":",MID(TRIM(MID(SUBSTITUTE(K48,";",REPT(" ",99)),199,99)),FIND(":",TRIM(MID(SUBSTITUTE(K48,";",REPT(" ",99)),199,99)))+1,999))-1),_Lookup!$A:$B,2,FALSE),"?")&amp;"×"&amp;LEFT(MID(MID(TRIM(MID(SUBSTITUTE(K48,";",REPT(" ",99)),199,99)),FIND(":",TRIM(MID(SUBSTITUTE(K48,";",REPT(" ",99)),199,99)))+1,999),FIND(":",MID(TRIM(MID(SUBSTITUTE(K48,";",REPT(" ",99)),199,99)),FIND(":",TRIM(MID(SUBSTITUTE(K48,";",REPT(" ",99)),199,99)))+1,999))+1,999),FIND(":",MID(MID(TRIM(MID(SUBSTITUTE(K48,";",REPT(" ",99)),199,99)),FIND(":",TRIM(MID(SUBSTITUTE(K48,";",REPT(" ",99)),199,99)))+1,999),FIND(":",MID(TRIM(MID(SUBSTITUTE(K48,";",REPT(" ",99)),199,99)),FIND(":",TRIM(MID(SUBSTITUTE(K48,";",REPT(" ",99)),199,99)))+1,999))+1,999))-1)),IF(TRIM(MID(SUBSTITUTE(K48,";",REPT(" ",99)),298,99))="","",IFERROR(VLOOKUP(--LEFT(MID(TRIM(MID(SUBSTITUTE(K48,";",REPT(" ",99)),298,99)),FIND(":",TRIM(MID(SUBSTITUTE(K48,";",REPT(" ",99)),298,99)))+1,999),FIND(":",MID(TRIM(MID(SUBSTITUTE(K48,";",REPT(" ",99)),298,99)),FIND(":",TRIM(MID(SUBSTITUTE(K48,";",REPT(" ",99)),298,99)))+1,999))-1),_Lookup!$A:$B,2,FALSE),"?")&amp;"×"&amp;LEFT(MID(MID(TRIM(MID(SUBSTITUTE(K48,";",REPT(" ",99)),298,99)),FIND(":",TRIM(MID(SUBSTITUTE(K48,";",REPT(" ",99)),298,99)))+1,999),FIND(":",MID(TRIM(MID(SUBSTITUTE(K48,";",REPT(" ",99)),298,99)),FIND(":",TRIM(MID(SUBSTITUTE(K48,";",REPT(" ",99)),298,99)))+1,999))+1,999),FIND(":",MID(MID(TRIM(MID(SUBSTITUTE(K48,";",REPT(" ",99)),298,99)),FIND(":",TRIM(MID(SUBSTITUTE(K48,";",REPT(" ",99)),298,99)))+1,999),FIND(":",MID(TRIM(MID(SUBSTITUTE(K48,";",REPT(" ",99)),298,99)),FIND(":",TRIM(MID(SUBSTITUTE(K48,";",REPT(" ",99)),298,99)))+1,999))+1,999))-1)),IF(TRIM(MID(SUBSTITUTE(K48,";",REPT(" ",99)),397,99))="","",IFERROR(VLOOKUP(--LEFT(MID(TRIM(MID(SUBSTITUTE(K48,";",REPT(" ",99)),397,99)),FIND(":",TRIM(MID(SUBSTITUTE(K48,";",REPT(" ",99)),397,99)))+1,999),FIND(":",MID(TRIM(MID(SUBSTITUTE(K48,";",REPT(" ",99)),397,99)),FIND(":",TRIM(MID(SUBSTITUTE(K48,";",REPT(" ",99)),397,99)))+1,999))-1),_Lookup!$A:$B,2,FALSE),"?")&amp;"×"&amp;LEFT(MID(MID(TRIM(MID(SUBSTITUTE(K48,";",REPT(" ",99)),397,99)),FIND(":",TRIM(MID(SUBSTITUTE(K48,";",REPT(" ",99)),397,99)))+1,999),FIND(":",MID(TRIM(MID(SUBSTITUTE(K48,";",REPT(" ",99)),397,99)),FIND(":",TRIM(MID(SUBSTITUTE(K48,";",REPT(" ",99)),397,99)))+1,999))+1,999),FIND(":",MID(MID(TRIM(MID(SUBSTITUTE(K48,";",REPT(" ",99)),397,99)),FIND(":",TRIM(MID(SUBSTITUTE(K48,";",REPT(" ",99)),397,99)))+1,999),FIND(":",MID(TRIM(MID(SUBSTITUTE(K48,";",REPT(" ",99)),397,99)),FIND(":",TRIM(MID(SUBSTITUTE(K48,";",REPT(" ",99)),397,99)))+1,999))+1,999))-1))))</f>
        <v/>
      </c>
    </row>
    <row r="49">
      <c r="D49" s="11">
        <f>IFERROR(VLOOKUP(C49,ItemData_Fish!$A:$B,2,FALSE),"")</f>
        <v/>
      </c>
      <c r="L49" s="11">
        <f>IF(K49="","",TEXTJOIN("; ",TRUE,IF(TRIM(MID(SUBSTITUTE(K49,";",REPT(" ",99)),1,99))="","",IFERROR(VLOOKUP(--LEFT(MID(TRIM(MID(SUBSTITUTE(K49,";",REPT(" ",99)),1,99)),FIND(":",TRIM(MID(SUBSTITUTE(K49,";",REPT(" ",99)),1,99)))+1,999),FIND(":",MID(TRIM(MID(SUBSTITUTE(K49,";",REPT(" ",99)),1,99)),FIND(":",TRIM(MID(SUBSTITUTE(K49,";",REPT(" ",99)),1,99)))+1,999))-1),_Lookup!$A:$B,2,FALSE),"?")&amp;"×"&amp;LEFT(MID(MID(TRIM(MID(SUBSTITUTE(K49,";",REPT(" ",99)),1,99)),FIND(":",TRIM(MID(SUBSTITUTE(K49,";",REPT(" ",99)),1,99)))+1,999),FIND(":",MID(TRIM(MID(SUBSTITUTE(K49,";",REPT(" ",99)),1,99)),FIND(":",TRIM(MID(SUBSTITUTE(K49,";",REPT(" ",99)),1,99)))+1,999))+1,999),FIND(":",MID(MID(TRIM(MID(SUBSTITUTE(K49,";",REPT(" ",99)),1,99)),FIND(":",TRIM(MID(SUBSTITUTE(K49,";",REPT(" ",99)),1,99)))+1,999),FIND(":",MID(TRIM(MID(SUBSTITUTE(K49,";",REPT(" ",99)),1,99)),FIND(":",TRIM(MID(SUBSTITUTE(K49,";",REPT(" ",99)),1,99)))+1,999))+1,999))-1)),IF(TRIM(MID(SUBSTITUTE(K49,";",REPT(" ",99)),100,99))="","",IFERROR(VLOOKUP(--LEFT(MID(TRIM(MID(SUBSTITUTE(K49,";",REPT(" ",99)),100,99)),FIND(":",TRIM(MID(SUBSTITUTE(K49,";",REPT(" ",99)),100,99)))+1,999),FIND(":",MID(TRIM(MID(SUBSTITUTE(K49,";",REPT(" ",99)),100,99)),FIND(":",TRIM(MID(SUBSTITUTE(K49,";",REPT(" ",99)),100,99)))+1,999))-1),_Lookup!$A:$B,2,FALSE),"?")&amp;"×"&amp;LEFT(MID(MID(TRIM(MID(SUBSTITUTE(K49,";",REPT(" ",99)),100,99)),FIND(":",TRIM(MID(SUBSTITUTE(K49,";",REPT(" ",99)),100,99)))+1,999),FIND(":",MID(TRIM(MID(SUBSTITUTE(K49,";",REPT(" ",99)),100,99)),FIND(":",TRIM(MID(SUBSTITUTE(K49,";",REPT(" ",99)),100,99)))+1,999))+1,999),FIND(":",MID(MID(TRIM(MID(SUBSTITUTE(K49,";",REPT(" ",99)),100,99)),FIND(":",TRIM(MID(SUBSTITUTE(K49,";",REPT(" ",99)),100,99)))+1,999),FIND(":",MID(TRIM(MID(SUBSTITUTE(K49,";",REPT(" ",99)),100,99)),FIND(":",TRIM(MID(SUBSTITUTE(K49,";",REPT(" ",99)),100,99)))+1,999))+1,999))-1)),IF(TRIM(MID(SUBSTITUTE(K49,";",REPT(" ",99)),199,99))="","",IFERROR(VLOOKUP(--LEFT(MID(TRIM(MID(SUBSTITUTE(K49,";",REPT(" ",99)),199,99)),FIND(":",TRIM(MID(SUBSTITUTE(K49,";",REPT(" ",99)),199,99)))+1,999),FIND(":",MID(TRIM(MID(SUBSTITUTE(K49,";",REPT(" ",99)),199,99)),FIND(":",TRIM(MID(SUBSTITUTE(K49,";",REPT(" ",99)),199,99)))+1,999))-1),_Lookup!$A:$B,2,FALSE),"?")&amp;"×"&amp;LEFT(MID(MID(TRIM(MID(SUBSTITUTE(K49,";",REPT(" ",99)),199,99)),FIND(":",TRIM(MID(SUBSTITUTE(K49,";",REPT(" ",99)),199,99)))+1,999),FIND(":",MID(TRIM(MID(SUBSTITUTE(K49,";",REPT(" ",99)),199,99)),FIND(":",TRIM(MID(SUBSTITUTE(K49,";",REPT(" ",99)),199,99)))+1,999))+1,999),FIND(":",MID(MID(TRIM(MID(SUBSTITUTE(K49,";",REPT(" ",99)),199,99)),FIND(":",TRIM(MID(SUBSTITUTE(K49,";",REPT(" ",99)),199,99)))+1,999),FIND(":",MID(TRIM(MID(SUBSTITUTE(K49,";",REPT(" ",99)),199,99)),FIND(":",TRIM(MID(SUBSTITUTE(K49,";",REPT(" ",99)),199,99)))+1,999))+1,999))-1)),IF(TRIM(MID(SUBSTITUTE(K49,";",REPT(" ",99)),298,99))="","",IFERROR(VLOOKUP(--LEFT(MID(TRIM(MID(SUBSTITUTE(K49,";",REPT(" ",99)),298,99)),FIND(":",TRIM(MID(SUBSTITUTE(K49,";",REPT(" ",99)),298,99)))+1,999),FIND(":",MID(TRIM(MID(SUBSTITUTE(K49,";",REPT(" ",99)),298,99)),FIND(":",TRIM(MID(SUBSTITUTE(K49,";",REPT(" ",99)),298,99)))+1,999))-1),_Lookup!$A:$B,2,FALSE),"?")&amp;"×"&amp;LEFT(MID(MID(TRIM(MID(SUBSTITUTE(K49,";",REPT(" ",99)),298,99)),FIND(":",TRIM(MID(SUBSTITUTE(K49,";",REPT(" ",99)),298,99)))+1,999),FIND(":",MID(TRIM(MID(SUBSTITUTE(K49,";",REPT(" ",99)),298,99)),FIND(":",TRIM(MID(SUBSTITUTE(K49,";",REPT(" ",99)),298,99)))+1,999))+1,999),FIND(":",MID(MID(TRIM(MID(SUBSTITUTE(K49,";",REPT(" ",99)),298,99)),FIND(":",TRIM(MID(SUBSTITUTE(K49,";",REPT(" ",99)),298,99)))+1,999),FIND(":",MID(TRIM(MID(SUBSTITUTE(K49,";",REPT(" ",99)),298,99)),FIND(":",TRIM(MID(SUBSTITUTE(K49,";",REPT(" ",99)),298,99)))+1,999))+1,999))-1)),IF(TRIM(MID(SUBSTITUTE(K49,";",REPT(" ",99)),397,99))="","",IFERROR(VLOOKUP(--LEFT(MID(TRIM(MID(SUBSTITUTE(K49,";",REPT(" ",99)),397,99)),FIND(":",TRIM(MID(SUBSTITUTE(K49,";",REPT(" ",99)),397,99)))+1,999),FIND(":",MID(TRIM(MID(SUBSTITUTE(K49,";",REPT(" ",99)),397,99)),FIND(":",TRIM(MID(SUBSTITUTE(K49,";",REPT(" ",99)),397,99)))+1,999))-1),_Lookup!$A:$B,2,FALSE),"?")&amp;"×"&amp;LEFT(MID(MID(TRIM(MID(SUBSTITUTE(K49,";",REPT(" ",99)),397,99)),FIND(":",TRIM(MID(SUBSTITUTE(K49,";",REPT(" ",99)),397,99)))+1,999),FIND(":",MID(TRIM(MID(SUBSTITUTE(K49,";",REPT(" ",99)),397,99)),FIND(":",TRIM(MID(SUBSTITUTE(K49,";",REPT(" ",99)),397,99)))+1,999))+1,999),FIND(":",MID(MID(TRIM(MID(SUBSTITUTE(K49,";",REPT(" ",99)),397,99)),FIND(":",TRIM(MID(SUBSTITUTE(K49,";",REPT(" ",99)),397,99)))+1,999),FIND(":",MID(TRIM(MID(SUBSTITUTE(K49,";",REPT(" ",99)),397,99)),FIND(":",TRIM(MID(SUBSTITUTE(K49,";",REPT(" ",99)),397,99)))+1,999))+1,999))-1))))</f>
        <v/>
      </c>
    </row>
    <row r="50">
      <c r="D50" s="11">
        <f>IFERROR(VLOOKUP(C50,ItemData_Fish!$A:$B,2,FALSE),"")</f>
        <v/>
      </c>
      <c r="L50" s="11">
        <f>IF(K50="","",TEXTJOIN("; ",TRUE,IF(TRIM(MID(SUBSTITUTE(K50,";",REPT(" ",99)),1,99))="","",IFERROR(VLOOKUP(--LEFT(MID(TRIM(MID(SUBSTITUTE(K50,";",REPT(" ",99)),1,99)),FIND(":",TRIM(MID(SUBSTITUTE(K50,";",REPT(" ",99)),1,99)))+1,999),FIND(":",MID(TRIM(MID(SUBSTITUTE(K50,";",REPT(" ",99)),1,99)),FIND(":",TRIM(MID(SUBSTITUTE(K50,";",REPT(" ",99)),1,99)))+1,999))-1),_Lookup!$A:$B,2,FALSE),"?")&amp;"×"&amp;LEFT(MID(MID(TRIM(MID(SUBSTITUTE(K50,";",REPT(" ",99)),1,99)),FIND(":",TRIM(MID(SUBSTITUTE(K50,";",REPT(" ",99)),1,99)))+1,999),FIND(":",MID(TRIM(MID(SUBSTITUTE(K50,";",REPT(" ",99)),1,99)),FIND(":",TRIM(MID(SUBSTITUTE(K50,";",REPT(" ",99)),1,99)))+1,999))+1,999),FIND(":",MID(MID(TRIM(MID(SUBSTITUTE(K50,";",REPT(" ",99)),1,99)),FIND(":",TRIM(MID(SUBSTITUTE(K50,";",REPT(" ",99)),1,99)))+1,999),FIND(":",MID(TRIM(MID(SUBSTITUTE(K50,";",REPT(" ",99)),1,99)),FIND(":",TRIM(MID(SUBSTITUTE(K50,";",REPT(" ",99)),1,99)))+1,999))+1,999))-1)),IF(TRIM(MID(SUBSTITUTE(K50,";",REPT(" ",99)),100,99))="","",IFERROR(VLOOKUP(--LEFT(MID(TRIM(MID(SUBSTITUTE(K50,";",REPT(" ",99)),100,99)),FIND(":",TRIM(MID(SUBSTITUTE(K50,";",REPT(" ",99)),100,99)))+1,999),FIND(":",MID(TRIM(MID(SUBSTITUTE(K50,";",REPT(" ",99)),100,99)),FIND(":",TRIM(MID(SUBSTITUTE(K50,";",REPT(" ",99)),100,99)))+1,999))-1),_Lookup!$A:$B,2,FALSE),"?")&amp;"×"&amp;LEFT(MID(MID(TRIM(MID(SUBSTITUTE(K50,";",REPT(" ",99)),100,99)),FIND(":",TRIM(MID(SUBSTITUTE(K50,";",REPT(" ",99)),100,99)))+1,999),FIND(":",MID(TRIM(MID(SUBSTITUTE(K50,";",REPT(" ",99)),100,99)),FIND(":",TRIM(MID(SUBSTITUTE(K50,";",REPT(" ",99)),100,99)))+1,999))+1,999),FIND(":",MID(MID(TRIM(MID(SUBSTITUTE(K50,";",REPT(" ",99)),100,99)),FIND(":",TRIM(MID(SUBSTITUTE(K50,";",REPT(" ",99)),100,99)))+1,999),FIND(":",MID(TRIM(MID(SUBSTITUTE(K50,";",REPT(" ",99)),100,99)),FIND(":",TRIM(MID(SUBSTITUTE(K50,";",REPT(" ",99)),100,99)))+1,999))+1,999))-1)),IF(TRIM(MID(SUBSTITUTE(K50,";",REPT(" ",99)),199,99))="","",IFERROR(VLOOKUP(--LEFT(MID(TRIM(MID(SUBSTITUTE(K50,";",REPT(" ",99)),199,99)),FIND(":",TRIM(MID(SUBSTITUTE(K50,";",REPT(" ",99)),199,99)))+1,999),FIND(":",MID(TRIM(MID(SUBSTITUTE(K50,";",REPT(" ",99)),199,99)),FIND(":",TRIM(MID(SUBSTITUTE(K50,";",REPT(" ",99)),199,99)))+1,999))-1),_Lookup!$A:$B,2,FALSE),"?")&amp;"×"&amp;LEFT(MID(MID(TRIM(MID(SUBSTITUTE(K50,";",REPT(" ",99)),199,99)),FIND(":",TRIM(MID(SUBSTITUTE(K50,";",REPT(" ",99)),199,99)))+1,999),FIND(":",MID(TRIM(MID(SUBSTITUTE(K50,";",REPT(" ",99)),199,99)),FIND(":",TRIM(MID(SUBSTITUTE(K50,";",REPT(" ",99)),199,99)))+1,999))+1,999),FIND(":",MID(MID(TRIM(MID(SUBSTITUTE(K50,";",REPT(" ",99)),199,99)),FIND(":",TRIM(MID(SUBSTITUTE(K50,";",REPT(" ",99)),199,99)))+1,999),FIND(":",MID(TRIM(MID(SUBSTITUTE(K50,";",REPT(" ",99)),199,99)),FIND(":",TRIM(MID(SUBSTITUTE(K50,";",REPT(" ",99)),199,99)))+1,999))+1,999))-1)),IF(TRIM(MID(SUBSTITUTE(K50,";",REPT(" ",99)),298,99))="","",IFERROR(VLOOKUP(--LEFT(MID(TRIM(MID(SUBSTITUTE(K50,";",REPT(" ",99)),298,99)),FIND(":",TRIM(MID(SUBSTITUTE(K50,";",REPT(" ",99)),298,99)))+1,999),FIND(":",MID(TRIM(MID(SUBSTITUTE(K50,";",REPT(" ",99)),298,99)),FIND(":",TRIM(MID(SUBSTITUTE(K50,";",REPT(" ",99)),298,99)))+1,999))-1),_Lookup!$A:$B,2,FALSE),"?")&amp;"×"&amp;LEFT(MID(MID(TRIM(MID(SUBSTITUTE(K50,";",REPT(" ",99)),298,99)),FIND(":",TRIM(MID(SUBSTITUTE(K50,";",REPT(" ",99)),298,99)))+1,999),FIND(":",MID(TRIM(MID(SUBSTITUTE(K50,";",REPT(" ",99)),298,99)),FIND(":",TRIM(MID(SUBSTITUTE(K50,";",REPT(" ",99)),298,99)))+1,999))+1,999),FIND(":",MID(MID(TRIM(MID(SUBSTITUTE(K50,";",REPT(" ",99)),298,99)),FIND(":",TRIM(MID(SUBSTITUTE(K50,";",REPT(" ",99)),298,99)))+1,999),FIND(":",MID(TRIM(MID(SUBSTITUTE(K50,";",REPT(" ",99)),298,99)),FIND(":",TRIM(MID(SUBSTITUTE(K50,";",REPT(" ",99)),298,99)))+1,999))+1,999))-1)),IF(TRIM(MID(SUBSTITUTE(K50,";",REPT(" ",99)),397,99))="","",IFERROR(VLOOKUP(--LEFT(MID(TRIM(MID(SUBSTITUTE(K50,";",REPT(" ",99)),397,99)),FIND(":",TRIM(MID(SUBSTITUTE(K50,";",REPT(" ",99)),397,99)))+1,999),FIND(":",MID(TRIM(MID(SUBSTITUTE(K50,";",REPT(" ",99)),397,99)),FIND(":",TRIM(MID(SUBSTITUTE(K50,";",REPT(" ",99)),397,99)))+1,999))-1),_Lookup!$A:$B,2,FALSE),"?")&amp;"×"&amp;LEFT(MID(MID(TRIM(MID(SUBSTITUTE(K50,";",REPT(" ",99)),397,99)),FIND(":",TRIM(MID(SUBSTITUTE(K50,";",REPT(" ",99)),397,99)))+1,999),FIND(":",MID(TRIM(MID(SUBSTITUTE(K50,";",REPT(" ",99)),397,99)),FIND(":",TRIM(MID(SUBSTITUTE(K50,";",REPT(" ",99)),397,99)))+1,999))+1,999),FIND(":",MID(MID(TRIM(MID(SUBSTITUTE(K50,";",REPT(" ",99)),397,99)),FIND(":",TRIM(MID(SUBSTITUTE(K50,";",REPT(" ",99)),397,99)))+1,999),FIND(":",MID(TRIM(MID(SUBSTITUTE(K50,";",REPT(" ",99)),397,99)),FIND(":",TRIM(MID(SUBSTITUTE(K50,";",REPT(" ",99)),397,99)))+1,999))+1,999))-1))))</f>
        <v/>
      </c>
    </row>
    <row r="51">
      <c r="D51" s="11">
        <f>IFERROR(VLOOKUP(C51,ItemData_Fish!$A:$B,2,FALSE),"")</f>
        <v/>
      </c>
      <c r="L51" s="11">
        <f>IF(K51="","",TEXTJOIN("; ",TRUE,IF(TRIM(MID(SUBSTITUTE(K51,";",REPT(" ",99)),1,99))="","",IFERROR(VLOOKUP(--LEFT(MID(TRIM(MID(SUBSTITUTE(K51,";",REPT(" ",99)),1,99)),FIND(":",TRIM(MID(SUBSTITUTE(K51,";",REPT(" ",99)),1,99)))+1,999),FIND(":",MID(TRIM(MID(SUBSTITUTE(K51,";",REPT(" ",99)),1,99)),FIND(":",TRIM(MID(SUBSTITUTE(K51,";",REPT(" ",99)),1,99)))+1,999))-1),_Lookup!$A:$B,2,FALSE),"?")&amp;"×"&amp;LEFT(MID(MID(TRIM(MID(SUBSTITUTE(K51,";",REPT(" ",99)),1,99)),FIND(":",TRIM(MID(SUBSTITUTE(K51,";",REPT(" ",99)),1,99)))+1,999),FIND(":",MID(TRIM(MID(SUBSTITUTE(K51,";",REPT(" ",99)),1,99)),FIND(":",TRIM(MID(SUBSTITUTE(K51,";",REPT(" ",99)),1,99)))+1,999))+1,999),FIND(":",MID(MID(TRIM(MID(SUBSTITUTE(K51,";",REPT(" ",99)),1,99)),FIND(":",TRIM(MID(SUBSTITUTE(K51,";",REPT(" ",99)),1,99)))+1,999),FIND(":",MID(TRIM(MID(SUBSTITUTE(K51,";",REPT(" ",99)),1,99)),FIND(":",TRIM(MID(SUBSTITUTE(K51,";",REPT(" ",99)),1,99)))+1,999))+1,999))-1)),IF(TRIM(MID(SUBSTITUTE(K51,";",REPT(" ",99)),100,99))="","",IFERROR(VLOOKUP(--LEFT(MID(TRIM(MID(SUBSTITUTE(K51,";",REPT(" ",99)),100,99)),FIND(":",TRIM(MID(SUBSTITUTE(K51,";",REPT(" ",99)),100,99)))+1,999),FIND(":",MID(TRIM(MID(SUBSTITUTE(K51,";",REPT(" ",99)),100,99)),FIND(":",TRIM(MID(SUBSTITUTE(K51,";",REPT(" ",99)),100,99)))+1,999))-1),_Lookup!$A:$B,2,FALSE),"?")&amp;"×"&amp;LEFT(MID(MID(TRIM(MID(SUBSTITUTE(K51,";",REPT(" ",99)),100,99)),FIND(":",TRIM(MID(SUBSTITUTE(K51,";",REPT(" ",99)),100,99)))+1,999),FIND(":",MID(TRIM(MID(SUBSTITUTE(K51,";",REPT(" ",99)),100,99)),FIND(":",TRIM(MID(SUBSTITUTE(K51,";",REPT(" ",99)),100,99)))+1,999))+1,999),FIND(":",MID(MID(TRIM(MID(SUBSTITUTE(K51,";",REPT(" ",99)),100,99)),FIND(":",TRIM(MID(SUBSTITUTE(K51,";",REPT(" ",99)),100,99)))+1,999),FIND(":",MID(TRIM(MID(SUBSTITUTE(K51,";",REPT(" ",99)),100,99)),FIND(":",TRIM(MID(SUBSTITUTE(K51,";",REPT(" ",99)),100,99)))+1,999))+1,999))-1)),IF(TRIM(MID(SUBSTITUTE(K51,";",REPT(" ",99)),199,99))="","",IFERROR(VLOOKUP(--LEFT(MID(TRIM(MID(SUBSTITUTE(K51,";",REPT(" ",99)),199,99)),FIND(":",TRIM(MID(SUBSTITUTE(K51,";",REPT(" ",99)),199,99)))+1,999),FIND(":",MID(TRIM(MID(SUBSTITUTE(K51,";",REPT(" ",99)),199,99)),FIND(":",TRIM(MID(SUBSTITUTE(K51,";",REPT(" ",99)),199,99)))+1,999))-1),_Lookup!$A:$B,2,FALSE),"?")&amp;"×"&amp;LEFT(MID(MID(TRIM(MID(SUBSTITUTE(K51,";",REPT(" ",99)),199,99)),FIND(":",TRIM(MID(SUBSTITUTE(K51,";",REPT(" ",99)),199,99)))+1,999),FIND(":",MID(TRIM(MID(SUBSTITUTE(K51,";",REPT(" ",99)),199,99)),FIND(":",TRIM(MID(SUBSTITUTE(K51,";",REPT(" ",99)),199,99)))+1,999))+1,999),FIND(":",MID(MID(TRIM(MID(SUBSTITUTE(K51,";",REPT(" ",99)),199,99)),FIND(":",TRIM(MID(SUBSTITUTE(K51,";",REPT(" ",99)),199,99)))+1,999),FIND(":",MID(TRIM(MID(SUBSTITUTE(K51,";",REPT(" ",99)),199,99)),FIND(":",TRIM(MID(SUBSTITUTE(K51,";",REPT(" ",99)),199,99)))+1,999))+1,999))-1)),IF(TRIM(MID(SUBSTITUTE(K51,";",REPT(" ",99)),298,99))="","",IFERROR(VLOOKUP(--LEFT(MID(TRIM(MID(SUBSTITUTE(K51,";",REPT(" ",99)),298,99)),FIND(":",TRIM(MID(SUBSTITUTE(K51,";",REPT(" ",99)),298,99)))+1,999),FIND(":",MID(TRIM(MID(SUBSTITUTE(K51,";",REPT(" ",99)),298,99)),FIND(":",TRIM(MID(SUBSTITUTE(K51,";",REPT(" ",99)),298,99)))+1,999))-1),_Lookup!$A:$B,2,FALSE),"?")&amp;"×"&amp;LEFT(MID(MID(TRIM(MID(SUBSTITUTE(K51,";",REPT(" ",99)),298,99)),FIND(":",TRIM(MID(SUBSTITUTE(K51,";",REPT(" ",99)),298,99)))+1,999),FIND(":",MID(TRIM(MID(SUBSTITUTE(K51,";",REPT(" ",99)),298,99)),FIND(":",TRIM(MID(SUBSTITUTE(K51,";",REPT(" ",99)),298,99)))+1,999))+1,999),FIND(":",MID(MID(TRIM(MID(SUBSTITUTE(K51,";",REPT(" ",99)),298,99)),FIND(":",TRIM(MID(SUBSTITUTE(K51,";",REPT(" ",99)),298,99)))+1,999),FIND(":",MID(TRIM(MID(SUBSTITUTE(K51,";",REPT(" ",99)),298,99)),FIND(":",TRIM(MID(SUBSTITUTE(K51,";",REPT(" ",99)),298,99)))+1,999))+1,999))-1)),IF(TRIM(MID(SUBSTITUTE(K51,";",REPT(" ",99)),397,99))="","",IFERROR(VLOOKUP(--LEFT(MID(TRIM(MID(SUBSTITUTE(K51,";",REPT(" ",99)),397,99)),FIND(":",TRIM(MID(SUBSTITUTE(K51,";",REPT(" ",99)),397,99)))+1,999),FIND(":",MID(TRIM(MID(SUBSTITUTE(K51,";",REPT(" ",99)),397,99)),FIND(":",TRIM(MID(SUBSTITUTE(K51,";",REPT(" ",99)),397,99)))+1,999))-1),_Lookup!$A:$B,2,FALSE),"?")&amp;"×"&amp;LEFT(MID(MID(TRIM(MID(SUBSTITUTE(K51,";",REPT(" ",99)),397,99)),FIND(":",TRIM(MID(SUBSTITUTE(K51,";",REPT(" ",99)),397,99)))+1,999),FIND(":",MID(TRIM(MID(SUBSTITUTE(K51,";",REPT(" ",99)),397,99)),FIND(":",TRIM(MID(SUBSTITUTE(K51,";",REPT(" ",99)),397,99)))+1,999))+1,999),FIND(":",MID(MID(TRIM(MID(SUBSTITUTE(K51,";",REPT(" ",99)),397,99)),FIND(":",TRIM(MID(SUBSTITUTE(K51,";",REPT(" ",99)),397,99)))+1,999),FIND(":",MID(TRIM(MID(SUBSTITUTE(K51,";",REPT(" ",99)),397,99)),FIND(":",TRIM(MID(SUBSTITUTE(K51,";",REPT(" ",99)),397,99)))+1,999))+1,999))-1))))</f>
        <v/>
      </c>
    </row>
    <row r="52">
      <c r="D52" s="11">
        <f>IFERROR(VLOOKUP(C52,ItemData_Fish!$A:$B,2,FALSE),"")</f>
        <v/>
      </c>
      <c r="L52" s="11">
        <f>IF(K52="","",TEXTJOIN("; ",TRUE,IF(TRIM(MID(SUBSTITUTE(K52,";",REPT(" ",99)),1,99))="","",IFERROR(VLOOKUP(--LEFT(MID(TRIM(MID(SUBSTITUTE(K52,";",REPT(" ",99)),1,99)),FIND(":",TRIM(MID(SUBSTITUTE(K52,";",REPT(" ",99)),1,99)))+1,999),FIND(":",MID(TRIM(MID(SUBSTITUTE(K52,";",REPT(" ",99)),1,99)),FIND(":",TRIM(MID(SUBSTITUTE(K52,";",REPT(" ",99)),1,99)))+1,999))-1),_Lookup!$A:$B,2,FALSE),"?")&amp;"×"&amp;LEFT(MID(MID(TRIM(MID(SUBSTITUTE(K52,";",REPT(" ",99)),1,99)),FIND(":",TRIM(MID(SUBSTITUTE(K52,";",REPT(" ",99)),1,99)))+1,999),FIND(":",MID(TRIM(MID(SUBSTITUTE(K52,";",REPT(" ",99)),1,99)),FIND(":",TRIM(MID(SUBSTITUTE(K52,";",REPT(" ",99)),1,99)))+1,999))+1,999),FIND(":",MID(MID(TRIM(MID(SUBSTITUTE(K52,";",REPT(" ",99)),1,99)),FIND(":",TRIM(MID(SUBSTITUTE(K52,";",REPT(" ",99)),1,99)))+1,999),FIND(":",MID(TRIM(MID(SUBSTITUTE(K52,";",REPT(" ",99)),1,99)),FIND(":",TRIM(MID(SUBSTITUTE(K52,";",REPT(" ",99)),1,99)))+1,999))+1,999))-1)),IF(TRIM(MID(SUBSTITUTE(K52,";",REPT(" ",99)),100,99))="","",IFERROR(VLOOKUP(--LEFT(MID(TRIM(MID(SUBSTITUTE(K52,";",REPT(" ",99)),100,99)),FIND(":",TRIM(MID(SUBSTITUTE(K52,";",REPT(" ",99)),100,99)))+1,999),FIND(":",MID(TRIM(MID(SUBSTITUTE(K52,";",REPT(" ",99)),100,99)),FIND(":",TRIM(MID(SUBSTITUTE(K52,";",REPT(" ",99)),100,99)))+1,999))-1),_Lookup!$A:$B,2,FALSE),"?")&amp;"×"&amp;LEFT(MID(MID(TRIM(MID(SUBSTITUTE(K52,";",REPT(" ",99)),100,99)),FIND(":",TRIM(MID(SUBSTITUTE(K52,";",REPT(" ",99)),100,99)))+1,999),FIND(":",MID(TRIM(MID(SUBSTITUTE(K52,";",REPT(" ",99)),100,99)),FIND(":",TRIM(MID(SUBSTITUTE(K52,";",REPT(" ",99)),100,99)))+1,999))+1,999),FIND(":",MID(MID(TRIM(MID(SUBSTITUTE(K52,";",REPT(" ",99)),100,99)),FIND(":",TRIM(MID(SUBSTITUTE(K52,";",REPT(" ",99)),100,99)))+1,999),FIND(":",MID(TRIM(MID(SUBSTITUTE(K52,";",REPT(" ",99)),100,99)),FIND(":",TRIM(MID(SUBSTITUTE(K52,";",REPT(" ",99)),100,99)))+1,999))+1,999))-1)),IF(TRIM(MID(SUBSTITUTE(K52,";",REPT(" ",99)),199,99))="","",IFERROR(VLOOKUP(--LEFT(MID(TRIM(MID(SUBSTITUTE(K52,";",REPT(" ",99)),199,99)),FIND(":",TRIM(MID(SUBSTITUTE(K52,";",REPT(" ",99)),199,99)))+1,999),FIND(":",MID(TRIM(MID(SUBSTITUTE(K52,";",REPT(" ",99)),199,99)),FIND(":",TRIM(MID(SUBSTITUTE(K52,";",REPT(" ",99)),199,99)))+1,999))-1),_Lookup!$A:$B,2,FALSE),"?")&amp;"×"&amp;LEFT(MID(MID(TRIM(MID(SUBSTITUTE(K52,";",REPT(" ",99)),199,99)),FIND(":",TRIM(MID(SUBSTITUTE(K52,";",REPT(" ",99)),199,99)))+1,999),FIND(":",MID(TRIM(MID(SUBSTITUTE(K52,";",REPT(" ",99)),199,99)),FIND(":",TRIM(MID(SUBSTITUTE(K52,";",REPT(" ",99)),199,99)))+1,999))+1,999),FIND(":",MID(MID(TRIM(MID(SUBSTITUTE(K52,";",REPT(" ",99)),199,99)),FIND(":",TRIM(MID(SUBSTITUTE(K52,";",REPT(" ",99)),199,99)))+1,999),FIND(":",MID(TRIM(MID(SUBSTITUTE(K52,";",REPT(" ",99)),199,99)),FIND(":",TRIM(MID(SUBSTITUTE(K52,";",REPT(" ",99)),199,99)))+1,999))+1,999))-1)),IF(TRIM(MID(SUBSTITUTE(K52,";",REPT(" ",99)),298,99))="","",IFERROR(VLOOKUP(--LEFT(MID(TRIM(MID(SUBSTITUTE(K52,";",REPT(" ",99)),298,99)),FIND(":",TRIM(MID(SUBSTITUTE(K52,";",REPT(" ",99)),298,99)))+1,999),FIND(":",MID(TRIM(MID(SUBSTITUTE(K52,";",REPT(" ",99)),298,99)),FIND(":",TRIM(MID(SUBSTITUTE(K52,";",REPT(" ",99)),298,99)))+1,999))-1),_Lookup!$A:$B,2,FALSE),"?")&amp;"×"&amp;LEFT(MID(MID(TRIM(MID(SUBSTITUTE(K52,";",REPT(" ",99)),298,99)),FIND(":",TRIM(MID(SUBSTITUTE(K52,";",REPT(" ",99)),298,99)))+1,999),FIND(":",MID(TRIM(MID(SUBSTITUTE(K52,";",REPT(" ",99)),298,99)),FIND(":",TRIM(MID(SUBSTITUTE(K52,";",REPT(" ",99)),298,99)))+1,999))+1,999),FIND(":",MID(MID(TRIM(MID(SUBSTITUTE(K52,";",REPT(" ",99)),298,99)),FIND(":",TRIM(MID(SUBSTITUTE(K52,";",REPT(" ",99)),298,99)))+1,999),FIND(":",MID(TRIM(MID(SUBSTITUTE(K52,";",REPT(" ",99)),298,99)),FIND(":",TRIM(MID(SUBSTITUTE(K52,";",REPT(" ",99)),298,99)))+1,999))+1,999))-1)),IF(TRIM(MID(SUBSTITUTE(K52,";",REPT(" ",99)),397,99))="","",IFERROR(VLOOKUP(--LEFT(MID(TRIM(MID(SUBSTITUTE(K52,";",REPT(" ",99)),397,99)),FIND(":",TRIM(MID(SUBSTITUTE(K52,";",REPT(" ",99)),397,99)))+1,999),FIND(":",MID(TRIM(MID(SUBSTITUTE(K52,";",REPT(" ",99)),397,99)),FIND(":",TRIM(MID(SUBSTITUTE(K52,";",REPT(" ",99)),397,99)))+1,999))-1),_Lookup!$A:$B,2,FALSE),"?")&amp;"×"&amp;LEFT(MID(MID(TRIM(MID(SUBSTITUTE(K52,";",REPT(" ",99)),397,99)),FIND(":",TRIM(MID(SUBSTITUTE(K52,";",REPT(" ",99)),397,99)))+1,999),FIND(":",MID(TRIM(MID(SUBSTITUTE(K52,";",REPT(" ",99)),397,99)),FIND(":",TRIM(MID(SUBSTITUTE(K52,";",REPT(" ",99)),397,99)))+1,999))+1,999),FIND(":",MID(MID(TRIM(MID(SUBSTITUTE(K52,";",REPT(" ",99)),397,99)),FIND(":",TRIM(MID(SUBSTITUTE(K52,";",REPT(" ",99)),397,99)))+1,999),FIND(":",MID(TRIM(MID(SUBSTITUTE(K52,";",REPT(" ",99)),397,99)),FIND(":",TRIM(MID(SUBSTITUTE(K52,";",REPT(" ",99)),397,99)))+1,999))+1,999))-1))))</f>
        <v/>
      </c>
    </row>
    <row r="53">
      <c r="D53" s="11">
        <f>IFERROR(VLOOKUP(C53,ItemData_Fish!$A:$B,2,FALSE),"")</f>
        <v/>
      </c>
      <c r="L53" s="11">
        <f>IF(K53="","",TEXTJOIN("; ",TRUE,IF(TRIM(MID(SUBSTITUTE(K53,";",REPT(" ",99)),1,99))="","",IFERROR(VLOOKUP(--LEFT(MID(TRIM(MID(SUBSTITUTE(K53,";",REPT(" ",99)),1,99)),FIND(":",TRIM(MID(SUBSTITUTE(K53,";",REPT(" ",99)),1,99)))+1,999),FIND(":",MID(TRIM(MID(SUBSTITUTE(K53,";",REPT(" ",99)),1,99)),FIND(":",TRIM(MID(SUBSTITUTE(K53,";",REPT(" ",99)),1,99)))+1,999))-1),_Lookup!$A:$B,2,FALSE),"?")&amp;"×"&amp;LEFT(MID(MID(TRIM(MID(SUBSTITUTE(K53,";",REPT(" ",99)),1,99)),FIND(":",TRIM(MID(SUBSTITUTE(K53,";",REPT(" ",99)),1,99)))+1,999),FIND(":",MID(TRIM(MID(SUBSTITUTE(K53,";",REPT(" ",99)),1,99)),FIND(":",TRIM(MID(SUBSTITUTE(K53,";",REPT(" ",99)),1,99)))+1,999))+1,999),FIND(":",MID(MID(TRIM(MID(SUBSTITUTE(K53,";",REPT(" ",99)),1,99)),FIND(":",TRIM(MID(SUBSTITUTE(K53,";",REPT(" ",99)),1,99)))+1,999),FIND(":",MID(TRIM(MID(SUBSTITUTE(K53,";",REPT(" ",99)),1,99)),FIND(":",TRIM(MID(SUBSTITUTE(K53,";",REPT(" ",99)),1,99)))+1,999))+1,999))-1)),IF(TRIM(MID(SUBSTITUTE(K53,";",REPT(" ",99)),100,99))="","",IFERROR(VLOOKUP(--LEFT(MID(TRIM(MID(SUBSTITUTE(K53,";",REPT(" ",99)),100,99)),FIND(":",TRIM(MID(SUBSTITUTE(K53,";",REPT(" ",99)),100,99)))+1,999),FIND(":",MID(TRIM(MID(SUBSTITUTE(K53,";",REPT(" ",99)),100,99)),FIND(":",TRIM(MID(SUBSTITUTE(K53,";",REPT(" ",99)),100,99)))+1,999))-1),_Lookup!$A:$B,2,FALSE),"?")&amp;"×"&amp;LEFT(MID(MID(TRIM(MID(SUBSTITUTE(K53,";",REPT(" ",99)),100,99)),FIND(":",TRIM(MID(SUBSTITUTE(K53,";",REPT(" ",99)),100,99)))+1,999),FIND(":",MID(TRIM(MID(SUBSTITUTE(K53,";",REPT(" ",99)),100,99)),FIND(":",TRIM(MID(SUBSTITUTE(K53,";",REPT(" ",99)),100,99)))+1,999))+1,999),FIND(":",MID(MID(TRIM(MID(SUBSTITUTE(K53,";",REPT(" ",99)),100,99)),FIND(":",TRIM(MID(SUBSTITUTE(K53,";",REPT(" ",99)),100,99)))+1,999),FIND(":",MID(TRIM(MID(SUBSTITUTE(K53,";",REPT(" ",99)),100,99)),FIND(":",TRIM(MID(SUBSTITUTE(K53,";",REPT(" ",99)),100,99)))+1,999))+1,999))-1)),IF(TRIM(MID(SUBSTITUTE(K53,";",REPT(" ",99)),199,99))="","",IFERROR(VLOOKUP(--LEFT(MID(TRIM(MID(SUBSTITUTE(K53,";",REPT(" ",99)),199,99)),FIND(":",TRIM(MID(SUBSTITUTE(K53,";",REPT(" ",99)),199,99)))+1,999),FIND(":",MID(TRIM(MID(SUBSTITUTE(K53,";",REPT(" ",99)),199,99)),FIND(":",TRIM(MID(SUBSTITUTE(K53,";",REPT(" ",99)),199,99)))+1,999))-1),_Lookup!$A:$B,2,FALSE),"?")&amp;"×"&amp;LEFT(MID(MID(TRIM(MID(SUBSTITUTE(K53,";",REPT(" ",99)),199,99)),FIND(":",TRIM(MID(SUBSTITUTE(K53,";",REPT(" ",99)),199,99)))+1,999),FIND(":",MID(TRIM(MID(SUBSTITUTE(K53,";",REPT(" ",99)),199,99)),FIND(":",TRIM(MID(SUBSTITUTE(K53,";",REPT(" ",99)),199,99)))+1,999))+1,999),FIND(":",MID(MID(TRIM(MID(SUBSTITUTE(K53,";",REPT(" ",99)),199,99)),FIND(":",TRIM(MID(SUBSTITUTE(K53,";",REPT(" ",99)),199,99)))+1,999),FIND(":",MID(TRIM(MID(SUBSTITUTE(K53,";",REPT(" ",99)),199,99)),FIND(":",TRIM(MID(SUBSTITUTE(K53,";",REPT(" ",99)),199,99)))+1,999))+1,999))-1)),IF(TRIM(MID(SUBSTITUTE(K53,";",REPT(" ",99)),298,99))="","",IFERROR(VLOOKUP(--LEFT(MID(TRIM(MID(SUBSTITUTE(K53,";",REPT(" ",99)),298,99)),FIND(":",TRIM(MID(SUBSTITUTE(K53,";",REPT(" ",99)),298,99)))+1,999),FIND(":",MID(TRIM(MID(SUBSTITUTE(K53,";",REPT(" ",99)),298,99)),FIND(":",TRIM(MID(SUBSTITUTE(K53,";",REPT(" ",99)),298,99)))+1,999))-1),_Lookup!$A:$B,2,FALSE),"?")&amp;"×"&amp;LEFT(MID(MID(TRIM(MID(SUBSTITUTE(K53,";",REPT(" ",99)),298,99)),FIND(":",TRIM(MID(SUBSTITUTE(K53,";",REPT(" ",99)),298,99)))+1,999),FIND(":",MID(TRIM(MID(SUBSTITUTE(K53,";",REPT(" ",99)),298,99)),FIND(":",TRIM(MID(SUBSTITUTE(K53,";",REPT(" ",99)),298,99)))+1,999))+1,999),FIND(":",MID(MID(TRIM(MID(SUBSTITUTE(K53,";",REPT(" ",99)),298,99)),FIND(":",TRIM(MID(SUBSTITUTE(K53,";",REPT(" ",99)),298,99)))+1,999),FIND(":",MID(TRIM(MID(SUBSTITUTE(K53,";",REPT(" ",99)),298,99)),FIND(":",TRIM(MID(SUBSTITUTE(K53,";",REPT(" ",99)),298,99)))+1,999))+1,999))-1)),IF(TRIM(MID(SUBSTITUTE(K53,";",REPT(" ",99)),397,99))="","",IFERROR(VLOOKUP(--LEFT(MID(TRIM(MID(SUBSTITUTE(K53,";",REPT(" ",99)),397,99)),FIND(":",TRIM(MID(SUBSTITUTE(K53,";",REPT(" ",99)),397,99)))+1,999),FIND(":",MID(TRIM(MID(SUBSTITUTE(K53,";",REPT(" ",99)),397,99)),FIND(":",TRIM(MID(SUBSTITUTE(K53,";",REPT(" ",99)),397,99)))+1,999))-1),_Lookup!$A:$B,2,FALSE),"?")&amp;"×"&amp;LEFT(MID(MID(TRIM(MID(SUBSTITUTE(K53,";",REPT(" ",99)),397,99)),FIND(":",TRIM(MID(SUBSTITUTE(K53,";",REPT(" ",99)),397,99)))+1,999),FIND(":",MID(TRIM(MID(SUBSTITUTE(K53,";",REPT(" ",99)),397,99)),FIND(":",TRIM(MID(SUBSTITUTE(K53,";",REPT(" ",99)),397,99)))+1,999))+1,999),FIND(":",MID(MID(TRIM(MID(SUBSTITUTE(K53,";",REPT(" ",99)),397,99)),FIND(":",TRIM(MID(SUBSTITUTE(K53,";",REPT(" ",99)),397,99)))+1,999),FIND(":",MID(TRIM(MID(SUBSTITUTE(K53,";",REPT(" ",99)),397,99)),FIND(":",TRIM(MID(SUBSTITUTE(K53,";",REPT(" ",99)),397,99)))+1,999))+1,999))-1))))</f>
        <v/>
      </c>
    </row>
    <row r="54">
      <c r="D54" s="11">
        <f>IFERROR(VLOOKUP(C54,ItemData_Fish!$A:$B,2,FALSE),"")</f>
        <v/>
      </c>
      <c r="L54" s="11">
        <f>IF(K54="","",TEXTJOIN("; ",TRUE,IF(TRIM(MID(SUBSTITUTE(K54,";",REPT(" ",99)),1,99))="","",IFERROR(VLOOKUP(--LEFT(MID(TRIM(MID(SUBSTITUTE(K54,";",REPT(" ",99)),1,99)),FIND(":",TRIM(MID(SUBSTITUTE(K54,";",REPT(" ",99)),1,99)))+1,999),FIND(":",MID(TRIM(MID(SUBSTITUTE(K54,";",REPT(" ",99)),1,99)),FIND(":",TRIM(MID(SUBSTITUTE(K54,";",REPT(" ",99)),1,99)))+1,999))-1),_Lookup!$A:$B,2,FALSE),"?")&amp;"×"&amp;LEFT(MID(MID(TRIM(MID(SUBSTITUTE(K54,";",REPT(" ",99)),1,99)),FIND(":",TRIM(MID(SUBSTITUTE(K54,";",REPT(" ",99)),1,99)))+1,999),FIND(":",MID(TRIM(MID(SUBSTITUTE(K54,";",REPT(" ",99)),1,99)),FIND(":",TRIM(MID(SUBSTITUTE(K54,";",REPT(" ",99)),1,99)))+1,999))+1,999),FIND(":",MID(MID(TRIM(MID(SUBSTITUTE(K54,";",REPT(" ",99)),1,99)),FIND(":",TRIM(MID(SUBSTITUTE(K54,";",REPT(" ",99)),1,99)))+1,999),FIND(":",MID(TRIM(MID(SUBSTITUTE(K54,";",REPT(" ",99)),1,99)),FIND(":",TRIM(MID(SUBSTITUTE(K54,";",REPT(" ",99)),1,99)))+1,999))+1,999))-1)),IF(TRIM(MID(SUBSTITUTE(K54,";",REPT(" ",99)),100,99))="","",IFERROR(VLOOKUP(--LEFT(MID(TRIM(MID(SUBSTITUTE(K54,";",REPT(" ",99)),100,99)),FIND(":",TRIM(MID(SUBSTITUTE(K54,";",REPT(" ",99)),100,99)))+1,999),FIND(":",MID(TRIM(MID(SUBSTITUTE(K54,";",REPT(" ",99)),100,99)),FIND(":",TRIM(MID(SUBSTITUTE(K54,";",REPT(" ",99)),100,99)))+1,999))-1),_Lookup!$A:$B,2,FALSE),"?")&amp;"×"&amp;LEFT(MID(MID(TRIM(MID(SUBSTITUTE(K54,";",REPT(" ",99)),100,99)),FIND(":",TRIM(MID(SUBSTITUTE(K54,";",REPT(" ",99)),100,99)))+1,999),FIND(":",MID(TRIM(MID(SUBSTITUTE(K54,";",REPT(" ",99)),100,99)),FIND(":",TRIM(MID(SUBSTITUTE(K54,";",REPT(" ",99)),100,99)))+1,999))+1,999),FIND(":",MID(MID(TRIM(MID(SUBSTITUTE(K54,";",REPT(" ",99)),100,99)),FIND(":",TRIM(MID(SUBSTITUTE(K54,";",REPT(" ",99)),100,99)))+1,999),FIND(":",MID(TRIM(MID(SUBSTITUTE(K54,";",REPT(" ",99)),100,99)),FIND(":",TRIM(MID(SUBSTITUTE(K54,";",REPT(" ",99)),100,99)))+1,999))+1,999))-1)),IF(TRIM(MID(SUBSTITUTE(K54,";",REPT(" ",99)),199,99))="","",IFERROR(VLOOKUP(--LEFT(MID(TRIM(MID(SUBSTITUTE(K54,";",REPT(" ",99)),199,99)),FIND(":",TRIM(MID(SUBSTITUTE(K54,";",REPT(" ",99)),199,99)))+1,999),FIND(":",MID(TRIM(MID(SUBSTITUTE(K54,";",REPT(" ",99)),199,99)),FIND(":",TRIM(MID(SUBSTITUTE(K54,";",REPT(" ",99)),199,99)))+1,999))-1),_Lookup!$A:$B,2,FALSE),"?")&amp;"×"&amp;LEFT(MID(MID(TRIM(MID(SUBSTITUTE(K54,";",REPT(" ",99)),199,99)),FIND(":",TRIM(MID(SUBSTITUTE(K54,";",REPT(" ",99)),199,99)))+1,999),FIND(":",MID(TRIM(MID(SUBSTITUTE(K54,";",REPT(" ",99)),199,99)),FIND(":",TRIM(MID(SUBSTITUTE(K54,";",REPT(" ",99)),199,99)))+1,999))+1,999),FIND(":",MID(MID(TRIM(MID(SUBSTITUTE(K54,";",REPT(" ",99)),199,99)),FIND(":",TRIM(MID(SUBSTITUTE(K54,";",REPT(" ",99)),199,99)))+1,999),FIND(":",MID(TRIM(MID(SUBSTITUTE(K54,";",REPT(" ",99)),199,99)),FIND(":",TRIM(MID(SUBSTITUTE(K54,";",REPT(" ",99)),199,99)))+1,999))+1,999))-1)),IF(TRIM(MID(SUBSTITUTE(K54,";",REPT(" ",99)),298,99))="","",IFERROR(VLOOKUP(--LEFT(MID(TRIM(MID(SUBSTITUTE(K54,";",REPT(" ",99)),298,99)),FIND(":",TRIM(MID(SUBSTITUTE(K54,";",REPT(" ",99)),298,99)))+1,999),FIND(":",MID(TRIM(MID(SUBSTITUTE(K54,";",REPT(" ",99)),298,99)),FIND(":",TRIM(MID(SUBSTITUTE(K54,";",REPT(" ",99)),298,99)))+1,999))-1),_Lookup!$A:$B,2,FALSE),"?")&amp;"×"&amp;LEFT(MID(MID(TRIM(MID(SUBSTITUTE(K54,";",REPT(" ",99)),298,99)),FIND(":",TRIM(MID(SUBSTITUTE(K54,";",REPT(" ",99)),298,99)))+1,999),FIND(":",MID(TRIM(MID(SUBSTITUTE(K54,";",REPT(" ",99)),298,99)),FIND(":",TRIM(MID(SUBSTITUTE(K54,";",REPT(" ",99)),298,99)))+1,999))+1,999),FIND(":",MID(MID(TRIM(MID(SUBSTITUTE(K54,";",REPT(" ",99)),298,99)),FIND(":",TRIM(MID(SUBSTITUTE(K54,";",REPT(" ",99)),298,99)))+1,999),FIND(":",MID(TRIM(MID(SUBSTITUTE(K54,";",REPT(" ",99)),298,99)),FIND(":",TRIM(MID(SUBSTITUTE(K54,";",REPT(" ",99)),298,99)))+1,999))+1,999))-1)),IF(TRIM(MID(SUBSTITUTE(K54,";",REPT(" ",99)),397,99))="","",IFERROR(VLOOKUP(--LEFT(MID(TRIM(MID(SUBSTITUTE(K54,";",REPT(" ",99)),397,99)),FIND(":",TRIM(MID(SUBSTITUTE(K54,";",REPT(" ",99)),397,99)))+1,999),FIND(":",MID(TRIM(MID(SUBSTITUTE(K54,";",REPT(" ",99)),397,99)),FIND(":",TRIM(MID(SUBSTITUTE(K54,";",REPT(" ",99)),397,99)))+1,999))-1),_Lookup!$A:$B,2,FALSE),"?")&amp;"×"&amp;LEFT(MID(MID(TRIM(MID(SUBSTITUTE(K54,";",REPT(" ",99)),397,99)),FIND(":",TRIM(MID(SUBSTITUTE(K54,";",REPT(" ",99)),397,99)))+1,999),FIND(":",MID(TRIM(MID(SUBSTITUTE(K54,";",REPT(" ",99)),397,99)),FIND(":",TRIM(MID(SUBSTITUTE(K54,";",REPT(" ",99)),397,99)))+1,999))+1,999),FIND(":",MID(MID(TRIM(MID(SUBSTITUTE(K54,";",REPT(" ",99)),397,99)),FIND(":",TRIM(MID(SUBSTITUTE(K54,";",REPT(" ",99)),397,99)))+1,999),FIND(":",MID(TRIM(MID(SUBSTITUTE(K54,";",REPT(" ",99)),397,99)),FIND(":",TRIM(MID(SUBSTITUTE(K54,";",REPT(" ",99)),397,99)))+1,999))+1,999))-1))))</f>
        <v/>
      </c>
    </row>
    <row r="55">
      <c r="D55" s="11">
        <f>IFERROR(VLOOKUP(C55,ItemData_Fish!$A:$B,2,FALSE),"")</f>
        <v/>
      </c>
      <c r="L55" s="11">
        <f>IF(K55="","",TEXTJOIN("; ",TRUE,IF(TRIM(MID(SUBSTITUTE(K55,";",REPT(" ",99)),1,99))="","",IFERROR(VLOOKUP(--LEFT(MID(TRIM(MID(SUBSTITUTE(K55,";",REPT(" ",99)),1,99)),FIND(":",TRIM(MID(SUBSTITUTE(K55,";",REPT(" ",99)),1,99)))+1,999),FIND(":",MID(TRIM(MID(SUBSTITUTE(K55,";",REPT(" ",99)),1,99)),FIND(":",TRIM(MID(SUBSTITUTE(K55,";",REPT(" ",99)),1,99)))+1,999))-1),_Lookup!$A:$B,2,FALSE),"?")&amp;"×"&amp;LEFT(MID(MID(TRIM(MID(SUBSTITUTE(K55,";",REPT(" ",99)),1,99)),FIND(":",TRIM(MID(SUBSTITUTE(K55,";",REPT(" ",99)),1,99)))+1,999),FIND(":",MID(TRIM(MID(SUBSTITUTE(K55,";",REPT(" ",99)),1,99)),FIND(":",TRIM(MID(SUBSTITUTE(K55,";",REPT(" ",99)),1,99)))+1,999))+1,999),FIND(":",MID(MID(TRIM(MID(SUBSTITUTE(K55,";",REPT(" ",99)),1,99)),FIND(":",TRIM(MID(SUBSTITUTE(K55,";",REPT(" ",99)),1,99)))+1,999),FIND(":",MID(TRIM(MID(SUBSTITUTE(K55,";",REPT(" ",99)),1,99)),FIND(":",TRIM(MID(SUBSTITUTE(K55,";",REPT(" ",99)),1,99)))+1,999))+1,999))-1)),IF(TRIM(MID(SUBSTITUTE(K55,";",REPT(" ",99)),100,99))="","",IFERROR(VLOOKUP(--LEFT(MID(TRIM(MID(SUBSTITUTE(K55,";",REPT(" ",99)),100,99)),FIND(":",TRIM(MID(SUBSTITUTE(K55,";",REPT(" ",99)),100,99)))+1,999),FIND(":",MID(TRIM(MID(SUBSTITUTE(K55,";",REPT(" ",99)),100,99)),FIND(":",TRIM(MID(SUBSTITUTE(K55,";",REPT(" ",99)),100,99)))+1,999))-1),_Lookup!$A:$B,2,FALSE),"?")&amp;"×"&amp;LEFT(MID(MID(TRIM(MID(SUBSTITUTE(K55,";",REPT(" ",99)),100,99)),FIND(":",TRIM(MID(SUBSTITUTE(K55,";",REPT(" ",99)),100,99)))+1,999),FIND(":",MID(TRIM(MID(SUBSTITUTE(K55,";",REPT(" ",99)),100,99)),FIND(":",TRIM(MID(SUBSTITUTE(K55,";",REPT(" ",99)),100,99)))+1,999))+1,999),FIND(":",MID(MID(TRIM(MID(SUBSTITUTE(K55,";",REPT(" ",99)),100,99)),FIND(":",TRIM(MID(SUBSTITUTE(K55,";",REPT(" ",99)),100,99)))+1,999),FIND(":",MID(TRIM(MID(SUBSTITUTE(K55,";",REPT(" ",99)),100,99)),FIND(":",TRIM(MID(SUBSTITUTE(K55,";",REPT(" ",99)),100,99)))+1,999))+1,999))-1)),IF(TRIM(MID(SUBSTITUTE(K55,";",REPT(" ",99)),199,99))="","",IFERROR(VLOOKUP(--LEFT(MID(TRIM(MID(SUBSTITUTE(K55,";",REPT(" ",99)),199,99)),FIND(":",TRIM(MID(SUBSTITUTE(K55,";",REPT(" ",99)),199,99)))+1,999),FIND(":",MID(TRIM(MID(SUBSTITUTE(K55,";",REPT(" ",99)),199,99)),FIND(":",TRIM(MID(SUBSTITUTE(K55,";",REPT(" ",99)),199,99)))+1,999))-1),_Lookup!$A:$B,2,FALSE),"?")&amp;"×"&amp;LEFT(MID(MID(TRIM(MID(SUBSTITUTE(K55,";",REPT(" ",99)),199,99)),FIND(":",TRIM(MID(SUBSTITUTE(K55,";",REPT(" ",99)),199,99)))+1,999),FIND(":",MID(TRIM(MID(SUBSTITUTE(K55,";",REPT(" ",99)),199,99)),FIND(":",TRIM(MID(SUBSTITUTE(K55,";",REPT(" ",99)),199,99)))+1,999))+1,999),FIND(":",MID(MID(TRIM(MID(SUBSTITUTE(K55,";",REPT(" ",99)),199,99)),FIND(":",TRIM(MID(SUBSTITUTE(K55,";",REPT(" ",99)),199,99)))+1,999),FIND(":",MID(TRIM(MID(SUBSTITUTE(K55,";",REPT(" ",99)),199,99)),FIND(":",TRIM(MID(SUBSTITUTE(K55,";",REPT(" ",99)),199,99)))+1,999))+1,999))-1)),IF(TRIM(MID(SUBSTITUTE(K55,";",REPT(" ",99)),298,99))="","",IFERROR(VLOOKUP(--LEFT(MID(TRIM(MID(SUBSTITUTE(K55,";",REPT(" ",99)),298,99)),FIND(":",TRIM(MID(SUBSTITUTE(K55,";",REPT(" ",99)),298,99)))+1,999),FIND(":",MID(TRIM(MID(SUBSTITUTE(K55,";",REPT(" ",99)),298,99)),FIND(":",TRIM(MID(SUBSTITUTE(K55,";",REPT(" ",99)),298,99)))+1,999))-1),_Lookup!$A:$B,2,FALSE),"?")&amp;"×"&amp;LEFT(MID(MID(TRIM(MID(SUBSTITUTE(K55,";",REPT(" ",99)),298,99)),FIND(":",TRIM(MID(SUBSTITUTE(K55,";",REPT(" ",99)),298,99)))+1,999),FIND(":",MID(TRIM(MID(SUBSTITUTE(K55,";",REPT(" ",99)),298,99)),FIND(":",TRIM(MID(SUBSTITUTE(K55,";",REPT(" ",99)),298,99)))+1,999))+1,999),FIND(":",MID(MID(TRIM(MID(SUBSTITUTE(K55,";",REPT(" ",99)),298,99)),FIND(":",TRIM(MID(SUBSTITUTE(K55,";",REPT(" ",99)),298,99)))+1,999),FIND(":",MID(TRIM(MID(SUBSTITUTE(K55,";",REPT(" ",99)),298,99)),FIND(":",TRIM(MID(SUBSTITUTE(K55,";",REPT(" ",99)),298,99)))+1,999))+1,999))-1)),IF(TRIM(MID(SUBSTITUTE(K55,";",REPT(" ",99)),397,99))="","",IFERROR(VLOOKUP(--LEFT(MID(TRIM(MID(SUBSTITUTE(K55,";",REPT(" ",99)),397,99)),FIND(":",TRIM(MID(SUBSTITUTE(K55,";",REPT(" ",99)),397,99)))+1,999),FIND(":",MID(TRIM(MID(SUBSTITUTE(K55,";",REPT(" ",99)),397,99)),FIND(":",TRIM(MID(SUBSTITUTE(K55,";",REPT(" ",99)),397,99)))+1,999))-1),_Lookup!$A:$B,2,FALSE),"?")&amp;"×"&amp;LEFT(MID(MID(TRIM(MID(SUBSTITUTE(K55,";",REPT(" ",99)),397,99)),FIND(":",TRIM(MID(SUBSTITUTE(K55,";",REPT(" ",99)),397,99)))+1,999),FIND(":",MID(TRIM(MID(SUBSTITUTE(K55,";",REPT(" ",99)),397,99)),FIND(":",TRIM(MID(SUBSTITUTE(K55,";",REPT(" ",99)),397,99)))+1,999))+1,999),FIND(":",MID(MID(TRIM(MID(SUBSTITUTE(K55,";",REPT(" ",99)),397,99)),FIND(":",TRIM(MID(SUBSTITUTE(K55,";",REPT(" ",99)),397,99)))+1,999),FIND(":",MID(TRIM(MID(SUBSTITUTE(K55,";",REPT(" ",99)),397,99)),FIND(":",TRIM(MID(SUBSTITUTE(K55,";",REPT(" ",99)),397,99)))+1,999))+1,999))-1))))</f>
        <v/>
      </c>
    </row>
    <row r="56">
      <c r="D56" s="11">
        <f>IFERROR(VLOOKUP(C56,ItemData_Fish!$A:$B,2,FALSE),"")</f>
        <v/>
      </c>
      <c r="L56" s="11">
        <f>IF(K56="","",TEXTJOIN("; ",TRUE,IF(TRIM(MID(SUBSTITUTE(K56,";",REPT(" ",99)),1,99))="","",IFERROR(VLOOKUP(--LEFT(MID(TRIM(MID(SUBSTITUTE(K56,";",REPT(" ",99)),1,99)),FIND(":",TRIM(MID(SUBSTITUTE(K56,";",REPT(" ",99)),1,99)))+1,999),FIND(":",MID(TRIM(MID(SUBSTITUTE(K56,";",REPT(" ",99)),1,99)),FIND(":",TRIM(MID(SUBSTITUTE(K56,";",REPT(" ",99)),1,99)))+1,999))-1),_Lookup!$A:$B,2,FALSE),"?")&amp;"×"&amp;LEFT(MID(MID(TRIM(MID(SUBSTITUTE(K56,";",REPT(" ",99)),1,99)),FIND(":",TRIM(MID(SUBSTITUTE(K56,";",REPT(" ",99)),1,99)))+1,999),FIND(":",MID(TRIM(MID(SUBSTITUTE(K56,";",REPT(" ",99)),1,99)),FIND(":",TRIM(MID(SUBSTITUTE(K56,";",REPT(" ",99)),1,99)))+1,999))+1,999),FIND(":",MID(MID(TRIM(MID(SUBSTITUTE(K56,";",REPT(" ",99)),1,99)),FIND(":",TRIM(MID(SUBSTITUTE(K56,";",REPT(" ",99)),1,99)))+1,999),FIND(":",MID(TRIM(MID(SUBSTITUTE(K56,";",REPT(" ",99)),1,99)),FIND(":",TRIM(MID(SUBSTITUTE(K56,";",REPT(" ",99)),1,99)))+1,999))+1,999))-1)),IF(TRIM(MID(SUBSTITUTE(K56,";",REPT(" ",99)),100,99))="","",IFERROR(VLOOKUP(--LEFT(MID(TRIM(MID(SUBSTITUTE(K56,";",REPT(" ",99)),100,99)),FIND(":",TRIM(MID(SUBSTITUTE(K56,";",REPT(" ",99)),100,99)))+1,999),FIND(":",MID(TRIM(MID(SUBSTITUTE(K56,";",REPT(" ",99)),100,99)),FIND(":",TRIM(MID(SUBSTITUTE(K56,";",REPT(" ",99)),100,99)))+1,999))-1),_Lookup!$A:$B,2,FALSE),"?")&amp;"×"&amp;LEFT(MID(MID(TRIM(MID(SUBSTITUTE(K56,";",REPT(" ",99)),100,99)),FIND(":",TRIM(MID(SUBSTITUTE(K56,";",REPT(" ",99)),100,99)))+1,999),FIND(":",MID(TRIM(MID(SUBSTITUTE(K56,";",REPT(" ",99)),100,99)),FIND(":",TRIM(MID(SUBSTITUTE(K56,";",REPT(" ",99)),100,99)))+1,999))+1,999),FIND(":",MID(MID(TRIM(MID(SUBSTITUTE(K56,";",REPT(" ",99)),100,99)),FIND(":",TRIM(MID(SUBSTITUTE(K56,";",REPT(" ",99)),100,99)))+1,999),FIND(":",MID(TRIM(MID(SUBSTITUTE(K56,";",REPT(" ",99)),100,99)),FIND(":",TRIM(MID(SUBSTITUTE(K56,";",REPT(" ",99)),100,99)))+1,999))+1,999))-1)),IF(TRIM(MID(SUBSTITUTE(K56,";",REPT(" ",99)),199,99))="","",IFERROR(VLOOKUP(--LEFT(MID(TRIM(MID(SUBSTITUTE(K56,";",REPT(" ",99)),199,99)),FIND(":",TRIM(MID(SUBSTITUTE(K56,";",REPT(" ",99)),199,99)))+1,999),FIND(":",MID(TRIM(MID(SUBSTITUTE(K56,";",REPT(" ",99)),199,99)),FIND(":",TRIM(MID(SUBSTITUTE(K56,";",REPT(" ",99)),199,99)))+1,999))-1),_Lookup!$A:$B,2,FALSE),"?")&amp;"×"&amp;LEFT(MID(MID(TRIM(MID(SUBSTITUTE(K56,";",REPT(" ",99)),199,99)),FIND(":",TRIM(MID(SUBSTITUTE(K56,";",REPT(" ",99)),199,99)))+1,999),FIND(":",MID(TRIM(MID(SUBSTITUTE(K56,";",REPT(" ",99)),199,99)),FIND(":",TRIM(MID(SUBSTITUTE(K56,";",REPT(" ",99)),199,99)))+1,999))+1,999),FIND(":",MID(MID(TRIM(MID(SUBSTITUTE(K56,";",REPT(" ",99)),199,99)),FIND(":",TRIM(MID(SUBSTITUTE(K56,";",REPT(" ",99)),199,99)))+1,999),FIND(":",MID(TRIM(MID(SUBSTITUTE(K56,";",REPT(" ",99)),199,99)),FIND(":",TRIM(MID(SUBSTITUTE(K56,";",REPT(" ",99)),199,99)))+1,999))+1,999))-1)),IF(TRIM(MID(SUBSTITUTE(K56,";",REPT(" ",99)),298,99))="","",IFERROR(VLOOKUP(--LEFT(MID(TRIM(MID(SUBSTITUTE(K56,";",REPT(" ",99)),298,99)),FIND(":",TRIM(MID(SUBSTITUTE(K56,";",REPT(" ",99)),298,99)))+1,999),FIND(":",MID(TRIM(MID(SUBSTITUTE(K56,";",REPT(" ",99)),298,99)),FIND(":",TRIM(MID(SUBSTITUTE(K56,";",REPT(" ",99)),298,99)))+1,999))-1),_Lookup!$A:$B,2,FALSE),"?")&amp;"×"&amp;LEFT(MID(MID(TRIM(MID(SUBSTITUTE(K56,";",REPT(" ",99)),298,99)),FIND(":",TRIM(MID(SUBSTITUTE(K56,";",REPT(" ",99)),298,99)))+1,999),FIND(":",MID(TRIM(MID(SUBSTITUTE(K56,";",REPT(" ",99)),298,99)),FIND(":",TRIM(MID(SUBSTITUTE(K56,";",REPT(" ",99)),298,99)))+1,999))+1,999),FIND(":",MID(MID(TRIM(MID(SUBSTITUTE(K56,";",REPT(" ",99)),298,99)),FIND(":",TRIM(MID(SUBSTITUTE(K56,";",REPT(" ",99)),298,99)))+1,999),FIND(":",MID(TRIM(MID(SUBSTITUTE(K56,";",REPT(" ",99)),298,99)),FIND(":",TRIM(MID(SUBSTITUTE(K56,";",REPT(" ",99)),298,99)))+1,999))+1,999))-1)),IF(TRIM(MID(SUBSTITUTE(K56,";",REPT(" ",99)),397,99))="","",IFERROR(VLOOKUP(--LEFT(MID(TRIM(MID(SUBSTITUTE(K56,";",REPT(" ",99)),397,99)),FIND(":",TRIM(MID(SUBSTITUTE(K56,";",REPT(" ",99)),397,99)))+1,999),FIND(":",MID(TRIM(MID(SUBSTITUTE(K56,";",REPT(" ",99)),397,99)),FIND(":",TRIM(MID(SUBSTITUTE(K56,";",REPT(" ",99)),397,99)))+1,999))-1),_Lookup!$A:$B,2,FALSE),"?")&amp;"×"&amp;LEFT(MID(MID(TRIM(MID(SUBSTITUTE(K56,";",REPT(" ",99)),397,99)),FIND(":",TRIM(MID(SUBSTITUTE(K56,";",REPT(" ",99)),397,99)))+1,999),FIND(":",MID(TRIM(MID(SUBSTITUTE(K56,";",REPT(" ",99)),397,99)),FIND(":",TRIM(MID(SUBSTITUTE(K56,";",REPT(" ",99)),397,99)))+1,999))+1,999),FIND(":",MID(MID(TRIM(MID(SUBSTITUTE(K56,";",REPT(" ",99)),397,99)),FIND(":",TRIM(MID(SUBSTITUTE(K56,";",REPT(" ",99)),397,99)))+1,999),FIND(":",MID(TRIM(MID(SUBSTITUTE(K56,";",REPT(" ",99)),397,99)),FIND(":",TRIM(MID(SUBSTITUTE(K56,";",REPT(" ",99)),397,99)))+1,999))+1,999))-1))))</f>
        <v/>
      </c>
    </row>
    <row r="57">
      <c r="D57" s="11">
        <f>IFERROR(VLOOKUP(C57,ItemData_Fish!$A:$B,2,FALSE),"")</f>
        <v/>
      </c>
      <c r="L57" s="11">
        <f>IF(K57="","",TEXTJOIN("; ",TRUE,IF(TRIM(MID(SUBSTITUTE(K57,";",REPT(" ",99)),1,99))="","",IFERROR(VLOOKUP(--LEFT(MID(TRIM(MID(SUBSTITUTE(K57,";",REPT(" ",99)),1,99)),FIND(":",TRIM(MID(SUBSTITUTE(K57,";",REPT(" ",99)),1,99)))+1,999),FIND(":",MID(TRIM(MID(SUBSTITUTE(K57,";",REPT(" ",99)),1,99)),FIND(":",TRIM(MID(SUBSTITUTE(K57,";",REPT(" ",99)),1,99)))+1,999))-1),_Lookup!$A:$B,2,FALSE),"?")&amp;"×"&amp;LEFT(MID(MID(TRIM(MID(SUBSTITUTE(K57,";",REPT(" ",99)),1,99)),FIND(":",TRIM(MID(SUBSTITUTE(K57,";",REPT(" ",99)),1,99)))+1,999),FIND(":",MID(TRIM(MID(SUBSTITUTE(K57,";",REPT(" ",99)),1,99)),FIND(":",TRIM(MID(SUBSTITUTE(K57,";",REPT(" ",99)),1,99)))+1,999))+1,999),FIND(":",MID(MID(TRIM(MID(SUBSTITUTE(K57,";",REPT(" ",99)),1,99)),FIND(":",TRIM(MID(SUBSTITUTE(K57,";",REPT(" ",99)),1,99)))+1,999),FIND(":",MID(TRIM(MID(SUBSTITUTE(K57,";",REPT(" ",99)),1,99)),FIND(":",TRIM(MID(SUBSTITUTE(K57,";",REPT(" ",99)),1,99)))+1,999))+1,999))-1)),IF(TRIM(MID(SUBSTITUTE(K57,";",REPT(" ",99)),100,99))="","",IFERROR(VLOOKUP(--LEFT(MID(TRIM(MID(SUBSTITUTE(K57,";",REPT(" ",99)),100,99)),FIND(":",TRIM(MID(SUBSTITUTE(K57,";",REPT(" ",99)),100,99)))+1,999),FIND(":",MID(TRIM(MID(SUBSTITUTE(K57,";",REPT(" ",99)),100,99)),FIND(":",TRIM(MID(SUBSTITUTE(K57,";",REPT(" ",99)),100,99)))+1,999))-1),_Lookup!$A:$B,2,FALSE),"?")&amp;"×"&amp;LEFT(MID(MID(TRIM(MID(SUBSTITUTE(K57,";",REPT(" ",99)),100,99)),FIND(":",TRIM(MID(SUBSTITUTE(K57,";",REPT(" ",99)),100,99)))+1,999),FIND(":",MID(TRIM(MID(SUBSTITUTE(K57,";",REPT(" ",99)),100,99)),FIND(":",TRIM(MID(SUBSTITUTE(K57,";",REPT(" ",99)),100,99)))+1,999))+1,999),FIND(":",MID(MID(TRIM(MID(SUBSTITUTE(K57,";",REPT(" ",99)),100,99)),FIND(":",TRIM(MID(SUBSTITUTE(K57,";",REPT(" ",99)),100,99)))+1,999),FIND(":",MID(TRIM(MID(SUBSTITUTE(K57,";",REPT(" ",99)),100,99)),FIND(":",TRIM(MID(SUBSTITUTE(K57,";",REPT(" ",99)),100,99)))+1,999))+1,999))-1)),IF(TRIM(MID(SUBSTITUTE(K57,";",REPT(" ",99)),199,99))="","",IFERROR(VLOOKUP(--LEFT(MID(TRIM(MID(SUBSTITUTE(K57,";",REPT(" ",99)),199,99)),FIND(":",TRIM(MID(SUBSTITUTE(K57,";",REPT(" ",99)),199,99)))+1,999),FIND(":",MID(TRIM(MID(SUBSTITUTE(K57,";",REPT(" ",99)),199,99)),FIND(":",TRIM(MID(SUBSTITUTE(K57,";",REPT(" ",99)),199,99)))+1,999))-1),_Lookup!$A:$B,2,FALSE),"?")&amp;"×"&amp;LEFT(MID(MID(TRIM(MID(SUBSTITUTE(K57,";",REPT(" ",99)),199,99)),FIND(":",TRIM(MID(SUBSTITUTE(K57,";",REPT(" ",99)),199,99)))+1,999),FIND(":",MID(TRIM(MID(SUBSTITUTE(K57,";",REPT(" ",99)),199,99)),FIND(":",TRIM(MID(SUBSTITUTE(K57,";",REPT(" ",99)),199,99)))+1,999))+1,999),FIND(":",MID(MID(TRIM(MID(SUBSTITUTE(K57,";",REPT(" ",99)),199,99)),FIND(":",TRIM(MID(SUBSTITUTE(K57,";",REPT(" ",99)),199,99)))+1,999),FIND(":",MID(TRIM(MID(SUBSTITUTE(K57,";",REPT(" ",99)),199,99)),FIND(":",TRIM(MID(SUBSTITUTE(K57,";",REPT(" ",99)),199,99)))+1,999))+1,999))-1)),IF(TRIM(MID(SUBSTITUTE(K57,";",REPT(" ",99)),298,99))="","",IFERROR(VLOOKUP(--LEFT(MID(TRIM(MID(SUBSTITUTE(K57,";",REPT(" ",99)),298,99)),FIND(":",TRIM(MID(SUBSTITUTE(K57,";",REPT(" ",99)),298,99)))+1,999),FIND(":",MID(TRIM(MID(SUBSTITUTE(K57,";",REPT(" ",99)),298,99)),FIND(":",TRIM(MID(SUBSTITUTE(K57,";",REPT(" ",99)),298,99)))+1,999))-1),_Lookup!$A:$B,2,FALSE),"?")&amp;"×"&amp;LEFT(MID(MID(TRIM(MID(SUBSTITUTE(K57,";",REPT(" ",99)),298,99)),FIND(":",TRIM(MID(SUBSTITUTE(K57,";",REPT(" ",99)),298,99)))+1,999),FIND(":",MID(TRIM(MID(SUBSTITUTE(K57,";",REPT(" ",99)),298,99)),FIND(":",TRIM(MID(SUBSTITUTE(K57,";",REPT(" ",99)),298,99)))+1,999))+1,999),FIND(":",MID(MID(TRIM(MID(SUBSTITUTE(K57,";",REPT(" ",99)),298,99)),FIND(":",TRIM(MID(SUBSTITUTE(K57,";",REPT(" ",99)),298,99)))+1,999),FIND(":",MID(TRIM(MID(SUBSTITUTE(K57,";",REPT(" ",99)),298,99)),FIND(":",TRIM(MID(SUBSTITUTE(K57,";",REPT(" ",99)),298,99)))+1,999))+1,999))-1)),IF(TRIM(MID(SUBSTITUTE(K57,";",REPT(" ",99)),397,99))="","",IFERROR(VLOOKUP(--LEFT(MID(TRIM(MID(SUBSTITUTE(K57,";",REPT(" ",99)),397,99)),FIND(":",TRIM(MID(SUBSTITUTE(K57,";",REPT(" ",99)),397,99)))+1,999),FIND(":",MID(TRIM(MID(SUBSTITUTE(K57,";",REPT(" ",99)),397,99)),FIND(":",TRIM(MID(SUBSTITUTE(K57,";",REPT(" ",99)),397,99)))+1,999))-1),_Lookup!$A:$B,2,FALSE),"?")&amp;"×"&amp;LEFT(MID(MID(TRIM(MID(SUBSTITUTE(K57,";",REPT(" ",99)),397,99)),FIND(":",TRIM(MID(SUBSTITUTE(K57,";",REPT(" ",99)),397,99)))+1,999),FIND(":",MID(TRIM(MID(SUBSTITUTE(K57,";",REPT(" ",99)),397,99)),FIND(":",TRIM(MID(SUBSTITUTE(K57,";",REPT(" ",99)),397,99)))+1,999))+1,999),FIND(":",MID(MID(TRIM(MID(SUBSTITUTE(K57,";",REPT(" ",99)),397,99)),FIND(":",TRIM(MID(SUBSTITUTE(K57,";",REPT(" ",99)),397,99)))+1,999),FIND(":",MID(TRIM(MID(SUBSTITUTE(K57,";",REPT(" ",99)),397,99)),FIND(":",TRIM(MID(SUBSTITUTE(K57,";",REPT(" ",99)),397,99)))+1,999))+1,999))-1))))</f>
        <v/>
      </c>
    </row>
    <row r="58">
      <c r="D58" s="11">
        <f>IFERROR(VLOOKUP(C58,ItemData_Fish!$A:$B,2,FALSE),"")</f>
        <v/>
      </c>
      <c r="L58" s="11">
        <f>IF(K58="","",TEXTJOIN("; ",TRUE,IF(TRIM(MID(SUBSTITUTE(K58,";",REPT(" ",99)),1,99))="","",IFERROR(VLOOKUP(--LEFT(MID(TRIM(MID(SUBSTITUTE(K58,";",REPT(" ",99)),1,99)),FIND(":",TRIM(MID(SUBSTITUTE(K58,";",REPT(" ",99)),1,99)))+1,999),FIND(":",MID(TRIM(MID(SUBSTITUTE(K58,";",REPT(" ",99)),1,99)),FIND(":",TRIM(MID(SUBSTITUTE(K58,";",REPT(" ",99)),1,99)))+1,999))-1),_Lookup!$A:$B,2,FALSE),"?")&amp;"×"&amp;LEFT(MID(MID(TRIM(MID(SUBSTITUTE(K58,";",REPT(" ",99)),1,99)),FIND(":",TRIM(MID(SUBSTITUTE(K58,";",REPT(" ",99)),1,99)))+1,999),FIND(":",MID(TRIM(MID(SUBSTITUTE(K58,";",REPT(" ",99)),1,99)),FIND(":",TRIM(MID(SUBSTITUTE(K58,";",REPT(" ",99)),1,99)))+1,999))+1,999),FIND(":",MID(MID(TRIM(MID(SUBSTITUTE(K58,";",REPT(" ",99)),1,99)),FIND(":",TRIM(MID(SUBSTITUTE(K58,";",REPT(" ",99)),1,99)))+1,999),FIND(":",MID(TRIM(MID(SUBSTITUTE(K58,";",REPT(" ",99)),1,99)),FIND(":",TRIM(MID(SUBSTITUTE(K58,";",REPT(" ",99)),1,99)))+1,999))+1,999))-1)),IF(TRIM(MID(SUBSTITUTE(K58,";",REPT(" ",99)),100,99))="","",IFERROR(VLOOKUP(--LEFT(MID(TRIM(MID(SUBSTITUTE(K58,";",REPT(" ",99)),100,99)),FIND(":",TRIM(MID(SUBSTITUTE(K58,";",REPT(" ",99)),100,99)))+1,999),FIND(":",MID(TRIM(MID(SUBSTITUTE(K58,";",REPT(" ",99)),100,99)),FIND(":",TRIM(MID(SUBSTITUTE(K58,";",REPT(" ",99)),100,99)))+1,999))-1),_Lookup!$A:$B,2,FALSE),"?")&amp;"×"&amp;LEFT(MID(MID(TRIM(MID(SUBSTITUTE(K58,";",REPT(" ",99)),100,99)),FIND(":",TRIM(MID(SUBSTITUTE(K58,";",REPT(" ",99)),100,99)))+1,999),FIND(":",MID(TRIM(MID(SUBSTITUTE(K58,";",REPT(" ",99)),100,99)),FIND(":",TRIM(MID(SUBSTITUTE(K58,";",REPT(" ",99)),100,99)))+1,999))+1,999),FIND(":",MID(MID(TRIM(MID(SUBSTITUTE(K58,";",REPT(" ",99)),100,99)),FIND(":",TRIM(MID(SUBSTITUTE(K58,";",REPT(" ",99)),100,99)))+1,999),FIND(":",MID(TRIM(MID(SUBSTITUTE(K58,";",REPT(" ",99)),100,99)),FIND(":",TRIM(MID(SUBSTITUTE(K58,";",REPT(" ",99)),100,99)))+1,999))+1,999))-1)),IF(TRIM(MID(SUBSTITUTE(K58,";",REPT(" ",99)),199,99))="","",IFERROR(VLOOKUP(--LEFT(MID(TRIM(MID(SUBSTITUTE(K58,";",REPT(" ",99)),199,99)),FIND(":",TRIM(MID(SUBSTITUTE(K58,";",REPT(" ",99)),199,99)))+1,999),FIND(":",MID(TRIM(MID(SUBSTITUTE(K58,";",REPT(" ",99)),199,99)),FIND(":",TRIM(MID(SUBSTITUTE(K58,";",REPT(" ",99)),199,99)))+1,999))-1),_Lookup!$A:$B,2,FALSE),"?")&amp;"×"&amp;LEFT(MID(MID(TRIM(MID(SUBSTITUTE(K58,";",REPT(" ",99)),199,99)),FIND(":",TRIM(MID(SUBSTITUTE(K58,";",REPT(" ",99)),199,99)))+1,999),FIND(":",MID(TRIM(MID(SUBSTITUTE(K58,";",REPT(" ",99)),199,99)),FIND(":",TRIM(MID(SUBSTITUTE(K58,";",REPT(" ",99)),199,99)))+1,999))+1,999),FIND(":",MID(MID(TRIM(MID(SUBSTITUTE(K58,";",REPT(" ",99)),199,99)),FIND(":",TRIM(MID(SUBSTITUTE(K58,";",REPT(" ",99)),199,99)))+1,999),FIND(":",MID(TRIM(MID(SUBSTITUTE(K58,";",REPT(" ",99)),199,99)),FIND(":",TRIM(MID(SUBSTITUTE(K58,";",REPT(" ",99)),199,99)))+1,999))+1,999))-1)),IF(TRIM(MID(SUBSTITUTE(K58,";",REPT(" ",99)),298,99))="","",IFERROR(VLOOKUP(--LEFT(MID(TRIM(MID(SUBSTITUTE(K58,";",REPT(" ",99)),298,99)),FIND(":",TRIM(MID(SUBSTITUTE(K58,";",REPT(" ",99)),298,99)))+1,999),FIND(":",MID(TRIM(MID(SUBSTITUTE(K58,";",REPT(" ",99)),298,99)),FIND(":",TRIM(MID(SUBSTITUTE(K58,";",REPT(" ",99)),298,99)))+1,999))-1),_Lookup!$A:$B,2,FALSE),"?")&amp;"×"&amp;LEFT(MID(MID(TRIM(MID(SUBSTITUTE(K58,";",REPT(" ",99)),298,99)),FIND(":",TRIM(MID(SUBSTITUTE(K58,";",REPT(" ",99)),298,99)))+1,999),FIND(":",MID(TRIM(MID(SUBSTITUTE(K58,";",REPT(" ",99)),298,99)),FIND(":",TRIM(MID(SUBSTITUTE(K58,";",REPT(" ",99)),298,99)))+1,999))+1,999),FIND(":",MID(MID(TRIM(MID(SUBSTITUTE(K58,";",REPT(" ",99)),298,99)),FIND(":",TRIM(MID(SUBSTITUTE(K58,";",REPT(" ",99)),298,99)))+1,999),FIND(":",MID(TRIM(MID(SUBSTITUTE(K58,";",REPT(" ",99)),298,99)),FIND(":",TRIM(MID(SUBSTITUTE(K58,";",REPT(" ",99)),298,99)))+1,999))+1,999))-1)),IF(TRIM(MID(SUBSTITUTE(K58,";",REPT(" ",99)),397,99))="","",IFERROR(VLOOKUP(--LEFT(MID(TRIM(MID(SUBSTITUTE(K58,";",REPT(" ",99)),397,99)),FIND(":",TRIM(MID(SUBSTITUTE(K58,";",REPT(" ",99)),397,99)))+1,999),FIND(":",MID(TRIM(MID(SUBSTITUTE(K58,";",REPT(" ",99)),397,99)),FIND(":",TRIM(MID(SUBSTITUTE(K58,";",REPT(" ",99)),397,99)))+1,999))-1),_Lookup!$A:$B,2,FALSE),"?")&amp;"×"&amp;LEFT(MID(MID(TRIM(MID(SUBSTITUTE(K58,";",REPT(" ",99)),397,99)),FIND(":",TRIM(MID(SUBSTITUTE(K58,";",REPT(" ",99)),397,99)))+1,999),FIND(":",MID(TRIM(MID(SUBSTITUTE(K58,";",REPT(" ",99)),397,99)),FIND(":",TRIM(MID(SUBSTITUTE(K58,";",REPT(" ",99)),397,99)))+1,999))+1,999),FIND(":",MID(MID(TRIM(MID(SUBSTITUTE(K58,";",REPT(" ",99)),397,99)),FIND(":",TRIM(MID(SUBSTITUTE(K58,";",REPT(" ",99)),397,99)))+1,999),FIND(":",MID(TRIM(MID(SUBSTITUTE(K58,";",REPT(" ",99)),397,99)),FIND(":",TRIM(MID(SUBSTITUTE(K58,";",REPT(" ",99)),397,99)))+1,999))+1,999))-1))))</f>
        <v/>
      </c>
    </row>
    <row r="59">
      <c r="D59" s="11">
        <f>IFERROR(VLOOKUP(C59,ItemData_Fish!$A:$B,2,FALSE),"")</f>
        <v/>
      </c>
      <c r="L59" s="11">
        <f>IF(K59="","",TEXTJOIN("; ",TRUE,IF(TRIM(MID(SUBSTITUTE(K59,";",REPT(" ",99)),1,99))="","",IFERROR(VLOOKUP(--LEFT(MID(TRIM(MID(SUBSTITUTE(K59,";",REPT(" ",99)),1,99)),FIND(":",TRIM(MID(SUBSTITUTE(K59,";",REPT(" ",99)),1,99)))+1,999),FIND(":",MID(TRIM(MID(SUBSTITUTE(K59,";",REPT(" ",99)),1,99)),FIND(":",TRIM(MID(SUBSTITUTE(K59,";",REPT(" ",99)),1,99)))+1,999))-1),_Lookup!$A:$B,2,FALSE),"?")&amp;"×"&amp;LEFT(MID(MID(TRIM(MID(SUBSTITUTE(K59,";",REPT(" ",99)),1,99)),FIND(":",TRIM(MID(SUBSTITUTE(K59,";",REPT(" ",99)),1,99)))+1,999),FIND(":",MID(TRIM(MID(SUBSTITUTE(K59,";",REPT(" ",99)),1,99)),FIND(":",TRIM(MID(SUBSTITUTE(K59,";",REPT(" ",99)),1,99)))+1,999))+1,999),FIND(":",MID(MID(TRIM(MID(SUBSTITUTE(K59,";",REPT(" ",99)),1,99)),FIND(":",TRIM(MID(SUBSTITUTE(K59,";",REPT(" ",99)),1,99)))+1,999),FIND(":",MID(TRIM(MID(SUBSTITUTE(K59,";",REPT(" ",99)),1,99)),FIND(":",TRIM(MID(SUBSTITUTE(K59,";",REPT(" ",99)),1,99)))+1,999))+1,999))-1)),IF(TRIM(MID(SUBSTITUTE(K59,";",REPT(" ",99)),100,99))="","",IFERROR(VLOOKUP(--LEFT(MID(TRIM(MID(SUBSTITUTE(K59,";",REPT(" ",99)),100,99)),FIND(":",TRIM(MID(SUBSTITUTE(K59,";",REPT(" ",99)),100,99)))+1,999),FIND(":",MID(TRIM(MID(SUBSTITUTE(K59,";",REPT(" ",99)),100,99)),FIND(":",TRIM(MID(SUBSTITUTE(K59,";",REPT(" ",99)),100,99)))+1,999))-1),_Lookup!$A:$B,2,FALSE),"?")&amp;"×"&amp;LEFT(MID(MID(TRIM(MID(SUBSTITUTE(K59,";",REPT(" ",99)),100,99)),FIND(":",TRIM(MID(SUBSTITUTE(K59,";",REPT(" ",99)),100,99)))+1,999),FIND(":",MID(TRIM(MID(SUBSTITUTE(K59,";",REPT(" ",99)),100,99)),FIND(":",TRIM(MID(SUBSTITUTE(K59,";",REPT(" ",99)),100,99)))+1,999))+1,999),FIND(":",MID(MID(TRIM(MID(SUBSTITUTE(K59,";",REPT(" ",99)),100,99)),FIND(":",TRIM(MID(SUBSTITUTE(K59,";",REPT(" ",99)),100,99)))+1,999),FIND(":",MID(TRIM(MID(SUBSTITUTE(K59,";",REPT(" ",99)),100,99)),FIND(":",TRIM(MID(SUBSTITUTE(K59,";",REPT(" ",99)),100,99)))+1,999))+1,999))-1)),IF(TRIM(MID(SUBSTITUTE(K59,";",REPT(" ",99)),199,99))="","",IFERROR(VLOOKUP(--LEFT(MID(TRIM(MID(SUBSTITUTE(K59,";",REPT(" ",99)),199,99)),FIND(":",TRIM(MID(SUBSTITUTE(K59,";",REPT(" ",99)),199,99)))+1,999),FIND(":",MID(TRIM(MID(SUBSTITUTE(K59,";",REPT(" ",99)),199,99)),FIND(":",TRIM(MID(SUBSTITUTE(K59,";",REPT(" ",99)),199,99)))+1,999))-1),_Lookup!$A:$B,2,FALSE),"?")&amp;"×"&amp;LEFT(MID(MID(TRIM(MID(SUBSTITUTE(K59,";",REPT(" ",99)),199,99)),FIND(":",TRIM(MID(SUBSTITUTE(K59,";",REPT(" ",99)),199,99)))+1,999),FIND(":",MID(TRIM(MID(SUBSTITUTE(K59,";",REPT(" ",99)),199,99)),FIND(":",TRIM(MID(SUBSTITUTE(K59,";",REPT(" ",99)),199,99)))+1,999))+1,999),FIND(":",MID(MID(TRIM(MID(SUBSTITUTE(K59,";",REPT(" ",99)),199,99)),FIND(":",TRIM(MID(SUBSTITUTE(K59,";",REPT(" ",99)),199,99)))+1,999),FIND(":",MID(TRIM(MID(SUBSTITUTE(K59,";",REPT(" ",99)),199,99)),FIND(":",TRIM(MID(SUBSTITUTE(K59,";",REPT(" ",99)),199,99)))+1,999))+1,999))-1)),IF(TRIM(MID(SUBSTITUTE(K59,";",REPT(" ",99)),298,99))="","",IFERROR(VLOOKUP(--LEFT(MID(TRIM(MID(SUBSTITUTE(K59,";",REPT(" ",99)),298,99)),FIND(":",TRIM(MID(SUBSTITUTE(K59,";",REPT(" ",99)),298,99)))+1,999),FIND(":",MID(TRIM(MID(SUBSTITUTE(K59,";",REPT(" ",99)),298,99)),FIND(":",TRIM(MID(SUBSTITUTE(K59,";",REPT(" ",99)),298,99)))+1,999))-1),_Lookup!$A:$B,2,FALSE),"?")&amp;"×"&amp;LEFT(MID(MID(TRIM(MID(SUBSTITUTE(K59,";",REPT(" ",99)),298,99)),FIND(":",TRIM(MID(SUBSTITUTE(K59,";",REPT(" ",99)),298,99)))+1,999),FIND(":",MID(TRIM(MID(SUBSTITUTE(K59,";",REPT(" ",99)),298,99)),FIND(":",TRIM(MID(SUBSTITUTE(K59,";",REPT(" ",99)),298,99)))+1,999))+1,999),FIND(":",MID(MID(TRIM(MID(SUBSTITUTE(K59,";",REPT(" ",99)),298,99)),FIND(":",TRIM(MID(SUBSTITUTE(K59,";",REPT(" ",99)),298,99)))+1,999),FIND(":",MID(TRIM(MID(SUBSTITUTE(K59,";",REPT(" ",99)),298,99)),FIND(":",TRIM(MID(SUBSTITUTE(K59,";",REPT(" ",99)),298,99)))+1,999))+1,999))-1)),IF(TRIM(MID(SUBSTITUTE(K59,";",REPT(" ",99)),397,99))="","",IFERROR(VLOOKUP(--LEFT(MID(TRIM(MID(SUBSTITUTE(K59,";",REPT(" ",99)),397,99)),FIND(":",TRIM(MID(SUBSTITUTE(K59,";",REPT(" ",99)),397,99)))+1,999),FIND(":",MID(TRIM(MID(SUBSTITUTE(K59,";",REPT(" ",99)),397,99)),FIND(":",TRIM(MID(SUBSTITUTE(K59,";",REPT(" ",99)),397,99)))+1,999))-1),_Lookup!$A:$B,2,FALSE),"?")&amp;"×"&amp;LEFT(MID(MID(TRIM(MID(SUBSTITUTE(K59,";",REPT(" ",99)),397,99)),FIND(":",TRIM(MID(SUBSTITUTE(K59,";",REPT(" ",99)),397,99)))+1,999),FIND(":",MID(TRIM(MID(SUBSTITUTE(K59,";",REPT(" ",99)),397,99)),FIND(":",TRIM(MID(SUBSTITUTE(K59,";",REPT(" ",99)),397,99)))+1,999))+1,999),FIND(":",MID(MID(TRIM(MID(SUBSTITUTE(K59,";",REPT(" ",99)),397,99)),FIND(":",TRIM(MID(SUBSTITUTE(K59,";",REPT(" ",99)),397,99)))+1,999),FIND(":",MID(TRIM(MID(SUBSTITUTE(K59,";",REPT(" ",99)),397,99)),FIND(":",TRIM(MID(SUBSTITUTE(K59,";",REPT(" ",99)),397,99)))+1,999))+1,999))-1))))</f>
        <v/>
      </c>
    </row>
    <row r="60">
      <c r="D60" s="11">
        <f>IFERROR(VLOOKUP(C60,ItemData_Fish!$A:$B,2,FALSE),"")</f>
        <v/>
      </c>
      <c r="L60" s="11">
        <f>IF(K60="","",TEXTJOIN("; ",TRUE,IF(TRIM(MID(SUBSTITUTE(K60,";",REPT(" ",99)),1,99))="","",IFERROR(VLOOKUP(--LEFT(MID(TRIM(MID(SUBSTITUTE(K60,";",REPT(" ",99)),1,99)),FIND(":",TRIM(MID(SUBSTITUTE(K60,";",REPT(" ",99)),1,99)))+1,999),FIND(":",MID(TRIM(MID(SUBSTITUTE(K60,";",REPT(" ",99)),1,99)),FIND(":",TRIM(MID(SUBSTITUTE(K60,";",REPT(" ",99)),1,99)))+1,999))-1),_Lookup!$A:$B,2,FALSE),"?")&amp;"×"&amp;LEFT(MID(MID(TRIM(MID(SUBSTITUTE(K60,";",REPT(" ",99)),1,99)),FIND(":",TRIM(MID(SUBSTITUTE(K60,";",REPT(" ",99)),1,99)))+1,999),FIND(":",MID(TRIM(MID(SUBSTITUTE(K60,";",REPT(" ",99)),1,99)),FIND(":",TRIM(MID(SUBSTITUTE(K60,";",REPT(" ",99)),1,99)))+1,999))+1,999),FIND(":",MID(MID(TRIM(MID(SUBSTITUTE(K60,";",REPT(" ",99)),1,99)),FIND(":",TRIM(MID(SUBSTITUTE(K60,";",REPT(" ",99)),1,99)))+1,999),FIND(":",MID(TRIM(MID(SUBSTITUTE(K60,";",REPT(" ",99)),1,99)),FIND(":",TRIM(MID(SUBSTITUTE(K60,";",REPT(" ",99)),1,99)))+1,999))+1,999))-1)),IF(TRIM(MID(SUBSTITUTE(K60,";",REPT(" ",99)),100,99))="","",IFERROR(VLOOKUP(--LEFT(MID(TRIM(MID(SUBSTITUTE(K60,";",REPT(" ",99)),100,99)),FIND(":",TRIM(MID(SUBSTITUTE(K60,";",REPT(" ",99)),100,99)))+1,999),FIND(":",MID(TRIM(MID(SUBSTITUTE(K60,";",REPT(" ",99)),100,99)),FIND(":",TRIM(MID(SUBSTITUTE(K60,";",REPT(" ",99)),100,99)))+1,999))-1),_Lookup!$A:$B,2,FALSE),"?")&amp;"×"&amp;LEFT(MID(MID(TRIM(MID(SUBSTITUTE(K60,";",REPT(" ",99)),100,99)),FIND(":",TRIM(MID(SUBSTITUTE(K60,";",REPT(" ",99)),100,99)))+1,999),FIND(":",MID(TRIM(MID(SUBSTITUTE(K60,";",REPT(" ",99)),100,99)),FIND(":",TRIM(MID(SUBSTITUTE(K60,";",REPT(" ",99)),100,99)))+1,999))+1,999),FIND(":",MID(MID(TRIM(MID(SUBSTITUTE(K60,";",REPT(" ",99)),100,99)),FIND(":",TRIM(MID(SUBSTITUTE(K60,";",REPT(" ",99)),100,99)))+1,999),FIND(":",MID(TRIM(MID(SUBSTITUTE(K60,";",REPT(" ",99)),100,99)),FIND(":",TRIM(MID(SUBSTITUTE(K60,";",REPT(" ",99)),100,99)))+1,999))+1,999))-1)),IF(TRIM(MID(SUBSTITUTE(K60,";",REPT(" ",99)),199,99))="","",IFERROR(VLOOKUP(--LEFT(MID(TRIM(MID(SUBSTITUTE(K60,";",REPT(" ",99)),199,99)),FIND(":",TRIM(MID(SUBSTITUTE(K60,";",REPT(" ",99)),199,99)))+1,999),FIND(":",MID(TRIM(MID(SUBSTITUTE(K60,";",REPT(" ",99)),199,99)),FIND(":",TRIM(MID(SUBSTITUTE(K60,";",REPT(" ",99)),199,99)))+1,999))-1),_Lookup!$A:$B,2,FALSE),"?")&amp;"×"&amp;LEFT(MID(MID(TRIM(MID(SUBSTITUTE(K60,";",REPT(" ",99)),199,99)),FIND(":",TRIM(MID(SUBSTITUTE(K60,";",REPT(" ",99)),199,99)))+1,999),FIND(":",MID(TRIM(MID(SUBSTITUTE(K60,";",REPT(" ",99)),199,99)),FIND(":",TRIM(MID(SUBSTITUTE(K60,";",REPT(" ",99)),199,99)))+1,999))+1,999),FIND(":",MID(MID(TRIM(MID(SUBSTITUTE(K60,";",REPT(" ",99)),199,99)),FIND(":",TRIM(MID(SUBSTITUTE(K60,";",REPT(" ",99)),199,99)))+1,999),FIND(":",MID(TRIM(MID(SUBSTITUTE(K60,";",REPT(" ",99)),199,99)),FIND(":",TRIM(MID(SUBSTITUTE(K60,";",REPT(" ",99)),199,99)))+1,999))+1,999))-1)),IF(TRIM(MID(SUBSTITUTE(K60,";",REPT(" ",99)),298,99))="","",IFERROR(VLOOKUP(--LEFT(MID(TRIM(MID(SUBSTITUTE(K60,";",REPT(" ",99)),298,99)),FIND(":",TRIM(MID(SUBSTITUTE(K60,";",REPT(" ",99)),298,99)))+1,999),FIND(":",MID(TRIM(MID(SUBSTITUTE(K60,";",REPT(" ",99)),298,99)),FIND(":",TRIM(MID(SUBSTITUTE(K60,";",REPT(" ",99)),298,99)))+1,999))-1),_Lookup!$A:$B,2,FALSE),"?")&amp;"×"&amp;LEFT(MID(MID(TRIM(MID(SUBSTITUTE(K60,";",REPT(" ",99)),298,99)),FIND(":",TRIM(MID(SUBSTITUTE(K60,";",REPT(" ",99)),298,99)))+1,999),FIND(":",MID(TRIM(MID(SUBSTITUTE(K60,";",REPT(" ",99)),298,99)),FIND(":",TRIM(MID(SUBSTITUTE(K60,";",REPT(" ",99)),298,99)))+1,999))+1,999),FIND(":",MID(MID(TRIM(MID(SUBSTITUTE(K60,";",REPT(" ",99)),298,99)),FIND(":",TRIM(MID(SUBSTITUTE(K60,";",REPT(" ",99)),298,99)))+1,999),FIND(":",MID(TRIM(MID(SUBSTITUTE(K60,";",REPT(" ",99)),298,99)),FIND(":",TRIM(MID(SUBSTITUTE(K60,";",REPT(" ",99)),298,99)))+1,999))+1,999))-1)),IF(TRIM(MID(SUBSTITUTE(K60,";",REPT(" ",99)),397,99))="","",IFERROR(VLOOKUP(--LEFT(MID(TRIM(MID(SUBSTITUTE(K60,";",REPT(" ",99)),397,99)),FIND(":",TRIM(MID(SUBSTITUTE(K60,";",REPT(" ",99)),397,99)))+1,999),FIND(":",MID(TRIM(MID(SUBSTITUTE(K60,";",REPT(" ",99)),397,99)),FIND(":",TRIM(MID(SUBSTITUTE(K60,";",REPT(" ",99)),397,99)))+1,999))-1),_Lookup!$A:$B,2,FALSE),"?")&amp;"×"&amp;LEFT(MID(MID(TRIM(MID(SUBSTITUTE(K60,";",REPT(" ",99)),397,99)),FIND(":",TRIM(MID(SUBSTITUTE(K60,";",REPT(" ",99)),397,99)))+1,999),FIND(":",MID(TRIM(MID(SUBSTITUTE(K60,";",REPT(" ",99)),397,99)),FIND(":",TRIM(MID(SUBSTITUTE(K60,";",REPT(" ",99)),397,99)))+1,999))+1,999),FIND(":",MID(MID(TRIM(MID(SUBSTITUTE(K60,";",REPT(" ",99)),397,99)),FIND(":",TRIM(MID(SUBSTITUTE(K60,";",REPT(" ",99)),397,99)))+1,999),FIND(":",MID(TRIM(MID(SUBSTITUTE(K60,";",REPT(" ",99)),397,99)),FIND(":",TRIM(MID(SUBSTITUTE(K60,";",REPT(" ",99)),397,99)))+1,999))+1,999))-1))))</f>
        <v/>
      </c>
    </row>
    <row r="61">
      <c r="D61" s="11">
        <f>IFERROR(VLOOKUP(C61,ItemData_Fish!$A:$B,2,FALSE),"")</f>
        <v/>
      </c>
      <c r="L61" s="11">
        <f>IF(K61="","",TEXTJOIN("; ",TRUE,IF(TRIM(MID(SUBSTITUTE(K61,";",REPT(" ",99)),1,99))="","",IFERROR(VLOOKUP(--LEFT(MID(TRIM(MID(SUBSTITUTE(K61,";",REPT(" ",99)),1,99)),FIND(":",TRIM(MID(SUBSTITUTE(K61,";",REPT(" ",99)),1,99)))+1,999),FIND(":",MID(TRIM(MID(SUBSTITUTE(K61,";",REPT(" ",99)),1,99)),FIND(":",TRIM(MID(SUBSTITUTE(K61,";",REPT(" ",99)),1,99)))+1,999))-1),_Lookup!$A:$B,2,FALSE),"?")&amp;"×"&amp;LEFT(MID(MID(TRIM(MID(SUBSTITUTE(K61,";",REPT(" ",99)),1,99)),FIND(":",TRIM(MID(SUBSTITUTE(K61,";",REPT(" ",99)),1,99)))+1,999),FIND(":",MID(TRIM(MID(SUBSTITUTE(K61,";",REPT(" ",99)),1,99)),FIND(":",TRIM(MID(SUBSTITUTE(K61,";",REPT(" ",99)),1,99)))+1,999))+1,999),FIND(":",MID(MID(TRIM(MID(SUBSTITUTE(K61,";",REPT(" ",99)),1,99)),FIND(":",TRIM(MID(SUBSTITUTE(K61,";",REPT(" ",99)),1,99)))+1,999),FIND(":",MID(TRIM(MID(SUBSTITUTE(K61,";",REPT(" ",99)),1,99)),FIND(":",TRIM(MID(SUBSTITUTE(K61,";",REPT(" ",99)),1,99)))+1,999))+1,999))-1)),IF(TRIM(MID(SUBSTITUTE(K61,";",REPT(" ",99)),100,99))="","",IFERROR(VLOOKUP(--LEFT(MID(TRIM(MID(SUBSTITUTE(K61,";",REPT(" ",99)),100,99)),FIND(":",TRIM(MID(SUBSTITUTE(K61,";",REPT(" ",99)),100,99)))+1,999),FIND(":",MID(TRIM(MID(SUBSTITUTE(K61,";",REPT(" ",99)),100,99)),FIND(":",TRIM(MID(SUBSTITUTE(K61,";",REPT(" ",99)),100,99)))+1,999))-1),_Lookup!$A:$B,2,FALSE),"?")&amp;"×"&amp;LEFT(MID(MID(TRIM(MID(SUBSTITUTE(K61,";",REPT(" ",99)),100,99)),FIND(":",TRIM(MID(SUBSTITUTE(K61,";",REPT(" ",99)),100,99)))+1,999),FIND(":",MID(TRIM(MID(SUBSTITUTE(K61,";",REPT(" ",99)),100,99)),FIND(":",TRIM(MID(SUBSTITUTE(K61,";",REPT(" ",99)),100,99)))+1,999))+1,999),FIND(":",MID(MID(TRIM(MID(SUBSTITUTE(K61,";",REPT(" ",99)),100,99)),FIND(":",TRIM(MID(SUBSTITUTE(K61,";",REPT(" ",99)),100,99)))+1,999),FIND(":",MID(TRIM(MID(SUBSTITUTE(K61,";",REPT(" ",99)),100,99)),FIND(":",TRIM(MID(SUBSTITUTE(K61,";",REPT(" ",99)),100,99)))+1,999))+1,999))-1)),IF(TRIM(MID(SUBSTITUTE(K61,";",REPT(" ",99)),199,99))="","",IFERROR(VLOOKUP(--LEFT(MID(TRIM(MID(SUBSTITUTE(K61,";",REPT(" ",99)),199,99)),FIND(":",TRIM(MID(SUBSTITUTE(K61,";",REPT(" ",99)),199,99)))+1,999),FIND(":",MID(TRIM(MID(SUBSTITUTE(K61,";",REPT(" ",99)),199,99)),FIND(":",TRIM(MID(SUBSTITUTE(K61,";",REPT(" ",99)),199,99)))+1,999))-1),_Lookup!$A:$B,2,FALSE),"?")&amp;"×"&amp;LEFT(MID(MID(TRIM(MID(SUBSTITUTE(K61,";",REPT(" ",99)),199,99)),FIND(":",TRIM(MID(SUBSTITUTE(K61,";",REPT(" ",99)),199,99)))+1,999),FIND(":",MID(TRIM(MID(SUBSTITUTE(K61,";",REPT(" ",99)),199,99)),FIND(":",TRIM(MID(SUBSTITUTE(K61,";",REPT(" ",99)),199,99)))+1,999))+1,999),FIND(":",MID(MID(TRIM(MID(SUBSTITUTE(K61,";",REPT(" ",99)),199,99)),FIND(":",TRIM(MID(SUBSTITUTE(K61,";",REPT(" ",99)),199,99)))+1,999),FIND(":",MID(TRIM(MID(SUBSTITUTE(K61,";",REPT(" ",99)),199,99)),FIND(":",TRIM(MID(SUBSTITUTE(K61,";",REPT(" ",99)),199,99)))+1,999))+1,999))-1)),IF(TRIM(MID(SUBSTITUTE(K61,";",REPT(" ",99)),298,99))="","",IFERROR(VLOOKUP(--LEFT(MID(TRIM(MID(SUBSTITUTE(K61,";",REPT(" ",99)),298,99)),FIND(":",TRIM(MID(SUBSTITUTE(K61,";",REPT(" ",99)),298,99)))+1,999),FIND(":",MID(TRIM(MID(SUBSTITUTE(K61,";",REPT(" ",99)),298,99)),FIND(":",TRIM(MID(SUBSTITUTE(K61,";",REPT(" ",99)),298,99)))+1,999))-1),_Lookup!$A:$B,2,FALSE),"?")&amp;"×"&amp;LEFT(MID(MID(TRIM(MID(SUBSTITUTE(K61,";",REPT(" ",99)),298,99)),FIND(":",TRIM(MID(SUBSTITUTE(K61,";",REPT(" ",99)),298,99)))+1,999),FIND(":",MID(TRIM(MID(SUBSTITUTE(K61,";",REPT(" ",99)),298,99)),FIND(":",TRIM(MID(SUBSTITUTE(K61,";",REPT(" ",99)),298,99)))+1,999))+1,999),FIND(":",MID(MID(TRIM(MID(SUBSTITUTE(K61,";",REPT(" ",99)),298,99)),FIND(":",TRIM(MID(SUBSTITUTE(K61,";",REPT(" ",99)),298,99)))+1,999),FIND(":",MID(TRIM(MID(SUBSTITUTE(K61,";",REPT(" ",99)),298,99)),FIND(":",TRIM(MID(SUBSTITUTE(K61,";",REPT(" ",99)),298,99)))+1,999))+1,999))-1)),IF(TRIM(MID(SUBSTITUTE(K61,";",REPT(" ",99)),397,99))="","",IFERROR(VLOOKUP(--LEFT(MID(TRIM(MID(SUBSTITUTE(K61,";",REPT(" ",99)),397,99)),FIND(":",TRIM(MID(SUBSTITUTE(K61,";",REPT(" ",99)),397,99)))+1,999),FIND(":",MID(TRIM(MID(SUBSTITUTE(K61,";",REPT(" ",99)),397,99)),FIND(":",TRIM(MID(SUBSTITUTE(K61,";",REPT(" ",99)),397,99)))+1,999))-1),_Lookup!$A:$B,2,FALSE),"?")&amp;"×"&amp;LEFT(MID(MID(TRIM(MID(SUBSTITUTE(K61,";",REPT(" ",99)),397,99)),FIND(":",TRIM(MID(SUBSTITUTE(K61,";",REPT(" ",99)),397,99)))+1,999),FIND(":",MID(TRIM(MID(SUBSTITUTE(K61,";",REPT(" ",99)),397,99)),FIND(":",TRIM(MID(SUBSTITUTE(K61,";",REPT(" ",99)),397,99)))+1,999))+1,999),FIND(":",MID(MID(TRIM(MID(SUBSTITUTE(K61,";",REPT(" ",99)),397,99)),FIND(":",TRIM(MID(SUBSTITUTE(K61,";",REPT(" ",99)),397,99)))+1,999),FIND(":",MID(TRIM(MID(SUBSTITUTE(K61,";",REPT(" ",99)),397,99)),FIND(":",TRIM(MID(SUBSTITUTE(K61,";",REPT(" ",99)),397,99)))+1,999))+1,999))-1))))</f>
        <v/>
      </c>
    </row>
    <row r="62">
      <c r="D62" s="11">
        <f>IFERROR(VLOOKUP(C62,ItemData_Fish!$A:$B,2,FALSE),"")</f>
        <v/>
      </c>
      <c r="L62" s="11">
        <f>IF(K62="","",TEXTJOIN("; ",TRUE,IF(TRIM(MID(SUBSTITUTE(K62,";",REPT(" ",99)),1,99))="","",IFERROR(VLOOKUP(--LEFT(MID(TRIM(MID(SUBSTITUTE(K62,";",REPT(" ",99)),1,99)),FIND(":",TRIM(MID(SUBSTITUTE(K62,";",REPT(" ",99)),1,99)))+1,999),FIND(":",MID(TRIM(MID(SUBSTITUTE(K62,";",REPT(" ",99)),1,99)),FIND(":",TRIM(MID(SUBSTITUTE(K62,";",REPT(" ",99)),1,99)))+1,999))-1),_Lookup!$A:$B,2,FALSE),"?")&amp;"×"&amp;LEFT(MID(MID(TRIM(MID(SUBSTITUTE(K62,";",REPT(" ",99)),1,99)),FIND(":",TRIM(MID(SUBSTITUTE(K62,";",REPT(" ",99)),1,99)))+1,999),FIND(":",MID(TRIM(MID(SUBSTITUTE(K62,";",REPT(" ",99)),1,99)),FIND(":",TRIM(MID(SUBSTITUTE(K62,";",REPT(" ",99)),1,99)))+1,999))+1,999),FIND(":",MID(MID(TRIM(MID(SUBSTITUTE(K62,";",REPT(" ",99)),1,99)),FIND(":",TRIM(MID(SUBSTITUTE(K62,";",REPT(" ",99)),1,99)))+1,999),FIND(":",MID(TRIM(MID(SUBSTITUTE(K62,";",REPT(" ",99)),1,99)),FIND(":",TRIM(MID(SUBSTITUTE(K62,";",REPT(" ",99)),1,99)))+1,999))+1,999))-1)),IF(TRIM(MID(SUBSTITUTE(K62,";",REPT(" ",99)),100,99))="","",IFERROR(VLOOKUP(--LEFT(MID(TRIM(MID(SUBSTITUTE(K62,";",REPT(" ",99)),100,99)),FIND(":",TRIM(MID(SUBSTITUTE(K62,";",REPT(" ",99)),100,99)))+1,999),FIND(":",MID(TRIM(MID(SUBSTITUTE(K62,";",REPT(" ",99)),100,99)),FIND(":",TRIM(MID(SUBSTITUTE(K62,";",REPT(" ",99)),100,99)))+1,999))-1),_Lookup!$A:$B,2,FALSE),"?")&amp;"×"&amp;LEFT(MID(MID(TRIM(MID(SUBSTITUTE(K62,";",REPT(" ",99)),100,99)),FIND(":",TRIM(MID(SUBSTITUTE(K62,";",REPT(" ",99)),100,99)))+1,999),FIND(":",MID(TRIM(MID(SUBSTITUTE(K62,";",REPT(" ",99)),100,99)),FIND(":",TRIM(MID(SUBSTITUTE(K62,";",REPT(" ",99)),100,99)))+1,999))+1,999),FIND(":",MID(MID(TRIM(MID(SUBSTITUTE(K62,";",REPT(" ",99)),100,99)),FIND(":",TRIM(MID(SUBSTITUTE(K62,";",REPT(" ",99)),100,99)))+1,999),FIND(":",MID(TRIM(MID(SUBSTITUTE(K62,";",REPT(" ",99)),100,99)),FIND(":",TRIM(MID(SUBSTITUTE(K62,";",REPT(" ",99)),100,99)))+1,999))+1,999))-1)),IF(TRIM(MID(SUBSTITUTE(K62,";",REPT(" ",99)),199,99))="","",IFERROR(VLOOKUP(--LEFT(MID(TRIM(MID(SUBSTITUTE(K62,";",REPT(" ",99)),199,99)),FIND(":",TRIM(MID(SUBSTITUTE(K62,";",REPT(" ",99)),199,99)))+1,999),FIND(":",MID(TRIM(MID(SUBSTITUTE(K62,";",REPT(" ",99)),199,99)),FIND(":",TRIM(MID(SUBSTITUTE(K62,";",REPT(" ",99)),199,99)))+1,999))-1),_Lookup!$A:$B,2,FALSE),"?")&amp;"×"&amp;LEFT(MID(MID(TRIM(MID(SUBSTITUTE(K62,";",REPT(" ",99)),199,99)),FIND(":",TRIM(MID(SUBSTITUTE(K62,";",REPT(" ",99)),199,99)))+1,999),FIND(":",MID(TRIM(MID(SUBSTITUTE(K62,";",REPT(" ",99)),199,99)),FIND(":",TRIM(MID(SUBSTITUTE(K62,";",REPT(" ",99)),199,99)))+1,999))+1,999),FIND(":",MID(MID(TRIM(MID(SUBSTITUTE(K62,";",REPT(" ",99)),199,99)),FIND(":",TRIM(MID(SUBSTITUTE(K62,";",REPT(" ",99)),199,99)))+1,999),FIND(":",MID(TRIM(MID(SUBSTITUTE(K62,";",REPT(" ",99)),199,99)),FIND(":",TRIM(MID(SUBSTITUTE(K62,";",REPT(" ",99)),199,99)))+1,999))+1,999))-1)),IF(TRIM(MID(SUBSTITUTE(K62,";",REPT(" ",99)),298,99))="","",IFERROR(VLOOKUP(--LEFT(MID(TRIM(MID(SUBSTITUTE(K62,";",REPT(" ",99)),298,99)),FIND(":",TRIM(MID(SUBSTITUTE(K62,";",REPT(" ",99)),298,99)))+1,999),FIND(":",MID(TRIM(MID(SUBSTITUTE(K62,";",REPT(" ",99)),298,99)),FIND(":",TRIM(MID(SUBSTITUTE(K62,";",REPT(" ",99)),298,99)))+1,999))-1),_Lookup!$A:$B,2,FALSE),"?")&amp;"×"&amp;LEFT(MID(MID(TRIM(MID(SUBSTITUTE(K62,";",REPT(" ",99)),298,99)),FIND(":",TRIM(MID(SUBSTITUTE(K62,";",REPT(" ",99)),298,99)))+1,999),FIND(":",MID(TRIM(MID(SUBSTITUTE(K62,";",REPT(" ",99)),298,99)),FIND(":",TRIM(MID(SUBSTITUTE(K62,";",REPT(" ",99)),298,99)))+1,999))+1,999),FIND(":",MID(MID(TRIM(MID(SUBSTITUTE(K62,";",REPT(" ",99)),298,99)),FIND(":",TRIM(MID(SUBSTITUTE(K62,";",REPT(" ",99)),298,99)))+1,999),FIND(":",MID(TRIM(MID(SUBSTITUTE(K62,";",REPT(" ",99)),298,99)),FIND(":",TRIM(MID(SUBSTITUTE(K62,";",REPT(" ",99)),298,99)))+1,999))+1,999))-1)),IF(TRIM(MID(SUBSTITUTE(K62,";",REPT(" ",99)),397,99))="","",IFERROR(VLOOKUP(--LEFT(MID(TRIM(MID(SUBSTITUTE(K62,";",REPT(" ",99)),397,99)),FIND(":",TRIM(MID(SUBSTITUTE(K62,";",REPT(" ",99)),397,99)))+1,999),FIND(":",MID(TRIM(MID(SUBSTITUTE(K62,";",REPT(" ",99)),397,99)),FIND(":",TRIM(MID(SUBSTITUTE(K62,";",REPT(" ",99)),397,99)))+1,999))-1),_Lookup!$A:$B,2,FALSE),"?")&amp;"×"&amp;LEFT(MID(MID(TRIM(MID(SUBSTITUTE(K62,";",REPT(" ",99)),397,99)),FIND(":",TRIM(MID(SUBSTITUTE(K62,";",REPT(" ",99)),397,99)))+1,999),FIND(":",MID(TRIM(MID(SUBSTITUTE(K62,";",REPT(" ",99)),397,99)),FIND(":",TRIM(MID(SUBSTITUTE(K62,";",REPT(" ",99)),397,99)))+1,999))+1,999),FIND(":",MID(MID(TRIM(MID(SUBSTITUTE(K62,";",REPT(" ",99)),397,99)),FIND(":",TRIM(MID(SUBSTITUTE(K62,";",REPT(" ",99)),397,99)))+1,999),FIND(":",MID(TRIM(MID(SUBSTITUTE(K62,";",REPT(" ",99)),397,99)),FIND(":",TRIM(MID(SUBSTITUTE(K62,";",REPT(" ",99)),397,99)))+1,999))+1,999))-1))))</f>
        <v/>
      </c>
    </row>
    <row r="63">
      <c r="D63" s="11">
        <f>IFERROR(VLOOKUP(C63,ItemData_Fish!$A:$B,2,FALSE),"")</f>
        <v/>
      </c>
      <c r="L63" s="11">
        <f>IF(K63="","",TEXTJOIN("; ",TRUE,IF(TRIM(MID(SUBSTITUTE(K63,";",REPT(" ",99)),1,99))="","",IFERROR(VLOOKUP(--LEFT(MID(TRIM(MID(SUBSTITUTE(K63,";",REPT(" ",99)),1,99)),FIND(":",TRIM(MID(SUBSTITUTE(K63,";",REPT(" ",99)),1,99)))+1,999),FIND(":",MID(TRIM(MID(SUBSTITUTE(K63,";",REPT(" ",99)),1,99)),FIND(":",TRIM(MID(SUBSTITUTE(K63,";",REPT(" ",99)),1,99)))+1,999))-1),_Lookup!$A:$B,2,FALSE),"?")&amp;"×"&amp;LEFT(MID(MID(TRIM(MID(SUBSTITUTE(K63,";",REPT(" ",99)),1,99)),FIND(":",TRIM(MID(SUBSTITUTE(K63,";",REPT(" ",99)),1,99)))+1,999),FIND(":",MID(TRIM(MID(SUBSTITUTE(K63,";",REPT(" ",99)),1,99)),FIND(":",TRIM(MID(SUBSTITUTE(K63,";",REPT(" ",99)),1,99)))+1,999))+1,999),FIND(":",MID(MID(TRIM(MID(SUBSTITUTE(K63,";",REPT(" ",99)),1,99)),FIND(":",TRIM(MID(SUBSTITUTE(K63,";",REPT(" ",99)),1,99)))+1,999),FIND(":",MID(TRIM(MID(SUBSTITUTE(K63,";",REPT(" ",99)),1,99)),FIND(":",TRIM(MID(SUBSTITUTE(K63,";",REPT(" ",99)),1,99)))+1,999))+1,999))-1)),IF(TRIM(MID(SUBSTITUTE(K63,";",REPT(" ",99)),100,99))="","",IFERROR(VLOOKUP(--LEFT(MID(TRIM(MID(SUBSTITUTE(K63,";",REPT(" ",99)),100,99)),FIND(":",TRIM(MID(SUBSTITUTE(K63,";",REPT(" ",99)),100,99)))+1,999),FIND(":",MID(TRIM(MID(SUBSTITUTE(K63,";",REPT(" ",99)),100,99)),FIND(":",TRIM(MID(SUBSTITUTE(K63,";",REPT(" ",99)),100,99)))+1,999))-1),_Lookup!$A:$B,2,FALSE),"?")&amp;"×"&amp;LEFT(MID(MID(TRIM(MID(SUBSTITUTE(K63,";",REPT(" ",99)),100,99)),FIND(":",TRIM(MID(SUBSTITUTE(K63,";",REPT(" ",99)),100,99)))+1,999),FIND(":",MID(TRIM(MID(SUBSTITUTE(K63,";",REPT(" ",99)),100,99)),FIND(":",TRIM(MID(SUBSTITUTE(K63,";",REPT(" ",99)),100,99)))+1,999))+1,999),FIND(":",MID(MID(TRIM(MID(SUBSTITUTE(K63,";",REPT(" ",99)),100,99)),FIND(":",TRIM(MID(SUBSTITUTE(K63,";",REPT(" ",99)),100,99)))+1,999),FIND(":",MID(TRIM(MID(SUBSTITUTE(K63,";",REPT(" ",99)),100,99)),FIND(":",TRIM(MID(SUBSTITUTE(K63,";",REPT(" ",99)),100,99)))+1,999))+1,999))-1)),IF(TRIM(MID(SUBSTITUTE(K63,";",REPT(" ",99)),199,99))="","",IFERROR(VLOOKUP(--LEFT(MID(TRIM(MID(SUBSTITUTE(K63,";",REPT(" ",99)),199,99)),FIND(":",TRIM(MID(SUBSTITUTE(K63,";",REPT(" ",99)),199,99)))+1,999),FIND(":",MID(TRIM(MID(SUBSTITUTE(K63,";",REPT(" ",99)),199,99)),FIND(":",TRIM(MID(SUBSTITUTE(K63,";",REPT(" ",99)),199,99)))+1,999))-1),_Lookup!$A:$B,2,FALSE),"?")&amp;"×"&amp;LEFT(MID(MID(TRIM(MID(SUBSTITUTE(K63,";",REPT(" ",99)),199,99)),FIND(":",TRIM(MID(SUBSTITUTE(K63,";",REPT(" ",99)),199,99)))+1,999),FIND(":",MID(TRIM(MID(SUBSTITUTE(K63,";",REPT(" ",99)),199,99)),FIND(":",TRIM(MID(SUBSTITUTE(K63,";",REPT(" ",99)),199,99)))+1,999))+1,999),FIND(":",MID(MID(TRIM(MID(SUBSTITUTE(K63,";",REPT(" ",99)),199,99)),FIND(":",TRIM(MID(SUBSTITUTE(K63,";",REPT(" ",99)),199,99)))+1,999),FIND(":",MID(TRIM(MID(SUBSTITUTE(K63,";",REPT(" ",99)),199,99)),FIND(":",TRIM(MID(SUBSTITUTE(K63,";",REPT(" ",99)),199,99)))+1,999))+1,999))-1)),IF(TRIM(MID(SUBSTITUTE(K63,";",REPT(" ",99)),298,99))="","",IFERROR(VLOOKUP(--LEFT(MID(TRIM(MID(SUBSTITUTE(K63,";",REPT(" ",99)),298,99)),FIND(":",TRIM(MID(SUBSTITUTE(K63,";",REPT(" ",99)),298,99)))+1,999),FIND(":",MID(TRIM(MID(SUBSTITUTE(K63,";",REPT(" ",99)),298,99)),FIND(":",TRIM(MID(SUBSTITUTE(K63,";",REPT(" ",99)),298,99)))+1,999))-1),_Lookup!$A:$B,2,FALSE),"?")&amp;"×"&amp;LEFT(MID(MID(TRIM(MID(SUBSTITUTE(K63,";",REPT(" ",99)),298,99)),FIND(":",TRIM(MID(SUBSTITUTE(K63,";",REPT(" ",99)),298,99)))+1,999),FIND(":",MID(TRIM(MID(SUBSTITUTE(K63,";",REPT(" ",99)),298,99)),FIND(":",TRIM(MID(SUBSTITUTE(K63,";",REPT(" ",99)),298,99)))+1,999))+1,999),FIND(":",MID(MID(TRIM(MID(SUBSTITUTE(K63,";",REPT(" ",99)),298,99)),FIND(":",TRIM(MID(SUBSTITUTE(K63,";",REPT(" ",99)),298,99)))+1,999),FIND(":",MID(TRIM(MID(SUBSTITUTE(K63,";",REPT(" ",99)),298,99)),FIND(":",TRIM(MID(SUBSTITUTE(K63,";",REPT(" ",99)),298,99)))+1,999))+1,999))-1)),IF(TRIM(MID(SUBSTITUTE(K63,";",REPT(" ",99)),397,99))="","",IFERROR(VLOOKUP(--LEFT(MID(TRIM(MID(SUBSTITUTE(K63,";",REPT(" ",99)),397,99)),FIND(":",TRIM(MID(SUBSTITUTE(K63,";",REPT(" ",99)),397,99)))+1,999),FIND(":",MID(TRIM(MID(SUBSTITUTE(K63,";",REPT(" ",99)),397,99)),FIND(":",TRIM(MID(SUBSTITUTE(K63,";",REPT(" ",99)),397,99)))+1,999))-1),_Lookup!$A:$B,2,FALSE),"?")&amp;"×"&amp;LEFT(MID(MID(TRIM(MID(SUBSTITUTE(K63,";",REPT(" ",99)),397,99)),FIND(":",TRIM(MID(SUBSTITUTE(K63,";",REPT(" ",99)),397,99)))+1,999),FIND(":",MID(TRIM(MID(SUBSTITUTE(K63,";",REPT(" ",99)),397,99)),FIND(":",TRIM(MID(SUBSTITUTE(K63,";",REPT(" ",99)),397,99)))+1,999))+1,999),FIND(":",MID(MID(TRIM(MID(SUBSTITUTE(K63,";",REPT(" ",99)),397,99)),FIND(":",TRIM(MID(SUBSTITUTE(K63,";",REPT(" ",99)),397,99)))+1,999),FIND(":",MID(TRIM(MID(SUBSTITUTE(K63,";",REPT(" ",99)),397,99)),FIND(":",TRIM(MID(SUBSTITUTE(K63,";",REPT(" ",99)),397,99)))+1,999))+1,999))-1))))</f>
        <v/>
      </c>
    </row>
    <row r="64">
      <c r="D64" s="11">
        <f>IFERROR(VLOOKUP(C64,ItemData_Fish!$A:$B,2,FALSE),"")</f>
        <v/>
      </c>
      <c r="L64" s="11">
        <f>IF(K64="","",TEXTJOIN("; ",TRUE,IF(TRIM(MID(SUBSTITUTE(K64,";",REPT(" ",99)),1,99))="","",IFERROR(VLOOKUP(--LEFT(MID(TRIM(MID(SUBSTITUTE(K64,";",REPT(" ",99)),1,99)),FIND(":",TRIM(MID(SUBSTITUTE(K64,";",REPT(" ",99)),1,99)))+1,999),FIND(":",MID(TRIM(MID(SUBSTITUTE(K64,";",REPT(" ",99)),1,99)),FIND(":",TRIM(MID(SUBSTITUTE(K64,";",REPT(" ",99)),1,99)))+1,999))-1),_Lookup!$A:$B,2,FALSE),"?")&amp;"×"&amp;LEFT(MID(MID(TRIM(MID(SUBSTITUTE(K64,";",REPT(" ",99)),1,99)),FIND(":",TRIM(MID(SUBSTITUTE(K64,";",REPT(" ",99)),1,99)))+1,999),FIND(":",MID(TRIM(MID(SUBSTITUTE(K64,";",REPT(" ",99)),1,99)),FIND(":",TRIM(MID(SUBSTITUTE(K64,";",REPT(" ",99)),1,99)))+1,999))+1,999),FIND(":",MID(MID(TRIM(MID(SUBSTITUTE(K64,";",REPT(" ",99)),1,99)),FIND(":",TRIM(MID(SUBSTITUTE(K64,";",REPT(" ",99)),1,99)))+1,999),FIND(":",MID(TRIM(MID(SUBSTITUTE(K64,";",REPT(" ",99)),1,99)),FIND(":",TRIM(MID(SUBSTITUTE(K64,";",REPT(" ",99)),1,99)))+1,999))+1,999))-1)),IF(TRIM(MID(SUBSTITUTE(K64,";",REPT(" ",99)),100,99))="","",IFERROR(VLOOKUP(--LEFT(MID(TRIM(MID(SUBSTITUTE(K64,";",REPT(" ",99)),100,99)),FIND(":",TRIM(MID(SUBSTITUTE(K64,";",REPT(" ",99)),100,99)))+1,999),FIND(":",MID(TRIM(MID(SUBSTITUTE(K64,";",REPT(" ",99)),100,99)),FIND(":",TRIM(MID(SUBSTITUTE(K64,";",REPT(" ",99)),100,99)))+1,999))-1),_Lookup!$A:$B,2,FALSE),"?")&amp;"×"&amp;LEFT(MID(MID(TRIM(MID(SUBSTITUTE(K64,";",REPT(" ",99)),100,99)),FIND(":",TRIM(MID(SUBSTITUTE(K64,";",REPT(" ",99)),100,99)))+1,999),FIND(":",MID(TRIM(MID(SUBSTITUTE(K64,";",REPT(" ",99)),100,99)),FIND(":",TRIM(MID(SUBSTITUTE(K64,";",REPT(" ",99)),100,99)))+1,999))+1,999),FIND(":",MID(MID(TRIM(MID(SUBSTITUTE(K64,";",REPT(" ",99)),100,99)),FIND(":",TRIM(MID(SUBSTITUTE(K64,";",REPT(" ",99)),100,99)))+1,999),FIND(":",MID(TRIM(MID(SUBSTITUTE(K64,";",REPT(" ",99)),100,99)),FIND(":",TRIM(MID(SUBSTITUTE(K64,";",REPT(" ",99)),100,99)))+1,999))+1,999))-1)),IF(TRIM(MID(SUBSTITUTE(K64,";",REPT(" ",99)),199,99))="","",IFERROR(VLOOKUP(--LEFT(MID(TRIM(MID(SUBSTITUTE(K64,";",REPT(" ",99)),199,99)),FIND(":",TRIM(MID(SUBSTITUTE(K64,";",REPT(" ",99)),199,99)))+1,999),FIND(":",MID(TRIM(MID(SUBSTITUTE(K64,";",REPT(" ",99)),199,99)),FIND(":",TRIM(MID(SUBSTITUTE(K64,";",REPT(" ",99)),199,99)))+1,999))-1),_Lookup!$A:$B,2,FALSE),"?")&amp;"×"&amp;LEFT(MID(MID(TRIM(MID(SUBSTITUTE(K64,";",REPT(" ",99)),199,99)),FIND(":",TRIM(MID(SUBSTITUTE(K64,";",REPT(" ",99)),199,99)))+1,999),FIND(":",MID(TRIM(MID(SUBSTITUTE(K64,";",REPT(" ",99)),199,99)),FIND(":",TRIM(MID(SUBSTITUTE(K64,";",REPT(" ",99)),199,99)))+1,999))+1,999),FIND(":",MID(MID(TRIM(MID(SUBSTITUTE(K64,";",REPT(" ",99)),199,99)),FIND(":",TRIM(MID(SUBSTITUTE(K64,";",REPT(" ",99)),199,99)))+1,999),FIND(":",MID(TRIM(MID(SUBSTITUTE(K64,";",REPT(" ",99)),199,99)),FIND(":",TRIM(MID(SUBSTITUTE(K64,";",REPT(" ",99)),199,99)))+1,999))+1,999))-1)),IF(TRIM(MID(SUBSTITUTE(K64,";",REPT(" ",99)),298,99))="","",IFERROR(VLOOKUP(--LEFT(MID(TRIM(MID(SUBSTITUTE(K64,";",REPT(" ",99)),298,99)),FIND(":",TRIM(MID(SUBSTITUTE(K64,";",REPT(" ",99)),298,99)))+1,999),FIND(":",MID(TRIM(MID(SUBSTITUTE(K64,";",REPT(" ",99)),298,99)),FIND(":",TRIM(MID(SUBSTITUTE(K64,";",REPT(" ",99)),298,99)))+1,999))-1),_Lookup!$A:$B,2,FALSE),"?")&amp;"×"&amp;LEFT(MID(MID(TRIM(MID(SUBSTITUTE(K64,";",REPT(" ",99)),298,99)),FIND(":",TRIM(MID(SUBSTITUTE(K64,";",REPT(" ",99)),298,99)))+1,999),FIND(":",MID(TRIM(MID(SUBSTITUTE(K64,";",REPT(" ",99)),298,99)),FIND(":",TRIM(MID(SUBSTITUTE(K64,";",REPT(" ",99)),298,99)))+1,999))+1,999),FIND(":",MID(MID(TRIM(MID(SUBSTITUTE(K64,";",REPT(" ",99)),298,99)),FIND(":",TRIM(MID(SUBSTITUTE(K64,";",REPT(" ",99)),298,99)))+1,999),FIND(":",MID(TRIM(MID(SUBSTITUTE(K64,";",REPT(" ",99)),298,99)),FIND(":",TRIM(MID(SUBSTITUTE(K64,";",REPT(" ",99)),298,99)))+1,999))+1,999))-1)),IF(TRIM(MID(SUBSTITUTE(K64,";",REPT(" ",99)),397,99))="","",IFERROR(VLOOKUP(--LEFT(MID(TRIM(MID(SUBSTITUTE(K64,";",REPT(" ",99)),397,99)),FIND(":",TRIM(MID(SUBSTITUTE(K64,";",REPT(" ",99)),397,99)))+1,999),FIND(":",MID(TRIM(MID(SUBSTITUTE(K64,";",REPT(" ",99)),397,99)),FIND(":",TRIM(MID(SUBSTITUTE(K64,";",REPT(" ",99)),397,99)))+1,999))-1),_Lookup!$A:$B,2,FALSE),"?")&amp;"×"&amp;LEFT(MID(MID(TRIM(MID(SUBSTITUTE(K64,";",REPT(" ",99)),397,99)),FIND(":",TRIM(MID(SUBSTITUTE(K64,";",REPT(" ",99)),397,99)))+1,999),FIND(":",MID(TRIM(MID(SUBSTITUTE(K64,";",REPT(" ",99)),397,99)),FIND(":",TRIM(MID(SUBSTITUTE(K64,";",REPT(" ",99)),397,99)))+1,999))+1,999),FIND(":",MID(MID(TRIM(MID(SUBSTITUTE(K64,";",REPT(" ",99)),397,99)),FIND(":",TRIM(MID(SUBSTITUTE(K64,";",REPT(" ",99)),397,99)))+1,999),FIND(":",MID(TRIM(MID(SUBSTITUTE(K64,";",REPT(" ",99)),397,99)),FIND(":",TRIM(MID(SUBSTITUTE(K64,";",REPT(" ",99)),397,99)))+1,999))+1,999))-1))))</f>
        <v/>
      </c>
    </row>
    <row r="65">
      <c r="D65" s="11">
        <f>IFERROR(VLOOKUP(C65,ItemData_Fish!$A:$B,2,FALSE),"")</f>
        <v/>
      </c>
      <c r="L65" s="11">
        <f>IF(K65="","",TEXTJOIN("; ",TRUE,IF(TRIM(MID(SUBSTITUTE(K65,";",REPT(" ",99)),1,99))="","",IFERROR(VLOOKUP(--LEFT(MID(TRIM(MID(SUBSTITUTE(K65,";",REPT(" ",99)),1,99)),FIND(":",TRIM(MID(SUBSTITUTE(K65,";",REPT(" ",99)),1,99)))+1,999),FIND(":",MID(TRIM(MID(SUBSTITUTE(K65,";",REPT(" ",99)),1,99)),FIND(":",TRIM(MID(SUBSTITUTE(K65,";",REPT(" ",99)),1,99)))+1,999))-1),_Lookup!$A:$B,2,FALSE),"?")&amp;"×"&amp;LEFT(MID(MID(TRIM(MID(SUBSTITUTE(K65,";",REPT(" ",99)),1,99)),FIND(":",TRIM(MID(SUBSTITUTE(K65,";",REPT(" ",99)),1,99)))+1,999),FIND(":",MID(TRIM(MID(SUBSTITUTE(K65,";",REPT(" ",99)),1,99)),FIND(":",TRIM(MID(SUBSTITUTE(K65,";",REPT(" ",99)),1,99)))+1,999))+1,999),FIND(":",MID(MID(TRIM(MID(SUBSTITUTE(K65,";",REPT(" ",99)),1,99)),FIND(":",TRIM(MID(SUBSTITUTE(K65,";",REPT(" ",99)),1,99)))+1,999),FIND(":",MID(TRIM(MID(SUBSTITUTE(K65,";",REPT(" ",99)),1,99)),FIND(":",TRIM(MID(SUBSTITUTE(K65,";",REPT(" ",99)),1,99)))+1,999))+1,999))-1)),IF(TRIM(MID(SUBSTITUTE(K65,";",REPT(" ",99)),100,99))="","",IFERROR(VLOOKUP(--LEFT(MID(TRIM(MID(SUBSTITUTE(K65,";",REPT(" ",99)),100,99)),FIND(":",TRIM(MID(SUBSTITUTE(K65,";",REPT(" ",99)),100,99)))+1,999),FIND(":",MID(TRIM(MID(SUBSTITUTE(K65,";",REPT(" ",99)),100,99)),FIND(":",TRIM(MID(SUBSTITUTE(K65,";",REPT(" ",99)),100,99)))+1,999))-1),_Lookup!$A:$B,2,FALSE),"?")&amp;"×"&amp;LEFT(MID(MID(TRIM(MID(SUBSTITUTE(K65,";",REPT(" ",99)),100,99)),FIND(":",TRIM(MID(SUBSTITUTE(K65,";",REPT(" ",99)),100,99)))+1,999),FIND(":",MID(TRIM(MID(SUBSTITUTE(K65,";",REPT(" ",99)),100,99)),FIND(":",TRIM(MID(SUBSTITUTE(K65,";",REPT(" ",99)),100,99)))+1,999))+1,999),FIND(":",MID(MID(TRIM(MID(SUBSTITUTE(K65,";",REPT(" ",99)),100,99)),FIND(":",TRIM(MID(SUBSTITUTE(K65,";",REPT(" ",99)),100,99)))+1,999),FIND(":",MID(TRIM(MID(SUBSTITUTE(K65,";",REPT(" ",99)),100,99)),FIND(":",TRIM(MID(SUBSTITUTE(K65,";",REPT(" ",99)),100,99)))+1,999))+1,999))-1)),IF(TRIM(MID(SUBSTITUTE(K65,";",REPT(" ",99)),199,99))="","",IFERROR(VLOOKUP(--LEFT(MID(TRIM(MID(SUBSTITUTE(K65,";",REPT(" ",99)),199,99)),FIND(":",TRIM(MID(SUBSTITUTE(K65,";",REPT(" ",99)),199,99)))+1,999),FIND(":",MID(TRIM(MID(SUBSTITUTE(K65,";",REPT(" ",99)),199,99)),FIND(":",TRIM(MID(SUBSTITUTE(K65,";",REPT(" ",99)),199,99)))+1,999))-1),_Lookup!$A:$B,2,FALSE),"?")&amp;"×"&amp;LEFT(MID(MID(TRIM(MID(SUBSTITUTE(K65,";",REPT(" ",99)),199,99)),FIND(":",TRIM(MID(SUBSTITUTE(K65,";",REPT(" ",99)),199,99)))+1,999),FIND(":",MID(TRIM(MID(SUBSTITUTE(K65,";",REPT(" ",99)),199,99)),FIND(":",TRIM(MID(SUBSTITUTE(K65,";",REPT(" ",99)),199,99)))+1,999))+1,999),FIND(":",MID(MID(TRIM(MID(SUBSTITUTE(K65,";",REPT(" ",99)),199,99)),FIND(":",TRIM(MID(SUBSTITUTE(K65,";",REPT(" ",99)),199,99)))+1,999),FIND(":",MID(TRIM(MID(SUBSTITUTE(K65,";",REPT(" ",99)),199,99)),FIND(":",TRIM(MID(SUBSTITUTE(K65,";",REPT(" ",99)),199,99)))+1,999))+1,999))-1)),IF(TRIM(MID(SUBSTITUTE(K65,";",REPT(" ",99)),298,99))="","",IFERROR(VLOOKUP(--LEFT(MID(TRIM(MID(SUBSTITUTE(K65,";",REPT(" ",99)),298,99)),FIND(":",TRIM(MID(SUBSTITUTE(K65,";",REPT(" ",99)),298,99)))+1,999),FIND(":",MID(TRIM(MID(SUBSTITUTE(K65,";",REPT(" ",99)),298,99)),FIND(":",TRIM(MID(SUBSTITUTE(K65,";",REPT(" ",99)),298,99)))+1,999))-1),_Lookup!$A:$B,2,FALSE),"?")&amp;"×"&amp;LEFT(MID(MID(TRIM(MID(SUBSTITUTE(K65,";",REPT(" ",99)),298,99)),FIND(":",TRIM(MID(SUBSTITUTE(K65,";",REPT(" ",99)),298,99)))+1,999),FIND(":",MID(TRIM(MID(SUBSTITUTE(K65,";",REPT(" ",99)),298,99)),FIND(":",TRIM(MID(SUBSTITUTE(K65,";",REPT(" ",99)),298,99)))+1,999))+1,999),FIND(":",MID(MID(TRIM(MID(SUBSTITUTE(K65,";",REPT(" ",99)),298,99)),FIND(":",TRIM(MID(SUBSTITUTE(K65,";",REPT(" ",99)),298,99)))+1,999),FIND(":",MID(TRIM(MID(SUBSTITUTE(K65,";",REPT(" ",99)),298,99)),FIND(":",TRIM(MID(SUBSTITUTE(K65,";",REPT(" ",99)),298,99)))+1,999))+1,999))-1)),IF(TRIM(MID(SUBSTITUTE(K65,";",REPT(" ",99)),397,99))="","",IFERROR(VLOOKUP(--LEFT(MID(TRIM(MID(SUBSTITUTE(K65,";",REPT(" ",99)),397,99)),FIND(":",TRIM(MID(SUBSTITUTE(K65,";",REPT(" ",99)),397,99)))+1,999),FIND(":",MID(TRIM(MID(SUBSTITUTE(K65,";",REPT(" ",99)),397,99)),FIND(":",TRIM(MID(SUBSTITUTE(K65,";",REPT(" ",99)),397,99)))+1,999))-1),_Lookup!$A:$B,2,FALSE),"?")&amp;"×"&amp;LEFT(MID(MID(TRIM(MID(SUBSTITUTE(K65,";",REPT(" ",99)),397,99)),FIND(":",TRIM(MID(SUBSTITUTE(K65,";",REPT(" ",99)),397,99)))+1,999),FIND(":",MID(TRIM(MID(SUBSTITUTE(K65,";",REPT(" ",99)),397,99)),FIND(":",TRIM(MID(SUBSTITUTE(K65,";",REPT(" ",99)),397,99)))+1,999))+1,999),FIND(":",MID(MID(TRIM(MID(SUBSTITUTE(K65,";",REPT(" ",99)),397,99)),FIND(":",TRIM(MID(SUBSTITUTE(K65,";",REPT(" ",99)),397,99)))+1,999),FIND(":",MID(TRIM(MID(SUBSTITUTE(K65,";",REPT(" ",99)),397,99)),FIND(":",TRIM(MID(SUBSTITUTE(K65,";",REPT(" ",99)),397,99)))+1,999))+1,999))-1))))</f>
        <v/>
      </c>
    </row>
    <row r="66">
      <c r="D66" s="11">
        <f>IFERROR(VLOOKUP(C66,ItemData_Fish!$A:$B,2,FALSE),"")</f>
        <v/>
      </c>
      <c r="L66" s="11">
        <f>IF(K66="","",TEXTJOIN("; ",TRUE,IF(TRIM(MID(SUBSTITUTE(K66,";",REPT(" ",99)),1,99))="","",IFERROR(VLOOKUP(--LEFT(MID(TRIM(MID(SUBSTITUTE(K66,";",REPT(" ",99)),1,99)),FIND(":",TRIM(MID(SUBSTITUTE(K66,";",REPT(" ",99)),1,99)))+1,999),FIND(":",MID(TRIM(MID(SUBSTITUTE(K66,";",REPT(" ",99)),1,99)),FIND(":",TRIM(MID(SUBSTITUTE(K66,";",REPT(" ",99)),1,99)))+1,999))-1),_Lookup!$A:$B,2,FALSE),"?")&amp;"×"&amp;LEFT(MID(MID(TRIM(MID(SUBSTITUTE(K66,";",REPT(" ",99)),1,99)),FIND(":",TRIM(MID(SUBSTITUTE(K66,";",REPT(" ",99)),1,99)))+1,999),FIND(":",MID(TRIM(MID(SUBSTITUTE(K66,";",REPT(" ",99)),1,99)),FIND(":",TRIM(MID(SUBSTITUTE(K66,";",REPT(" ",99)),1,99)))+1,999))+1,999),FIND(":",MID(MID(TRIM(MID(SUBSTITUTE(K66,";",REPT(" ",99)),1,99)),FIND(":",TRIM(MID(SUBSTITUTE(K66,";",REPT(" ",99)),1,99)))+1,999),FIND(":",MID(TRIM(MID(SUBSTITUTE(K66,";",REPT(" ",99)),1,99)),FIND(":",TRIM(MID(SUBSTITUTE(K66,";",REPT(" ",99)),1,99)))+1,999))+1,999))-1)),IF(TRIM(MID(SUBSTITUTE(K66,";",REPT(" ",99)),100,99))="","",IFERROR(VLOOKUP(--LEFT(MID(TRIM(MID(SUBSTITUTE(K66,";",REPT(" ",99)),100,99)),FIND(":",TRIM(MID(SUBSTITUTE(K66,";",REPT(" ",99)),100,99)))+1,999),FIND(":",MID(TRIM(MID(SUBSTITUTE(K66,";",REPT(" ",99)),100,99)),FIND(":",TRIM(MID(SUBSTITUTE(K66,";",REPT(" ",99)),100,99)))+1,999))-1),_Lookup!$A:$B,2,FALSE),"?")&amp;"×"&amp;LEFT(MID(MID(TRIM(MID(SUBSTITUTE(K66,";",REPT(" ",99)),100,99)),FIND(":",TRIM(MID(SUBSTITUTE(K66,";",REPT(" ",99)),100,99)))+1,999),FIND(":",MID(TRIM(MID(SUBSTITUTE(K66,";",REPT(" ",99)),100,99)),FIND(":",TRIM(MID(SUBSTITUTE(K66,";",REPT(" ",99)),100,99)))+1,999))+1,999),FIND(":",MID(MID(TRIM(MID(SUBSTITUTE(K66,";",REPT(" ",99)),100,99)),FIND(":",TRIM(MID(SUBSTITUTE(K66,";",REPT(" ",99)),100,99)))+1,999),FIND(":",MID(TRIM(MID(SUBSTITUTE(K66,";",REPT(" ",99)),100,99)),FIND(":",TRIM(MID(SUBSTITUTE(K66,";",REPT(" ",99)),100,99)))+1,999))+1,999))-1)),IF(TRIM(MID(SUBSTITUTE(K66,";",REPT(" ",99)),199,99))="","",IFERROR(VLOOKUP(--LEFT(MID(TRIM(MID(SUBSTITUTE(K66,";",REPT(" ",99)),199,99)),FIND(":",TRIM(MID(SUBSTITUTE(K66,";",REPT(" ",99)),199,99)))+1,999),FIND(":",MID(TRIM(MID(SUBSTITUTE(K66,";",REPT(" ",99)),199,99)),FIND(":",TRIM(MID(SUBSTITUTE(K66,";",REPT(" ",99)),199,99)))+1,999))-1),_Lookup!$A:$B,2,FALSE),"?")&amp;"×"&amp;LEFT(MID(MID(TRIM(MID(SUBSTITUTE(K66,";",REPT(" ",99)),199,99)),FIND(":",TRIM(MID(SUBSTITUTE(K66,";",REPT(" ",99)),199,99)))+1,999),FIND(":",MID(TRIM(MID(SUBSTITUTE(K66,";",REPT(" ",99)),199,99)),FIND(":",TRIM(MID(SUBSTITUTE(K66,";",REPT(" ",99)),199,99)))+1,999))+1,999),FIND(":",MID(MID(TRIM(MID(SUBSTITUTE(K66,";",REPT(" ",99)),199,99)),FIND(":",TRIM(MID(SUBSTITUTE(K66,";",REPT(" ",99)),199,99)))+1,999),FIND(":",MID(TRIM(MID(SUBSTITUTE(K66,";",REPT(" ",99)),199,99)),FIND(":",TRIM(MID(SUBSTITUTE(K66,";",REPT(" ",99)),199,99)))+1,999))+1,999))-1)),IF(TRIM(MID(SUBSTITUTE(K66,";",REPT(" ",99)),298,99))="","",IFERROR(VLOOKUP(--LEFT(MID(TRIM(MID(SUBSTITUTE(K66,";",REPT(" ",99)),298,99)),FIND(":",TRIM(MID(SUBSTITUTE(K66,";",REPT(" ",99)),298,99)))+1,999),FIND(":",MID(TRIM(MID(SUBSTITUTE(K66,";",REPT(" ",99)),298,99)),FIND(":",TRIM(MID(SUBSTITUTE(K66,";",REPT(" ",99)),298,99)))+1,999))-1),_Lookup!$A:$B,2,FALSE),"?")&amp;"×"&amp;LEFT(MID(MID(TRIM(MID(SUBSTITUTE(K66,";",REPT(" ",99)),298,99)),FIND(":",TRIM(MID(SUBSTITUTE(K66,";",REPT(" ",99)),298,99)))+1,999),FIND(":",MID(TRIM(MID(SUBSTITUTE(K66,";",REPT(" ",99)),298,99)),FIND(":",TRIM(MID(SUBSTITUTE(K66,";",REPT(" ",99)),298,99)))+1,999))+1,999),FIND(":",MID(MID(TRIM(MID(SUBSTITUTE(K66,";",REPT(" ",99)),298,99)),FIND(":",TRIM(MID(SUBSTITUTE(K66,";",REPT(" ",99)),298,99)))+1,999),FIND(":",MID(TRIM(MID(SUBSTITUTE(K66,";",REPT(" ",99)),298,99)),FIND(":",TRIM(MID(SUBSTITUTE(K66,";",REPT(" ",99)),298,99)))+1,999))+1,999))-1)),IF(TRIM(MID(SUBSTITUTE(K66,";",REPT(" ",99)),397,99))="","",IFERROR(VLOOKUP(--LEFT(MID(TRIM(MID(SUBSTITUTE(K66,";",REPT(" ",99)),397,99)),FIND(":",TRIM(MID(SUBSTITUTE(K66,";",REPT(" ",99)),397,99)))+1,999),FIND(":",MID(TRIM(MID(SUBSTITUTE(K66,";",REPT(" ",99)),397,99)),FIND(":",TRIM(MID(SUBSTITUTE(K66,";",REPT(" ",99)),397,99)))+1,999))-1),_Lookup!$A:$B,2,FALSE),"?")&amp;"×"&amp;LEFT(MID(MID(TRIM(MID(SUBSTITUTE(K66,";",REPT(" ",99)),397,99)),FIND(":",TRIM(MID(SUBSTITUTE(K66,";",REPT(" ",99)),397,99)))+1,999),FIND(":",MID(TRIM(MID(SUBSTITUTE(K66,";",REPT(" ",99)),397,99)),FIND(":",TRIM(MID(SUBSTITUTE(K66,";",REPT(" ",99)),397,99)))+1,999))+1,999),FIND(":",MID(MID(TRIM(MID(SUBSTITUTE(K66,";",REPT(" ",99)),397,99)),FIND(":",TRIM(MID(SUBSTITUTE(K66,";",REPT(" ",99)),397,99)))+1,999),FIND(":",MID(TRIM(MID(SUBSTITUTE(K66,";",REPT(" ",99)),397,99)),FIND(":",TRIM(MID(SUBSTITUTE(K66,";",REPT(" ",99)),397,99)))+1,999))+1,999))-1))))</f>
        <v/>
      </c>
    </row>
    <row r="67">
      <c r="D67" s="11">
        <f>IFERROR(VLOOKUP(C67,ItemData_Fish!$A:$B,2,FALSE),"")</f>
        <v/>
      </c>
      <c r="L67" s="11">
        <f>IF(K67="","",TEXTJOIN("; ",TRUE,IF(TRIM(MID(SUBSTITUTE(K67,";",REPT(" ",99)),1,99))="","",IFERROR(VLOOKUP(--LEFT(MID(TRIM(MID(SUBSTITUTE(K67,";",REPT(" ",99)),1,99)),FIND(":",TRIM(MID(SUBSTITUTE(K67,";",REPT(" ",99)),1,99)))+1,999),FIND(":",MID(TRIM(MID(SUBSTITUTE(K67,";",REPT(" ",99)),1,99)),FIND(":",TRIM(MID(SUBSTITUTE(K67,";",REPT(" ",99)),1,99)))+1,999))-1),_Lookup!$A:$B,2,FALSE),"?")&amp;"×"&amp;LEFT(MID(MID(TRIM(MID(SUBSTITUTE(K67,";",REPT(" ",99)),1,99)),FIND(":",TRIM(MID(SUBSTITUTE(K67,";",REPT(" ",99)),1,99)))+1,999),FIND(":",MID(TRIM(MID(SUBSTITUTE(K67,";",REPT(" ",99)),1,99)),FIND(":",TRIM(MID(SUBSTITUTE(K67,";",REPT(" ",99)),1,99)))+1,999))+1,999),FIND(":",MID(MID(TRIM(MID(SUBSTITUTE(K67,";",REPT(" ",99)),1,99)),FIND(":",TRIM(MID(SUBSTITUTE(K67,";",REPT(" ",99)),1,99)))+1,999),FIND(":",MID(TRIM(MID(SUBSTITUTE(K67,";",REPT(" ",99)),1,99)),FIND(":",TRIM(MID(SUBSTITUTE(K67,";",REPT(" ",99)),1,99)))+1,999))+1,999))-1)),IF(TRIM(MID(SUBSTITUTE(K67,";",REPT(" ",99)),100,99))="","",IFERROR(VLOOKUP(--LEFT(MID(TRIM(MID(SUBSTITUTE(K67,";",REPT(" ",99)),100,99)),FIND(":",TRIM(MID(SUBSTITUTE(K67,";",REPT(" ",99)),100,99)))+1,999),FIND(":",MID(TRIM(MID(SUBSTITUTE(K67,";",REPT(" ",99)),100,99)),FIND(":",TRIM(MID(SUBSTITUTE(K67,";",REPT(" ",99)),100,99)))+1,999))-1),_Lookup!$A:$B,2,FALSE),"?")&amp;"×"&amp;LEFT(MID(MID(TRIM(MID(SUBSTITUTE(K67,";",REPT(" ",99)),100,99)),FIND(":",TRIM(MID(SUBSTITUTE(K67,";",REPT(" ",99)),100,99)))+1,999),FIND(":",MID(TRIM(MID(SUBSTITUTE(K67,";",REPT(" ",99)),100,99)),FIND(":",TRIM(MID(SUBSTITUTE(K67,";",REPT(" ",99)),100,99)))+1,999))+1,999),FIND(":",MID(MID(TRIM(MID(SUBSTITUTE(K67,";",REPT(" ",99)),100,99)),FIND(":",TRIM(MID(SUBSTITUTE(K67,";",REPT(" ",99)),100,99)))+1,999),FIND(":",MID(TRIM(MID(SUBSTITUTE(K67,";",REPT(" ",99)),100,99)),FIND(":",TRIM(MID(SUBSTITUTE(K67,";",REPT(" ",99)),100,99)))+1,999))+1,999))-1)),IF(TRIM(MID(SUBSTITUTE(K67,";",REPT(" ",99)),199,99))="","",IFERROR(VLOOKUP(--LEFT(MID(TRIM(MID(SUBSTITUTE(K67,";",REPT(" ",99)),199,99)),FIND(":",TRIM(MID(SUBSTITUTE(K67,";",REPT(" ",99)),199,99)))+1,999),FIND(":",MID(TRIM(MID(SUBSTITUTE(K67,";",REPT(" ",99)),199,99)),FIND(":",TRIM(MID(SUBSTITUTE(K67,";",REPT(" ",99)),199,99)))+1,999))-1),_Lookup!$A:$B,2,FALSE),"?")&amp;"×"&amp;LEFT(MID(MID(TRIM(MID(SUBSTITUTE(K67,";",REPT(" ",99)),199,99)),FIND(":",TRIM(MID(SUBSTITUTE(K67,";",REPT(" ",99)),199,99)))+1,999),FIND(":",MID(TRIM(MID(SUBSTITUTE(K67,";",REPT(" ",99)),199,99)),FIND(":",TRIM(MID(SUBSTITUTE(K67,";",REPT(" ",99)),199,99)))+1,999))+1,999),FIND(":",MID(MID(TRIM(MID(SUBSTITUTE(K67,";",REPT(" ",99)),199,99)),FIND(":",TRIM(MID(SUBSTITUTE(K67,";",REPT(" ",99)),199,99)))+1,999),FIND(":",MID(TRIM(MID(SUBSTITUTE(K67,";",REPT(" ",99)),199,99)),FIND(":",TRIM(MID(SUBSTITUTE(K67,";",REPT(" ",99)),199,99)))+1,999))+1,999))-1)),IF(TRIM(MID(SUBSTITUTE(K67,";",REPT(" ",99)),298,99))="","",IFERROR(VLOOKUP(--LEFT(MID(TRIM(MID(SUBSTITUTE(K67,";",REPT(" ",99)),298,99)),FIND(":",TRIM(MID(SUBSTITUTE(K67,";",REPT(" ",99)),298,99)))+1,999),FIND(":",MID(TRIM(MID(SUBSTITUTE(K67,";",REPT(" ",99)),298,99)),FIND(":",TRIM(MID(SUBSTITUTE(K67,";",REPT(" ",99)),298,99)))+1,999))-1),_Lookup!$A:$B,2,FALSE),"?")&amp;"×"&amp;LEFT(MID(MID(TRIM(MID(SUBSTITUTE(K67,";",REPT(" ",99)),298,99)),FIND(":",TRIM(MID(SUBSTITUTE(K67,";",REPT(" ",99)),298,99)))+1,999),FIND(":",MID(TRIM(MID(SUBSTITUTE(K67,";",REPT(" ",99)),298,99)),FIND(":",TRIM(MID(SUBSTITUTE(K67,";",REPT(" ",99)),298,99)))+1,999))+1,999),FIND(":",MID(MID(TRIM(MID(SUBSTITUTE(K67,";",REPT(" ",99)),298,99)),FIND(":",TRIM(MID(SUBSTITUTE(K67,";",REPT(" ",99)),298,99)))+1,999),FIND(":",MID(TRIM(MID(SUBSTITUTE(K67,";",REPT(" ",99)),298,99)),FIND(":",TRIM(MID(SUBSTITUTE(K67,";",REPT(" ",99)),298,99)))+1,999))+1,999))-1)),IF(TRIM(MID(SUBSTITUTE(K67,";",REPT(" ",99)),397,99))="","",IFERROR(VLOOKUP(--LEFT(MID(TRIM(MID(SUBSTITUTE(K67,";",REPT(" ",99)),397,99)),FIND(":",TRIM(MID(SUBSTITUTE(K67,";",REPT(" ",99)),397,99)))+1,999),FIND(":",MID(TRIM(MID(SUBSTITUTE(K67,";",REPT(" ",99)),397,99)),FIND(":",TRIM(MID(SUBSTITUTE(K67,";",REPT(" ",99)),397,99)))+1,999))-1),_Lookup!$A:$B,2,FALSE),"?")&amp;"×"&amp;LEFT(MID(MID(TRIM(MID(SUBSTITUTE(K67,";",REPT(" ",99)),397,99)),FIND(":",TRIM(MID(SUBSTITUTE(K67,";",REPT(" ",99)),397,99)))+1,999),FIND(":",MID(TRIM(MID(SUBSTITUTE(K67,";",REPT(" ",99)),397,99)),FIND(":",TRIM(MID(SUBSTITUTE(K67,";",REPT(" ",99)),397,99)))+1,999))+1,999),FIND(":",MID(MID(TRIM(MID(SUBSTITUTE(K67,";",REPT(" ",99)),397,99)),FIND(":",TRIM(MID(SUBSTITUTE(K67,";",REPT(" ",99)),397,99)))+1,999),FIND(":",MID(TRIM(MID(SUBSTITUTE(K67,";",REPT(" ",99)),397,99)),FIND(":",TRIM(MID(SUBSTITUTE(K67,";",REPT(" ",99)),397,99)))+1,999))+1,999))-1))))</f>
        <v/>
      </c>
    </row>
    <row r="68">
      <c r="D68" s="11">
        <f>IFERROR(VLOOKUP(C68,ItemData_Fish!$A:$B,2,FALSE),"")</f>
        <v/>
      </c>
      <c r="L68" s="11">
        <f>IF(K68="","",TEXTJOIN("; ",TRUE,IF(TRIM(MID(SUBSTITUTE(K68,";",REPT(" ",99)),1,99))="","",IFERROR(VLOOKUP(--LEFT(MID(TRIM(MID(SUBSTITUTE(K68,";",REPT(" ",99)),1,99)),FIND(":",TRIM(MID(SUBSTITUTE(K68,";",REPT(" ",99)),1,99)))+1,999),FIND(":",MID(TRIM(MID(SUBSTITUTE(K68,";",REPT(" ",99)),1,99)),FIND(":",TRIM(MID(SUBSTITUTE(K68,";",REPT(" ",99)),1,99)))+1,999))-1),_Lookup!$A:$B,2,FALSE),"?")&amp;"×"&amp;LEFT(MID(MID(TRIM(MID(SUBSTITUTE(K68,";",REPT(" ",99)),1,99)),FIND(":",TRIM(MID(SUBSTITUTE(K68,";",REPT(" ",99)),1,99)))+1,999),FIND(":",MID(TRIM(MID(SUBSTITUTE(K68,";",REPT(" ",99)),1,99)),FIND(":",TRIM(MID(SUBSTITUTE(K68,";",REPT(" ",99)),1,99)))+1,999))+1,999),FIND(":",MID(MID(TRIM(MID(SUBSTITUTE(K68,";",REPT(" ",99)),1,99)),FIND(":",TRIM(MID(SUBSTITUTE(K68,";",REPT(" ",99)),1,99)))+1,999),FIND(":",MID(TRIM(MID(SUBSTITUTE(K68,";",REPT(" ",99)),1,99)),FIND(":",TRIM(MID(SUBSTITUTE(K68,";",REPT(" ",99)),1,99)))+1,999))+1,999))-1)),IF(TRIM(MID(SUBSTITUTE(K68,";",REPT(" ",99)),100,99))="","",IFERROR(VLOOKUP(--LEFT(MID(TRIM(MID(SUBSTITUTE(K68,";",REPT(" ",99)),100,99)),FIND(":",TRIM(MID(SUBSTITUTE(K68,";",REPT(" ",99)),100,99)))+1,999),FIND(":",MID(TRIM(MID(SUBSTITUTE(K68,";",REPT(" ",99)),100,99)),FIND(":",TRIM(MID(SUBSTITUTE(K68,";",REPT(" ",99)),100,99)))+1,999))-1),_Lookup!$A:$B,2,FALSE),"?")&amp;"×"&amp;LEFT(MID(MID(TRIM(MID(SUBSTITUTE(K68,";",REPT(" ",99)),100,99)),FIND(":",TRIM(MID(SUBSTITUTE(K68,";",REPT(" ",99)),100,99)))+1,999),FIND(":",MID(TRIM(MID(SUBSTITUTE(K68,";",REPT(" ",99)),100,99)),FIND(":",TRIM(MID(SUBSTITUTE(K68,";",REPT(" ",99)),100,99)))+1,999))+1,999),FIND(":",MID(MID(TRIM(MID(SUBSTITUTE(K68,";",REPT(" ",99)),100,99)),FIND(":",TRIM(MID(SUBSTITUTE(K68,";",REPT(" ",99)),100,99)))+1,999),FIND(":",MID(TRIM(MID(SUBSTITUTE(K68,";",REPT(" ",99)),100,99)),FIND(":",TRIM(MID(SUBSTITUTE(K68,";",REPT(" ",99)),100,99)))+1,999))+1,999))-1)),IF(TRIM(MID(SUBSTITUTE(K68,";",REPT(" ",99)),199,99))="","",IFERROR(VLOOKUP(--LEFT(MID(TRIM(MID(SUBSTITUTE(K68,";",REPT(" ",99)),199,99)),FIND(":",TRIM(MID(SUBSTITUTE(K68,";",REPT(" ",99)),199,99)))+1,999),FIND(":",MID(TRIM(MID(SUBSTITUTE(K68,";",REPT(" ",99)),199,99)),FIND(":",TRIM(MID(SUBSTITUTE(K68,";",REPT(" ",99)),199,99)))+1,999))-1),_Lookup!$A:$B,2,FALSE),"?")&amp;"×"&amp;LEFT(MID(MID(TRIM(MID(SUBSTITUTE(K68,";",REPT(" ",99)),199,99)),FIND(":",TRIM(MID(SUBSTITUTE(K68,";",REPT(" ",99)),199,99)))+1,999),FIND(":",MID(TRIM(MID(SUBSTITUTE(K68,";",REPT(" ",99)),199,99)),FIND(":",TRIM(MID(SUBSTITUTE(K68,";",REPT(" ",99)),199,99)))+1,999))+1,999),FIND(":",MID(MID(TRIM(MID(SUBSTITUTE(K68,";",REPT(" ",99)),199,99)),FIND(":",TRIM(MID(SUBSTITUTE(K68,";",REPT(" ",99)),199,99)))+1,999),FIND(":",MID(TRIM(MID(SUBSTITUTE(K68,";",REPT(" ",99)),199,99)),FIND(":",TRIM(MID(SUBSTITUTE(K68,";",REPT(" ",99)),199,99)))+1,999))+1,999))-1)),IF(TRIM(MID(SUBSTITUTE(K68,";",REPT(" ",99)),298,99))="","",IFERROR(VLOOKUP(--LEFT(MID(TRIM(MID(SUBSTITUTE(K68,";",REPT(" ",99)),298,99)),FIND(":",TRIM(MID(SUBSTITUTE(K68,";",REPT(" ",99)),298,99)))+1,999),FIND(":",MID(TRIM(MID(SUBSTITUTE(K68,";",REPT(" ",99)),298,99)),FIND(":",TRIM(MID(SUBSTITUTE(K68,";",REPT(" ",99)),298,99)))+1,999))-1),_Lookup!$A:$B,2,FALSE),"?")&amp;"×"&amp;LEFT(MID(MID(TRIM(MID(SUBSTITUTE(K68,";",REPT(" ",99)),298,99)),FIND(":",TRIM(MID(SUBSTITUTE(K68,";",REPT(" ",99)),298,99)))+1,999),FIND(":",MID(TRIM(MID(SUBSTITUTE(K68,";",REPT(" ",99)),298,99)),FIND(":",TRIM(MID(SUBSTITUTE(K68,";",REPT(" ",99)),298,99)))+1,999))+1,999),FIND(":",MID(MID(TRIM(MID(SUBSTITUTE(K68,";",REPT(" ",99)),298,99)),FIND(":",TRIM(MID(SUBSTITUTE(K68,";",REPT(" ",99)),298,99)))+1,999),FIND(":",MID(TRIM(MID(SUBSTITUTE(K68,";",REPT(" ",99)),298,99)),FIND(":",TRIM(MID(SUBSTITUTE(K68,";",REPT(" ",99)),298,99)))+1,999))+1,999))-1)),IF(TRIM(MID(SUBSTITUTE(K68,";",REPT(" ",99)),397,99))="","",IFERROR(VLOOKUP(--LEFT(MID(TRIM(MID(SUBSTITUTE(K68,";",REPT(" ",99)),397,99)),FIND(":",TRIM(MID(SUBSTITUTE(K68,";",REPT(" ",99)),397,99)))+1,999),FIND(":",MID(TRIM(MID(SUBSTITUTE(K68,";",REPT(" ",99)),397,99)),FIND(":",TRIM(MID(SUBSTITUTE(K68,";",REPT(" ",99)),397,99)))+1,999))-1),_Lookup!$A:$B,2,FALSE),"?")&amp;"×"&amp;LEFT(MID(MID(TRIM(MID(SUBSTITUTE(K68,";",REPT(" ",99)),397,99)),FIND(":",TRIM(MID(SUBSTITUTE(K68,";",REPT(" ",99)),397,99)))+1,999),FIND(":",MID(TRIM(MID(SUBSTITUTE(K68,";",REPT(" ",99)),397,99)),FIND(":",TRIM(MID(SUBSTITUTE(K68,";",REPT(" ",99)),397,99)))+1,999))+1,999),FIND(":",MID(MID(TRIM(MID(SUBSTITUTE(K68,";",REPT(" ",99)),397,99)),FIND(":",TRIM(MID(SUBSTITUTE(K68,";",REPT(" ",99)),397,99)))+1,999),FIND(":",MID(TRIM(MID(SUBSTITUTE(K68,";",REPT(" ",99)),397,99)),FIND(":",TRIM(MID(SUBSTITUTE(K68,";",REPT(" ",99)),397,99)))+1,999))+1,999))-1))))</f>
        <v/>
      </c>
    </row>
    <row r="69">
      <c r="D69" s="11">
        <f>IFERROR(VLOOKUP(C69,ItemData_Fish!$A:$B,2,FALSE),"")</f>
        <v/>
      </c>
      <c r="L69" s="11">
        <f>IF(K69="","",TEXTJOIN("; ",TRUE,IF(TRIM(MID(SUBSTITUTE(K69,";",REPT(" ",99)),1,99))="","",IFERROR(VLOOKUP(--LEFT(MID(TRIM(MID(SUBSTITUTE(K69,";",REPT(" ",99)),1,99)),FIND(":",TRIM(MID(SUBSTITUTE(K69,";",REPT(" ",99)),1,99)))+1,999),FIND(":",MID(TRIM(MID(SUBSTITUTE(K69,";",REPT(" ",99)),1,99)),FIND(":",TRIM(MID(SUBSTITUTE(K69,";",REPT(" ",99)),1,99)))+1,999))-1),_Lookup!$A:$B,2,FALSE),"?")&amp;"×"&amp;LEFT(MID(MID(TRIM(MID(SUBSTITUTE(K69,";",REPT(" ",99)),1,99)),FIND(":",TRIM(MID(SUBSTITUTE(K69,";",REPT(" ",99)),1,99)))+1,999),FIND(":",MID(TRIM(MID(SUBSTITUTE(K69,";",REPT(" ",99)),1,99)),FIND(":",TRIM(MID(SUBSTITUTE(K69,";",REPT(" ",99)),1,99)))+1,999))+1,999),FIND(":",MID(MID(TRIM(MID(SUBSTITUTE(K69,";",REPT(" ",99)),1,99)),FIND(":",TRIM(MID(SUBSTITUTE(K69,";",REPT(" ",99)),1,99)))+1,999),FIND(":",MID(TRIM(MID(SUBSTITUTE(K69,";",REPT(" ",99)),1,99)),FIND(":",TRIM(MID(SUBSTITUTE(K69,";",REPT(" ",99)),1,99)))+1,999))+1,999))-1)),IF(TRIM(MID(SUBSTITUTE(K69,";",REPT(" ",99)),100,99))="","",IFERROR(VLOOKUP(--LEFT(MID(TRIM(MID(SUBSTITUTE(K69,";",REPT(" ",99)),100,99)),FIND(":",TRIM(MID(SUBSTITUTE(K69,";",REPT(" ",99)),100,99)))+1,999),FIND(":",MID(TRIM(MID(SUBSTITUTE(K69,";",REPT(" ",99)),100,99)),FIND(":",TRIM(MID(SUBSTITUTE(K69,";",REPT(" ",99)),100,99)))+1,999))-1),_Lookup!$A:$B,2,FALSE),"?")&amp;"×"&amp;LEFT(MID(MID(TRIM(MID(SUBSTITUTE(K69,";",REPT(" ",99)),100,99)),FIND(":",TRIM(MID(SUBSTITUTE(K69,";",REPT(" ",99)),100,99)))+1,999),FIND(":",MID(TRIM(MID(SUBSTITUTE(K69,";",REPT(" ",99)),100,99)),FIND(":",TRIM(MID(SUBSTITUTE(K69,";",REPT(" ",99)),100,99)))+1,999))+1,999),FIND(":",MID(MID(TRIM(MID(SUBSTITUTE(K69,";",REPT(" ",99)),100,99)),FIND(":",TRIM(MID(SUBSTITUTE(K69,";",REPT(" ",99)),100,99)))+1,999),FIND(":",MID(TRIM(MID(SUBSTITUTE(K69,";",REPT(" ",99)),100,99)),FIND(":",TRIM(MID(SUBSTITUTE(K69,";",REPT(" ",99)),100,99)))+1,999))+1,999))-1)),IF(TRIM(MID(SUBSTITUTE(K69,";",REPT(" ",99)),199,99))="","",IFERROR(VLOOKUP(--LEFT(MID(TRIM(MID(SUBSTITUTE(K69,";",REPT(" ",99)),199,99)),FIND(":",TRIM(MID(SUBSTITUTE(K69,";",REPT(" ",99)),199,99)))+1,999),FIND(":",MID(TRIM(MID(SUBSTITUTE(K69,";",REPT(" ",99)),199,99)),FIND(":",TRIM(MID(SUBSTITUTE(K69,";",REPT(" ",99)),199,99)))+1,999))-1),_Lookup!$A:$B,2,FALSE),"?")&amp;"×"&amp;LEFT(MID(MID(TRIM(MID(SUBSTITUTE(K69,";",REPT(" ",99)),199,99)),FIND(":",TRIM(MID(SUBSTITUTE(K69,";",REPT(" ",99)),199,99)))+1,999),FIND(":",MID(TRIM(MID(SUBSTITUTE(K69,";",REPT(" ",99)),199,99)),FIND(":",TRIM(MID(SUBSTITUTE(K69,";",REPT(" ",99)),199,99)))+1,999))+1,999),FIND(":",MID(MID(TRIM(MID(SUBSTITUTE(K69,";",REPT(" ",99)),199,99)),FIND(":",TRIM(MID(SUBSTITUTE(K69,";",REPT(" ",99)),199,99)))+1,999),FIND(":",MID(TRIM(MID(SUBSTITUTE(K69,";",REPT(" ",99)),199,99)),FIND(":",TRIM(MID(SUBSTITUTE(K69,";",REPT(" ",99)),199,99)))+1,999))+1,999))-1)),IF(TRIM(MID(SUBSTITUTE(K69,";",REPT(" ",99)),298,99))="","",IFERROR(VLOOKUP(--LEFT(MID(TRIM(MID(SUBSTITUTE(K69,";",REPT(" ",99)),298,99)),FIND(":",TRIM(MID(SUBSTITUTE(K69,";",REPT(" ",99)),298,99)))+1,999),FIND(":",MID(TRIM(MID(SUBSTITUTE(K69,";",REPT(" ",99)),298,99)),FIND(":",TRIM(MID(SUBSTITUTE(K69,";",REPT(" ",99)),298,99)))+1,999))-1),_Lookup!$A:$B,2,FALSE),"?")&amp;"×"&amp;LEFT(MID(MID(TRIM(MID(SUBSTITUTE(K69,";",REPT(" ",99)),298,99)),FIND(":",TRIM(MID(SUBSTITUTE(K69,";",REPT(" ",99)),298,99)))+1,999),FIND(":",MID(TRIM(MID(SUBSTITUTE(K69,";",REPT(" ",99)),298,99)),FIND(":",TRIM(MID(SUBSTITUTE(K69,";",REPT(" ",99)),298,99)))+1,999))+1,999),FIND(":",MID(MID(TRIM(MID(SUBSTITUTE(K69,";",REPT(" ",99)),298,99)),FIND(":",TRIM(MID(SUBSTITUTE(K69,";",REPT(" ",99)),298,99)))+1,999),FIND(":",MID(TRIM(MID(SUBSTITUTE(K69,";",REPT(" ",99)),298,99)),FIND(":",TRIM(MID(SUBSTITUTE(K69,";",REPT(" ",99)),298,99)))+1,999))+1,999))-1)),IF(TRIM(MID(SUBSTITUTE(K69,";",REPT(" ",99)),397,99))="","",IFERROR(VLOOKUP(--LEFT(MID(TRIM(MID(SUBSTITUTE(K69,";",REPT(" ",99)),397,99)),FIND(":",TRIM(MID(SUBSTITUTE(K69,";",REPT(" ",99)),397,99)))+1,999),FIND(":",MID(TRIM(MID(SUBSTITUTE(K69,";",REPT(" ",99)),397,99)),FIND(":",TRIM(MID(SUBSTITUTE(K69,";",REPT(" ",99)),397,99)))+1,999))-1),_Lookup!$A:$B,2,FALSE),"?")&amp;"×"&amp;LEFT(MID(MID(TRIM(MID(SUBSTITUTE(K69,";",REPT(" ",99)),397,99)),FIND(":",TRIM(MID(SUBSTITUTE(K69,";",REPT(" ",99)),397,99)))+1,999),FIND(":",MID(TRIM(MID(SUBSTITUTE(K69,";",REPT(" ",99)),397,99)),FIND(":",TRIM(MID(SUBSTITUTE(K69,";",REPT(" ",99)),397,99)))+1,999))+1,999),FIND(":",MID(MID(TRIM(MID(SUBSTITUTE(K69,";",REPT(" ",99)),397,99)),FIND(":",TRIM(MID(SUBSTITUTE(K69,";",REPT(" ",99)),397,99)))+1,999),FIND(":",MID(TRIM(MID(SUBSTITUTE(K69,";",REPT(" ",99)),397,99)),FIND(":",TRIM(MID(SUBSTITUTE(K69,";",REPT(" ",99)),397,99)))+1,999))+1,999))-1))))</f>
        <v/>
      </c>
    </row>
    <row r="70">
      <c r="D70" s="11">
        <f>IFERROR(VLOOKUP(C70,ItemData_Fish!$A:$B,2,FALSE),"")</f>
        <v/>
      </c>
      <c r="L70" s="11">
        <f>IF(K70="","",TEXTJOIN("; ",TRUE,IF(TRIM(MID(SUBSTITUTE(K70,";",REPT(" ",99)),1,99))="","",IFERROR(VLOOKUP(--LEFT(MID(TRIM(MID(SUBSTITUTE(K70,";",REPT(" ",99)),1,99)),FIND(":",TRIM(MID(SUBSTITUTE(K70,";",REPT(" ",99)),1,99)))+1,999),FIND(":",MID(TRIM(MID(SUBSTITUTE(K70,";",REPT(" ",99)),1,99)),FIND(":",TRIM(MID(SUBSTITUTE(K70,";",REPT(" ",99)),1,99)))+1,999))-1),_Lookup!$A:$B,2,FALSE),"?")&amp;"×"&amp;LEFT(MID(MID(TRIM(MID(SUBSTITUTE(K70,";",REPT(" ",99)),1,99)),FIND(":",TRIM(MID(SUBSTITUTE(K70,";",REPT(" ",99)),1,99)))+1,999),FIND(":",MID(TRIM(MID(SUBSTITUTE(K70,";",REPT(" ",99)),1,99)),FIND(":",TRIM(MID(SUBSTITUTE(K70,";",REPT(" ",99)),1,99)))+1,999))+1,999),FIND(":",MID(MID(TRIM(MID(SUBSTITUTE(K70,";",REPT(" ",99)),1,99)),FIND(":",TRIM(MID(SUBSTITUTE(K70,";",REPT(" ",99)),1,99)))+1,999),FIND(":",MID(TRIM(MID(SUBSTITUTE(K70,";",REPT(" ",99)),1,99)),FIND(":",TRIM(MID(SUBSTITUTE(K70,";",REPT(" ",99)),1,99)))+1,999))+1,999))-1)),IF(TRIM(MID(SUBSTITUTE(K70,";",REPT(" ",99)),100,99))="","",IFERROR(VLOOKUP(--LEFT(MID(TRIM(MID(SUBSTITUTE(K70,";",REPT(" ",99)),100,99)),FIND(":",TRIM(MID(SUBSTITUTE(K70,";",REPT(" ",99)),100,99)))+1,999),FIND(":",MID(TRIM(MID(SUBSTITUTE(K70,";",REPT(" ",99)),100,99)),FIND(":",TRIM(MID(SUBSTITUTE(K70,";",REPT(" ",99)),100,99)))+1,999))-1),_Lookup!$A:$B,2,FALSE),"?")&amp;"×"&amp;LEFT(MID(MID(TRIM(MID(SUBSTITUTE(K70,";",REPT(" ",99)),100,99)),FIND(":",TRIM(MID(SUBSTITUTE(K70,";",REPT(" ",99)),100,99)))+1,999),FIND(":",MID(TRIM(MID(SUBSTITUTE(K70,";",REPT(" ",99)),100,99)),FIND(":",TRIM(MID(SUBSTITUTE(K70,";",REPT(" ",99)),100,99)))+1,999))+1,999),FIND(":",MID(MID(TRIM(MID(SUBSTITUTE(K70,";",REPT(" ",99)),100,99)),FIND(":",TRIM(MID(SUBSTITUTE(K70,";",REPT(" ",99)),100,99)))+1,999),FIND(":",MID(TRIM(MID(SUBSTITUTE(K70,";",REPT(" ",99)),100,99)),FIND(":",TRIM(MID(SUBSTITUTE(K70,";",REPT(" ",99)),100,99)))+1,999))+1,999))-1)),IF(TRIM(MID(SUBSTITUTE(K70,";",REPT(" ",99)),199,99))="","",IFERROR(VLOOKUP(--LEFT(MID(TRIM(MID(SUBSTITUTE(K70,";",REPT(" ",99)),199,99)),FIND(":",TRIM(MID(SUBSTITUTE(K70,";",REPT(" ",99)),199,99)))+1,999),FIND(":",MID(TRIM(MID(SUBSTITUTE(K70,";",REPT(" ",99)),199,99)),FIND(":",TRIM(MID(SUBSTITUTE(K70,";",REPT(" ",99)),199,99)))+1,999))-1),_Lookup!$A:$B,2,FALSE),"?")&amp;"×"&amp;LEFT(MID(MID(TRIM(MID(SUBSTITUTE(K70,";",REPT(" ",99)),199,99)),FIND(":",TRIM(MID(SUBSTITUTE(K70,";",REPT(" ",99)),199,99)))+1,999),FIND(":",MID(TRIM(MID(SUBSTITUTE(K70,";",REPT(" ",99)),199,99)),FIND(":",TRIM(MID(SUBSTITUTE(K70,";",REPT(" ",99)),199,99)))+1,999))+1,999),FIND(":",MID(MID(TRIM(MID(SUBSTITUTE(K70,";",REPT(" ",99)),199,99)),FIND(":",TRIM(MID(SUBSTITUTE(K70,";",REPT(" ",99)),199,99)))+1,999),FIND(":",MID(TRIM(MID(SUBSTITUTE(K70,";",REPT(" ",99)),199,99)),FIND(":",TRIM(MID(SUBSTITUTE(K70,";",REPT(" ",99)),199,99)))+1,999))+1,999))-1)),IF(TRIM(MID(SUBSTITUTE(K70,";",REPT(" ",99)),298,99))="","",IFERROR(VLOOKUP(--LEFT(MID(TRIM(MID(SUBSTITUTE(K70,";",REPT(" ",99)),298,99)),FIND(":",TRIM(MID(SUBSTITUTE(K70,";",REPT(" ",99)),298,99)))+1,999),FIND(":",MID(TRIM(MID(SUBSTITUTE(K70,";",REPT(" ",99)),298,99)),FIND(":",TRIM(MID(SUBSTITUTE(K70,";",REPT(" ",99)),298,99)))+1,999))-1),_Lookup!$A:$B,2,FALSE),"?")&amp;"×"&amp;LEFT(MID(MID(TRIM(MID(SUBSTITUTE(K70,";",REPT(" ",99)),298,99)),FIND(":",TRIM(MID(SUBSTITUTE(K70,";",REPT(" ",99)),298,99)))+1,999),FIND(":",MID(TRIM(MID(SUBSTITUTE(K70,";",REPT(" ",99)),298,99)),FIND(":",TRIM(MID(SUBSTITUTE(K70,";",REPT(" ",99)),298,99)))+1,999))+1,999),FIND(":",MID(MID(TRIM(MID(SUBSTITUTE(K70,";",REPT(" ",99)),298,99)),FIND(":",TRIM(MID(SUBSTITUTE(K70,";",REPT(" ",99)),298,99)))+1,999),FIND(":",MID(TRIM(MID(SUBSTITUTE(K70,";",REPT(" ",99)),298,99)),FIND(":",TRIM(MID(SUBSTITUTE(K70,";",REPT(" ",99)),298,99)))+1,999))+1,999))-1)),IF(TRIM(MID(SUBSTITUTE(K70,";",REPT(" ",99)),397,99))="","",IFERROR(VLOOKUP(--LEFT(MID(TRIM(MID(SUBSTITUTE(K70,";",REPT(" ",99)),397,99)),FIND(":",TRIM(MID(SUBSTITUTE(K70,";",REPT(" ",99)),397,99)))+1,999),FIND(":",MID(TRIM(MID(SUBSTITUTE(K70,";",REPT(" ",99)),397,99)),FIND(":",TRIM(MID(SUBSTITUTE(K70,";",REPT(" ",99)),397,99)))+1,999))-1),_Lookup!$A:$B,2,FALSE),"?")&amp;"×"&amp;LEFT(MID(MID(TRIM(MID(SUBSTITUTE(K70,";",REPT(" ",99)),397,99)),FIND(":",TRIM(MID(SUBSTITUTE(K70,";",REPT(" ",99)),397,99)))+1,999),FIND(":",MID(TRIM(MID(SUBSTITUTE(K70,";",REPT(" ",99)),397,99)),FIND(":",TRIM(MID(SUBSTITUTE(K70,";",REPT(" ",99)),397,99)))+1,999))+1,999),FIND(":",MID(MID(TRIM(MID(SUBSTITUTE(K70,";",REPT(" ",99)),397,99)),FIND(":",TRIM(MID(SUBSTITUTE(K70,";",REPT(" ",99)),397,99)))+1,999),FIND(":",MID(TRIM(MID(SUBSTITUTE(K70,";",REPT(" ",99)),397,99)),FIND(":",TRIM(MID(SUBSTITUTE(K70,";",REPT(" ",99)),397,99)))+1,999))+1,999))-1))))</f>
        <v/>
      </c>
    </row>
    <row r="71">
      <c r="D71" s="11">
        <f>IFERROR(VLOOKUP(C71,ItemData_Fish!$A:$B,2,FALSE),"")</f>
        <v/>
      </c>
      <c r="L71" s="11">
        <f>IF(K71="","",TEXTJOIN("; ",TRUE,IF(TRIM(MID(SUBSTITUTE(K71,";",REPT(" ",99)),1,99))="","",IFERROR(VLOOKUP(--LEFT(MID(TRIM(MID(SUBSTITUTE(K71,";",REPT(" ",99)),1,99)),FIND(":",TRIM(MID(SUBSTITUTE(K71,";",REPT(" ",99)),1,99)))+1,999),FIND(":",MID(TRIM(MID(SUBSTITUTE(K71,";",REPT(" ",99)),1,99)),FIND(":",TRIM(MID(SUBSTITUTE(K71,";",REPT(" ",99)),1,99)))+1,999))-1),_Lookup!$A:$B,2,FALSE),"?")&amp;"×"&amp;LEFT(MID(MID(TRIM(MID(SUBSTITUTE(K71,";",REPT(" ",99)),1,99)),FIND(":",TRIM(MID(SUBSTITUTE(K71,";",REPT(" ",99)),1,99)))+1,999),FIND(":",MID(TRIM(MID(SUBSTITUTE(K71,";",REPT(" ",99)),1,99)),FIND(":",TRIM(MID(SUBSTITUTE(K71,";",REPT(" ",99)),1,99)))+1,999))+1,999),FIND(":",MID(MID(TRIM(MID(SUBSTITUTE(K71,";",REPT(" ",99)),1,99)),FIND(":",TRIM(MID(SUBSTITUTE(K71,";",REPT(" ",99)),1,99)))+1,999),FIND(":",MID(TRIM(MID(SUBSTITUTE(K71,";",REPT(" ",99)),1,99)),FIND(":",TRIM(MID(SUBSTITUTE(K71,";",REPT(" ",99)),1,99)))+1,999))+1,999))-1)),IF(TRIM(MID(SUBSTITUTE(K71,";",REPT(" ",99)),100,99))="","",IFERROR(VLOOKUP(--LEFT(MID(TRIM(MID(SUBSTITUTE(K71,";",REPT(" ",99)),100,99)),FIND(":",TRIM(MID(SUBSTITUTE(K71,";",REPT(" ",99)),100,99)))+1,999),FIND(":",MID(TRIM(MID(SUBSTITUTE(K71,";",REPT(" ",99)),100,99)),FIND(":",TRIM(MID(SUBSTITUTE(K71,";",REPT(" ",99)),100,99)))+1,999))-1),_Lookup!$A:$B,2,FALSE),"?")&amp;"×"&amp;LEFT(MID(MID(TRIM(MID(SUBSTITUTE(K71,";",REPT(" ",99)),100,99)),FIND(":",TRIM(MID(SUBSTITUTE(K71,";",REPT(" ",99)),100,99)))+1,999),FIND(":",MID(TRIM(MID(SUBSTITUTE(K71,";",REPT(" ",99)),100,99)),FIND(":",TRIM(MID(SUBSTITUTE(K71,";",REPT(" ",99)),100,99)))+1,999))+1,999),FIND(":",MID(MID(TRIM(MID(SUBSTITUTE(K71,";",REPT(" ",99)),100,99)),FIND(":",TRIM(MID(SUBSTITUTE(K71,";",REPT(" ",99)),100,99)))+1,999),FIND(":",MID(TRIM(MID(SUBSTITUTE(K71,";",REPT(" ",99)),100,99)),FIND(":",TRIM(MID(SUBSTITUTE(K71,";",REPT(" ",99)),100,99)))+1,999))+1,999))-1)),IF(TRIM(MID(SUBSTITUTE(K71,";",REPT(" ",99)),199,99))="","",IFERROR(VLOOKUP(--LEFT(MID(TRIM(MID(SUBSTITUTE(K71,";",REPT(" ",99)),199,99)),FIND(":",TRIM(MID(SUBSTITUTE(K71,";",REPT(" ",99)),199,99)))+1,999),FIND(":",MID(TRIM(MID(SUBSTITUTE(K71,";",REPT(" ",99)),199,99)),FIND(":",TRIM(MID(SUBSTITUTE(K71,";",REPT(" ",99)),199,99)))+1,999))-1),_Lookup!$A:$B,2,FALSE),"?")&amp;"×"&amp;LEFT(MID(MID(TRIM(MID(SUBSTITUTE(K71,";",REPT(" ",99)),199,99)),FIND(":",TRIM(MID(SUBSTITUTE(K71,";",REPT(" ",99)),199,99)))+1,999),FIND(":",MID(TRIM(MID(SUBSTITUTE(K71,";",REPT(" ",99)),199,99)),FIND(":",TRIM(MID(SUBSTITUTE(K71,";",REPT(" ",99)),199,99)))+1,999))+1,999),FIND(":",MID(MID(TRIM(MID(SUBSTITUTE(K71,";",REPT(" ",99)),199,99)),FIND(":",TRIM(MID(SUBSTITUTE(K71,";",REPT(" ",99)),199,99)))+1,999),FIND(":",MID(TRIM(MID(SUBSTITUTE(K71,";",REPT(" ",99)),199,99)),FIND(":",TRIM(MID(SUBSTITUTE(K71,";",REPT(" ",99)),199,99)))+1,999))+1,999))-1)),IF(TRIM(MID(SUBSTITUTE(K71,";",REPT(" ",99)),298,99))="","",IFERROR(VLOOKUP(--LEFT(MID(TRIM(MID(SUBSTITUTE(K71,";",REPT(" ",99)),298,99)),FIND(":",TRIM(MID(SUBSTITUTE(K71,";",REPT(" ",99)),298,99)))+1,999),FIND(":",MID(TRIM(MID(SUBSTITUTE(K71,";",REPT(" ",99)),298,99)),FIND(":",TRIM(MID(SUBSTITUTE(K71,";",REPT(" ",99)),298,99)))+1,999))-1),_Lookup!$A:$B,2,FALSE),"?")&amp;"×"&amp;LEFT(MID(MID(TRIM(MID(SUBSTITUTE(K71,";",REPT(" ",99)),298,99)),FIND(":",TRIM(MID(SUBSTITUTE(K71,";",REPT(" ",99)),298,99)))+1,999),FIND(":",MID(TRIM(MID(SUBSTITUTE(K71,";",REPT(" ",99)),298,99)),FIND(":",TRIM(MID(SUBSTITUTE(K71,";",REPT(" ",99)),298,99)))+1,999))+1,999),FIND(":",MID(MID(TRIM(MID(SUBSTITUTE(K71,";",REPT(" ",99)),298,99)),FIND(":",TRIM(MID(SUBSTITUTE(K71,";",REPT(" ",99)),298,99)))+1,999),FIND(":",MID(TRIM(MID(SUBSTITUTE(K71,";",REPT(" ",99)),298,99)),FIND(":",TRIM(MID(SUBSTITUTE(K71,";",REPT(" ",99)),298,99)))+1,999))+1,999))-1)),IF(TRIM(MID(SUBSTITUTE(K71,";",REPT(" ",99)),397,99))="","",IFERROR(VLOOKUP(--LEFT(MID(TRIM(MID(SUBSTITUTE(K71,";",REPT(" ",99)),397,99)),FIND(":",TRIM(MID(SUBSTITUTE(K71,";",REPT(" ",99)),397,99)))+1,999),FIND(":",MID(TRIM(MID(SUBSTITUTE(K71,";",REPT(" ",99)),397,99)),FIND(":",TRIM(MID(SUBSTITUTE(K71,";",REPT(" ",99)),397,99)))+1,999))-1),_Lookup!$A:$B,2,FALSE),"?")&amp;"×"&amp;LEFT(MID(MID(TRIM(MID(SUBSTITUTE(K71,";",REPT(" ",99)),397,99)),FIND(":",TRIM(MID(SUBSTITUTE(K71,";",REPT(" ",99)),397,99)))+1,999),FIND(":",MID(TRIM(MID(SUBSTITUTE(K71,";",REPT(" ",99)),397,99)),FIND(":",TRIM(MID(SUBSTITUTE(K71,";",REPT(" ",99)),397,99)))+1,999))+1,999),FIND(":",MID(MID(TRIM(MID(SUBSTITUTE(K71,";",REPT(" ",99)),397,99)),FIND(":",TRIM(MID(SUBSTITUTE(K71,";",REPT(" ",99)),397,99)))+1,999),FIND(":",MID(TRIM(MID(SUBSTITUTE(K71,";",REPT(" ",99)),397,99)),FIND(":",TRIM(MID(SUBSTITUTE(K71,";",REPT(" ",99)),397,99)))+1,999))+1,999))-1))))</f>
        <v/>
      </c>
    </row>
    <row r="72">
      <c r="D72" s="11">
        <f>IFERROR(VLOOKUP(C72,ItemData_Fish!$A:$B,2,FALSE),"")</f>
        <v/>
      </c>
      <c r="L72" s="11">
        <f>IF(K72="","",TEXTJOIN("; ",TRUE,IF(TRIM(MID(SUBSTITUTE(K72,";",REPT(" ",99)),1,99))="","",IFERROR(VLOOKUP(--LEFT(MID(TRIM(MID(SUBSTITUTE(K72,";",REPT(" ",99)),1,99)),FIND(":",TRIM(MID(SUBSTITUTE(K72,";",REPT(" ",99)),1,99)))+1,999),FIND(":",MID(TRIM(MID(SUBSTITUTE(K72,";",REPT(" ",99)),1,99)),FIND(":",TRIM(MID(SUBSTITUTE(K72,";",REPT(" ",99)),1,99)))+1,999))-1),_Lookup!$A:$B,2,FALSE),"?")&amp;"×"&amp;LEFT(MID(MID(TRIM(MID(SUBSTITUTE(K72,";",REPT(" ",99)),1,99)),FIND(":",TRIM(MID(SUBSTITUTE(K72,";",REPT(" ",99)),1,99)))+1,999),FIND(":",MID(TRIM(MID(SUBSTITUTE(K72,";",REPT(" ",99)),1,99)),FIND(":",TRIM(MID(SUBSTITUTE(K72,";",REPT(" ",99)),1,99)))+1,999))+1,999),FIND(":",MID(MID(TRIM(MID(SUBSTITUTE(K72,";",REPT(" ",99)),1,99)),FIND(":",TRIM(MID(SUBSTITUTE(K72,";",REPT(" ",99)),1,99)))+1,999),FIND(":",MID(TRIM(MID(SUBSTITUTE(K72,";",REPT(" ",99)),1,99)),FIND(":",TRIM(MID(SUBSTITUTE(K72,";",REPT(" ",99)),1,99)))+1,999))+1,999))-1)),IF(TRIM(MID(SUBSTITUTE(K72,";",REPT(" ",99)),100,99))="","",IFERROR(VLOOKUP(--LEFT(MID(TRIM(MID(SUBSTITUTE(K72,";",REPT(" ",99)),100,99)),FIND(":",TRIM(MID(SUBSTITUTE(K72,";",REPT(" ",99)),100,99)))+1,999),FIND(":",MID(TRIM(MID(SUBSTITUTE(K72,";",REPT(" ",99)),100,99)),FIND(":",TRIM(MID(SUBSTITUTE(K72,";",REPT(" ",99)),100,99)))+1,999))-1),_Lookup!$A:$B,2,FALSE),"?")&amp;"×"&amp;LEFT(MID(MID(TRIM(MID(SUBSTITUTE(K72,";",REPT(" ",99)),100,99)),FIND(":",TRIM(MID(SUBSTITUTE(K72,";",REPT(" ",99)),100,99)))+1,999),FIND(":",MID(TRIM(MID(SUBSTITUTE(K72,";",REPT(" ",99)),100,99)),FIND(":",TRIM(MID(SUBSTITUTE(K72,";",REPT(" ",99)),100,99)))+1,999))+1,999),FIND(":",MID(MID(TRIM(MID(SUBSTITUTE(K72,";",REPT(" ",99)),100,99)),FIND(":",TRIM(MID(SUBSTITUTE(K72,";",REPT(" ",99)),100,99)))+1,999),FIND(":",MID(TRIM(MID(SUBSTITUTE(K72,";",REPT(" ",99)),100,99)),FIND(":",TRIM(MID(SUBSTITUTE(K72,";",REPT(" ",99)),100,99)))+1,999))+1,999))-1)),IF(TRIM(MID(SUBSTITUTE(K72,";",REPT(" ",99)),199,99))="","",IFERROR(VLOOKUP(--LEFT(MID(TRIM(MID(SUBSTITUTE(K72,";",REPT(" ",99)),199,99)),FIND(":",TRIM(MID(SUBSTITUTE(K72,";",REPT(" ",99)),199,99)))+1,999),FIND(":",MID(TRIM(MID(SUBSTITUTE(K72,";",REPT(" ",99)),199,99)),FIND(":",TRIM(MID(SUBSTITUTE(K72,";",REPT(" ",99)),199,99)))+1,999))-1),_Lookup!$A:$B,2,FALSE),"?")&amp;"×"&amp;LEFT(MID(MID(TRIM(MID(SUBSTITUTE(K72,";",REPT(" ",99)),199,99)),FIND(":",TRIM(MID(SUBSTITUTE(K72,";",REPT(" ",99)),199,99)))+1,999),FIND(":",MID(TRIM(MID(SUBSTITUTE(K72,";",REPT(" ",99)),199,99)),FIND(":",TRIM(MID(SUBSTITUTE(K72,";",REPT(" ",99)),199,99)))+1,999))+1,999),FIND(":",MID(MID(TRIM(MID(SUBSTITUTE(K72,";",REPT(" ",99)),199,99)),FIND(":",TRIM(MID(SUBSTITUTE(K72,";",REPT(" ",99)),199,99)))+1,999),FIND(":",MID(TRIM(MID(SUBSTITUTE(K72,";",REPT(" ",99)),199,99)),FIND(":",TRIM(MID(SUBSTITUTE(K72,";",REPT(" ",99)),199,99)))+1,999))+1,999))-1)),IF(TRIM(MID(SUBSTITUTE(K72,";",REPT(" ",99)),298,99))="","",IFERROR(VLOOKUP(--LEFT(MID(TRIM(MID(SUBSTITUTE(K72,";",REPT(" ",99)),298,99)),FIND(":",TRIM(MID(SUBSTITUTE(K72,";",REPT(" ",99)),298,99)))+1,999),FIND(":",MID(TRIM(MID(SUBSTITUTE(K72,";",REPT(" ",99)),298,99)),FIND(":",TRIM(MID(SUBSTITUTE(K72,";",REPT(" ",99)),298,99)))+1,999))-1),_Lookup!$A:$B,2,FALSE),"?")&amp;"×"&amp;LEFT(MID(MID(TRIM(MID(SUBSTITUTE(K72,";",REPT(" ",99)),298,99)),FIND(":",TRIM(MID(SUBSTITUTE(K72,";",REPT(" ",99)),298,99)))+1,999),FIND(":",MID(TRIM(MID(SUBSTITUTE(K72,";",REPT(" ",99)),298,99)),FIND(":",TRIM(MID(SUBSTITUTE(K72,";",REPT(" ",99)),298,99)))+1,999))+1,999),FIND(":",MID(MID(TRIM(MID(SUBSTITUTE(K72,";",REPT(" ",99)),298,99)),FIND(":",TRIM(MID(SUBSTITUTE(K72,";",REPT(" ",99)),298,99)))+1,999),FIND(":",MID(TRIM(MID(SUBSTITUTE(K72,";",REPT(" ",99)),298,99)),FIND(":",TRIM(MID(SUBSTITUTE(K72,";",REPT(" ",99)),298,99)))+1,999))+1,999))-1)),IF(TRIM(MID(SUBSTITUTE(K72,";",REPT(" ",99)),397,99))="","",IFERROR(VLOOKUP(--LEFT(MID(TRIM(MID(SUBSTITUTE(K72,";",REPT(" ",99)),397,99)),FIND(":",TRIM(MID(SUBSTITUTE(K72,";",REPT(" ",99)),397,99)))+1,999),FIND(":",MID(TRIM(MID(SUBSTITUTE(K72,";",REPT(" ",99)),397,99)),FIND(":",TRIM(MID(SUBSTITUTE(K72,";",REPT(" ",99)),397,99)))+1,999))-1),_Lookup!$A:$B,2,FALSE),"?")&amp;"×"&amp;LEFT(MID(MID(TRIM(MID(SUBSTITUTE(K72,";",REPT(" ",99)),397,99)),FIND(":",TRIM(MID(SUBSTITUTE(K72,";",REPT(" ",99)),397,99)))+1,999),FIND(":",MID(TRIM(MID(SUBSTITUTE(K72,";",REPT(" ",99)),397,99)),FIND(":",TRIM(MID(SUBSTITUTE(K72,";",REPT(" ",99)),397,99)))+1,999))+1,999),FIND(":",MID(MID(TRIM(MID(SUBSTITUTE(K72,";",REPT(" ",99)),397,99)),FIND(":",TRIM(MID(SUBSTITUTE(K72,";",REPT(" ",99)),397,99)))+1,999),FIND(":",MID(TRIM(MID(SUBSTITUTE(K72,";",REPT(" ",99)),397,99)),FIND(":",TRIM(MID(SUBSTITUTE(K72,";",REPT(" ",99)),397,99)))+1,999))+1,999))-1))))</f>
        <v/>
      </c>
    </row>
    <row r="73">
      <c r="D73" s="11">
        <f>IFERROR(VLOOKUP(C73,ItemData_Fish!$A:$B,2,FALSE),"")</f>
        <v/>
      </c>
      <c r="L73" s="11">
        <f>IF(K73="","",TEXTJOIN("; ",TRUE,IF(TRIM(MID(SUBSTITUTE(K73,";",REPT(" ",99)),1,99))="","",IFERROR(VLOOKUP(--LEFT(MID(TRIM(MID(SUBSTITUTE(K73,";",REPT(" ",99)),1,99)),FIND(":",TRIM(MID(SUBSTITUTE(K73,";",REPT(" ",99)),1,99)))+1,999),FIND(":",MID(TRIM(MID(SUBSTITUTE(K73,";",REPT(" ",99)),1,99)),FIND(":",TRIM(MID(SUBSTITUTE(K73,";",REPT(" ",99)),1,99)))+1,999))-1),_Lookup!$A:$B,2,FALSE),"?")&amp;"×"&amp;LEFT(MID(MID(TRIM(MID(SUBSTITUTE(K73,";",REPT(" ",99)),1,99)),FIND(":",TRIM(MID(SUBSTITUTE(K73,";",REPT(" ",99)),1,99)))+1,999),FIND(":",MID(TRIM(MID(SUBSTITUTE(K73,";",REPT(" ",99)),1,99)),FIND(":",TRIM(MID(SUBSTITUTE(K73,";",REPT(" ",99)),1,99)))+1,999))+1,999),FIND(":",MID(MID(TRIM(MID(SUBSTITUTE(K73,";",REPT(" ",99)),1,99)),FIND(":",TRIM(MID(SUBSTITUTE(K73,";",REPT(" ",99)),1,99)))+1,999),FIND(":",MID(TRIM(MID(SUBSTITUTE(K73,";",REPT(" ",99)),1,99)),FIND(":",TRIM(MID(SUBSTITUTE(K73,";",REPT(" ",99)),1,99)))+1,999))+1,999))-1)),IF(TRIM(MID(SUBSTITUTE(K73,";",REPT(" ",99)),100,99))="","",IFERROR(VLOOKUP(--LEFT(MID(TRIM(MID(SUBSTITUTE(K73,";",REPT(" ",99)),100,99)),FIND(":",TRIM(MID(SUBSTITUTE(K73,";",REPT(" ",99)),100,99)))+1,999),FIND(":",MID(TRIM(MID(SUBSTITUTE(K73,";",REPT(" ",99)),100,99)),FIND(":",TRIM(MID(SUBSTITUTE(K73,";",REPT(" ",99)),100,99)))+1,999))-1),_Lookup!$A:$B,2,FALSE),"?")&amp;"×"&amp;LEFT(MID(MID(TRIM(MID(SUBSTITUTE(K73,";",REPT(" ",99)),100,99)),FIND(":",TRIM(MID(SUBSTITUTE(K73,";",REPT(" ",99)),100,99)))+1,999),FIND(":",MID(TRIM(MID(SUBSTITUTE(K73,";",REPT(" ",99)),100,99)),FIND(":",TRIM(MID(SUBSTITUTE(K73,";",REPT(" ",99)),100,99)))+1,999))+1,999),FIND(":",MID(MID(TRIM(MID(SUBSTITUTE(K73,";",REPT(" ",99)),100,99)),FIND(":",TRIM(MID(SUBSTITUTE(K73,";",REPT(" ",99)),100,99)))+1,999),FIND(":",MID(TRIM(MID(SUBSTITUTE(K73,";",REPT(" ",99)),100,99)),FIND(":",TRIM(MID(SUBSTITUTE(K73,";",REPT(" ",99)),100,99)))+1,999))+1,999))-1)),IF(TRIM(MID(SUBSTITUTE(K73,";",REPT(" ",99)),199,99))="","",IFERROR(VLOOKUP(--LEFT(MID(TRIM(MID(SUBSTITUTE(K73,";",REPT(" ",99)),199,99)),FIND(":",TRIM(MID(SUBSTITUTE(K73,";",REPT(" ",99)),199,99)))+1,999),FIND(":",MID(TRIM(MID(SUBSTITUTE(K73,";",REPT(" ",99)),199,99)),FIND(":",TRIM(MID(SUBSTITUTE(K73,";",REPT(" ",99)),199,99)))+1,999))-1),_Lookup!$A:$B,2,FALSE),"?")&amp;"×"&amp;LEFT(MID(MID(TRIM(MID(SUBSTITUTE(K73,";",REPT(" ",99)),199,99)),FIND(":",TRIM(MID(SUBSTITUTE(K73,";",REPT(" ",99)),199,99)))+1,999),FIND(":",MID(TRIM(MID(SUBSTITUTE(K73,";",REPT(" ",99)),199,99)),FIND(":",TRIM(MID(SUBSTITUTE(K73,";",REPT(" ",99)),199,99)))+1,999))+1,999),FIND(":",MID(MID(TRIM(MID(SUBSTITUTE(K73,";",REPT(" ",99)),199,99)),FIND(":",TRIM(MID(SUBSTITUTE(K73,";",REPT(" ",99)),199,99)))+1,999),FIND(":",MID(TRIM(MID(SUBSTITUTE(K73,";",REPT(" ",99)),199,99)),FIND(":",TRIM(MID(SUBSTITUTE(K73,";",REPT(" ",99)),199,99)))+1,999))+1,999))-1)),IF(TRIM(MID(SUBSTITUTE(K73,";",REPT(" ",99)),298,99))="","",IFERROR(VLOOKUP(--LEFT(MID(TRIM(MID(SUBSTITUTE(K73,";",REPT(" ",99)),298,99)),FIND(":",TRIM(MID(SUBSTITUTE(K73,";",REPT(" ",99)),298,99)))+1,999),FIND(":",MID(TRIM(MID(SUBSTITUTE(K73,";",REPT(" ",99)),298,99)),FIND(":",TRIM(MID(SUBSTITUTE(K73,";",REPT(" ",99)),298,99)))+1,999))-1),_Lookup!$A:$B,2,FALSE),"?")&amp;"×"&amp;LEFT(MID(MID(TRIM(MID(SUBSTITUTE(K73,";",REPT(" ",99)),298,99)),FIND(":",TRIM(MID(SUBSTITUTE(K73,";",REPT(" ",99)),298,99)))+1,999),FIND(":",MID(TRIM(MID(SUBSTITUTE(K73,";",REPT(" ",99)),298,99)),FIND(":",TRIM(MID(SUBSTITUTE(K73,";",REPT(" ",99)),298,99)))+1,999))+1,999),FIND(":",MID(MID(TRIM(MID(SUBSTITUTE(K73,";",REPT(" ",99)),298,99)),FIND(":",TRIM(MID(SUBSTITUTE(K73,";",REPT(" ",99)),298,99)))+1,999),FIND(":",MID(TRIM(MID(SUBSTITUTE(K73,";",REPT(" ",99)),298,99)),FIND(":",TRIM(MID(SUBSTITUTE(K73,";",REPT(" ",99)),298,99)))+1,999))+1,999))-1)),IF(TRIM(MID(SUBSTITUTE(K73,";",REPT(" ",99)),397,99))="","",IFERROR(VLOOKUP(--LEFT(MID(TRIM(MID(SUBSTITUTE(K73,";",REPT(" ",99)),397,99)),FIND(":",TRIM(MID(SUBSTITUTE(K73,";",REPT(" ",99)),397,99)))+1,999),FIND(":",MID(TRIM(MID(SUBSTITUTE(K73,";",REPT(" ",99)),397,99)),FIND(":",TRIM(MID(SUBSTITUTE(K73,";",REPT(" ",99)),397,99)))+1,999))-1),_Lookup!$A:$B,2,FALSE),"?")&amp;"×"&amp;LEFT(MID(MID(TRIM(MID(SUBSTITUTE(K73,";",REPT(" ",99)),397,99)),FIND(":",TRIM(MID(SUBSTITUTE(K73,";",REPT(" ",99)),397,99)))+1,999),FIND(":",MID(TRIM(MID(SUBSTITUTE(K73,";",REPT(" ",99)),397,99)),FIND(":",TRIM(MID(SUBSTITUTE(K73,";",REPT(" ",99)),397,99)))+1,999))+1,999),FIND(":",MID(MID(TRIM(MID(SUBSTITUTE(K73,";",REPT(" ",99)),397,99)),FIND(":",TRIM(MID(SUBSTITUTE(K73,";",REPT(" ",99)),397,99)))+1,999),FIND(":",MID(TRIM(MID(SUBSTITUTE(K73,";",REPT(" ",99)),397,99)),FIND(":",TRIM(MID(SUBSTITUTE(K73,";",REPT(" ",99)),397,99)))+1,999))+1,999))-1))))</f>
        <v/>
      </c>
    </row>
    <row r="74">
      <c r="D74" s="11">
        <f>IFERROR(VLOOKUP(C74,ItemData_Fish!$A:$B,2,FALSE),"")</f>
        <v/>
      </c>
      <c r="L74" s="11">
        <f>IF(K74="","",TEXTJOIN("; ",TRUE,IF(TRIM(MID(SUBSTITUTE(K74,";",REPT(" ",99)),1,99))="","",IFERROR(VLOOKUP(--LEFT(MID(TRIM(MID(SUBSTITUTE(K74,";",REPT(" ",99)),1,99)),FIND(":",TRIM(MID(SUBSTITUTE(K74,";",REPT(" ",99)),1,99)))+1,999),FIND(":",MID(TRIM(MID(SUBSTITUTE(K74,";",REPT(" ",99)),1,99)),FIND(":",TRIM(MID(SUBSTITUTE(K74,";",REPT(" ",99)),1,99)))+1,999))-1),_Lookup!$A:$B,2,FALSE),"?")&amp;"×"&amp;LEFT(MID(MID(TRIM(MID(SUBSTITUTE(K74,";",REPT(" ",99)),1,99)),FIND(":",TRIM(MID(SUBSTITUTE(K74,";",REPT(" ",99)),1,99)))+1,999),FIND(":",MID(TRIM(MID(SUBSTITUTE(K74,";",REPT(" ",99)),1,99)),FIND(":",TRIM(MID(SUBSTITUTE(K74,";",REPT(" ",99)),1,99)))+1,999))+1,999),FIND(":",MID(MID(TRIM(MID(SUBSTITUTE(K74,";",REPT(" ",99)),1,99)),FIND(":",TRIM(MID(SUBSTITUTE(K74,";",REPT(" ",99)),1,99)))+1,999),FIND(":",MID(TRIM(MID(SUBSTITUTE(K74,";",REPT(" ",99)),1,99)),FIND(":",TRIM(MID(SUBSTITUTE(K74,";",REPT(" ",99)),1,99)))+1,999))+1,999))-1)),IF(TRIM(MID(SUBSTITUTE(K74,";",REPT(" ",99)),100,99))="","",IFERROR(VLOOKUP(--LEFT(MID(TRIM(MID(SUBSTITUTE(K74,";",REPT(" ",99)),100,99)),FIND(":",TRIM(MID(SUBSTITUTE(K74,";",REPT(" ",99)),100,99)))+1,999),FIND(":",MID(TRIM(MID(SUBSTITUTE(K74,";",REPT(" ",99)),100,99)),FIND(":",TRIM(MID(SUBSTITUTE(K74,";",REPT(" ",99)),100,99)))+1,999))-1),_Lookup!$A:$B,2,FALSE),"?")&amp;"×"&amp;LEFT(MID(MID(TRIM(MID(SUBSTITUTE(K74,";",REPT(" ",99)),100,99)),FIND(":",TRIM(MID(SUBSTITUTE(K74,";",REPT(" ",99)),100,99)))+1,999),FIND(":",MID(TRIM(MID(SUBSTITUTE(K74,";",REPT(" ",99)),100,99)),FIND(":",TRIM(MID(SUBSTITUTE(K74,";",REPT(" ",99)),100,99)))+1,999))+1,999),FIND(":",MID(MID(TRIM(MID(SUBSTITUTE(K74,";",REPT(" ",99)),100,99)),FIND(":",TRIM(MID(SUBSTITUTE(K74,";",REPT(" ",99)),100,99)))+1,999),FIND(":",MID(TRIM(MID(SUBSTITUTE(K74,";",REPT(" ",99)),100,99)),FIND(":",TRIM(MID(SUBSTITUTE(K74,";",REPT(" ",99)),100,99)))+1,999))+1,999))-1)),IF(TRIM(MID(SUBSTITUTE(K74,";",REPT(" ",99)),199,99))="","",IFERROR(VLOOKUP(--LEFT(MID(TRIM(MID(SUBSTITUTE(K74,";",REPT(" ",99)),199,99)),FIND(":",TRIM(MID(SUBSTITUTE(K74,";",REPT(" ",99)),199,99)))+1,999),FIND(":",MID(TRIM(MID(SUBSTITUTE(K74,";",REPT(" ",99)),199,99)),FIND(":",TRIM(MID(SUBSTITUTE(K74,";",REPT(" ",99)),199,99)))+1,999))-1),_Lookup!$A:$B,2,FALSE),"?")&amp;"×"&amp;LEFT(MID(MID(TRIM(MID(SUBSTITUTE(K74,";",REPT(" ",99)),199,99)),FIND(":",TRIM(MID(SUBSTITUTE(K74,";",REPT(" ",99)),199,99)))+1,999),FIND(":",MID(TRIM(MID(SUBSTITUTE(K74,";",REPT(" ",99)),199,99)),FIND(":",TRIM(MID(SUBSTITUTE(K74,";",REPT(" ",99)),199,99)))+1,999))+1,999),FIND(":",MID(MID(TRIM(MID(SUBSTITUTE(K74,";",REPT(" ",99)),199,99)),FIND(":",TRIM(MID(SUBSTITUTE(K74,";",REPT(" ",99)),199,99)))+1,999),FIND(":",MID(TRIM(MID(SUBSTITUTE(K74,";",REPT(" ",99)),199,99)),FIND(":",TRIM(MID(SUBSTITUTE(K74,";",REPT(" ",99)),199,99)))+1,999))+1,999))-1)),IF(TRIM(MID(SUBSTITUTE(K74,";",REPT(" ",99)),298,99))="","",IFERROR(VLOOKUP(--LEFT(MID(TRIM(MID(SUBSTITUTE(K74,";",REPT(" ",99)),298,99)),FIND(":",TRIM(MID(SUBSTITUTE(K74,";",REPT(" ",99)),298,99)))+1,999),FIND(":",MID(TRIM(MID(SUBSTITUTE(K74,";",REPT(" ",99)),298,99)),FIND(":",TRIM(MID(SUBSTITUTE(K74,";",REPT(" ",99)),298,99)))+1,999))-1),_Lookup!$A:$B,2,FALSE),"?")&amp;"×"&amp;LEFT(MID(MID(TRIM(MID(SUBSTITUTE(K74,";",REPT(" ",99)),298,99)),FIND(":",TRIM(MID(SUBSTITUTE(K74,";",REPT(" ",99)),298,99)))+1,999),FIND(":",MID(TRIM(MID(SUBSTITUTE(K74,";",REPT(" ",99)),298,99)),FIND(":",TRIM(MID(SUBSTITUTE(K74,";",REPT(" ",99)),298,99)))+1,999))+1,999),FIND(":",MID(MID(TRIM(MID(SUBSTITUTE(K74,";",REPT(" ",99)),298,99)),FIND(":",TRIM(MID(SUBSTITUTE(K74,";",REPT(" ",99)),298,99)))+1,999),FIND(":",MID(TRIM(MID(SUBSTITUTE(K74,";",REPT(" ",99)),298,99)),FIND(":",TRIM(MID(SUBSTITUTE(K74,";",REPT(" ",99)),298,99)))+1,999))+1,999))-1)),IF(TRIM(MID(SUBSTITUTE(K74,";",REPT(" ",99)),397,99))="","",IFERROR(VLOOKUP(--LEFT(MID(TRIM(MID(SUBSTITUTE(K74,";",REPT(" ",99)),397,99)),FIND(":",TRIM(MID(SUBSTITUTE(K74,";",REPT(" ",99)),397,99)))+1,999),FIND(":",MID(TRIM(MID(SUBSTITUTE(K74,";",REPT(" ",99)),397,99)),FIND(":",TRIM(MID(SUBSTITUTE(K74,";",REPT(" ",99)),397,99)))+1,999))-1),_Lookup!$A:$B,2,FALSE),"?")&amp;"×"&amp;LEFT(MID(MID(TRIM(MID(SUBSTITUTE(K74,";",REPT(" ",99)),397,99)),FIND(":",TRIM(MID(SUBSTITUTE(K74,";",REPT(" ",99)),397,99)))+1,999),FIND(":",MID(TRIM(MID(SUBSTITUTE(K74,";",REPT(" ",99)),397,99)),FIND(":",TRIM(MID(SUBSTITUTE(K74,";",REPT(" ",99)),397,99)))+1,999))+1,999),FIND(":",MID(MID(TRIM(MID(SUBSTITUTE(K74,";",REPT(" ",99)),397,99)),FIND(":",TRIM(MID(SUBSTITUTE(K74,";",REPT(" ",99)),397,99)))+1,999),FIND(":",MID(TRIM(MID(SUBSTITUTE(K74,";",REPT(" ",99)),397,99)),FIND(":",TRIM(MID(SUBSTITUTE(K74,";",REPT(" ",99)),397,99)))+1,999))+1,999))-1))))</f>
        <v/>
      </c>
    </row>
    <row r="75">
      <c r="D75" s="11">
        <f>IFERROR(VLOOKUP(C75,ItemData_Fish!$A:$B,2,FALSE),"")</f>
        <v/>
      </c>
      <c r="L75" s="11">
        <f>IF(K75="","",TEXTJOIN("; ",TRUE,IF(TRIM(MID(SUBSTITUTE(K75,";",REPT(" ",99)),1,99))="","",IFERROR(VLOOKUP(--LEFT(MID(TRIM(MID(SUBSTITUTE(K75,";",REPT(" ",99)),1,99)),FIND(":",TRIM(MID(SUBSTITUTE(K75,";",REPT(" ",99)),1,99)))+1,999),FIND(":",MID(TRIM(MID(SUBSTITUTE(K75,";",REPT(" ",99)),1,99)),FIND(":",TRIM(MID(SUBSTITUTE(K75,";",REPT(" ",99)),1,99)))+1,999))-1),_Lookup!$A:$B,2,FALSE),"?")&amp;"×"&amp;LEFT(MID(MID(TRIM(MID(SUBSTITUTE(K75,";",REPT(" ",99)),1,99)),FIND(":",TRIM(MID(SUBSTITUTE(K75,";",REPT(" ",99)),1,99)))+1,999),FIND(":",MID(TRIM(MID(SUBSTITUTE(K75,";",REPT(" ",99)),1,99)),FIND(":",TRIM(MID(SUBSTITUTE(K75,";",REPT(" ",99)),1,99)))+1,999))+1,999),FIND(":",MID(MID(TRIM(MID(SUBSTITUTE(K75,";",REPT(" ",99)),1,99)),FIND(":",TRIM(MID(SUBSTITUTE(K75,";",REPT(" ",99)),1,99)))+1,999),FIND(":",MID(TRIM(MID(SUBSTITUTE(K75,";",REPT(" ",99)),1,99)),FIND(":",TRIM(MID(SUBSTITUTE(K75,";",REPT(" ",99)),1,99)))+1,999))+1,999))-1)),IF(TRIM(MID(SUBSTITUTE(K75,";",REPT(" ",99)),100,99))="","",IFERROR(VLOOKUP(--LEFT(MID(TRIM(MID(SUBSTITUTE(K75,";",REPT(" ",99)),100,99)),FIND(":",TRIM(MID(SUBSTITUTE(K75,";",REPT(" ",99)),100,99)))+1,999),FIND(":",MID(TRIM(MID(SUBSTITUTE(K75,";",REPT(" ",99)),100,99)),FIND(":",TRIM(MID(SUBSTITUTE(K75,";",REPT(" ",99)),100,99)))+1,999))-1),_Lookup!$A:$B,2,FALSE),"?")&amp;"×"&amp;LEFT(MID(MID(TRIM(MID(SUBSTITUTE(K75,";",REPT(" ",99)),100,99)),FIND(":",TRIM(MID(SUBSTITUTE(K75,";",REPT(" ",99)),100,99)))+1,999),FIND(":",MID(TRIM(MID(SUBSTITUTE(K75,";",REPT(" ",99)),100,99)),FIND(":",TRIM(MID(SUBSTITUTE(K75,";",REPT(" ",99)),100,99)))+1,999))+1,999),FIND(":",MID(MID(TRIM(MID(SUBSTITUTE(K75,";",REPT(" ",99)),100,99)),FIND(":",TRIM(MID(SUBSTITUTE(K75,";",REPT(" ",99)),100,99)))+1,999),FIND(":",MID(TRIM(MID(SUBSTITUTE(K75,";",REPT(" ",99)),100,99)),FIND(":",TRIM(MID(SUBSTITUTE(K75,";",REPT(" ",99)),100,99)))+1,999))+1,999))-1)),IF(TRIM(MID(SUBSTITUTE(K75,";",REPT(" ",99)),199,99))="","",IFERROR(VLOOKUP(--LEFT(MID(TRIM(MID(SUBSTITUTE(K75,";",REPT(" ",99)),199,99)),FIND(":",TRIM(MID(SUBSTITUTE(K75,";",REPT(" ",99)),199,99)))+1,999),FIND(":",MID(TRIM(MID(SUBSTITUTE(K75,";",REPT(" ",99)),199,99)),FIND(":",TRIM(MID(SUBSTITUTE(K75,";",REPT(" ",99)),199,99)))+1,999))-1),_Lookup!$A:$B,2,FALSE),"?")&amp;"×"&amp;LEFT(MID(MID(TRIM(MID(SUBSTITUTE(K75,";",REPT(" ",99)),199,99)),FIND(":",TRIM(MID(SUBSTITUTE(K75,";",REPT(" ",99)),199,99)))+1,999),FIND(":",MID(TRIM(MID(SUBSTITUTE(K75,";",REPT(" ",99)),199,99)),FIND(":",TRIM(MID(SUBSTITUTE(K75,";",REPT(" ",99)),199,99)))+1,999))+1,999),FIND(":",MID(MID(TRIM(MID(SUBSTITUTE(K75,";",REPT(" ",99)),199,99)),FIND(":",TRIM(MID(SUBSTITUTE(K75,";",REPT(" ",99)),199,99)))+1,999),FIND(":",MID(TRIM(MID(SUBSTITUTE(K75,";",REPT(" ",99)),199,99)),FIND(":",TRIM(MID(SUBSTITUTE(K75,";",REPT(" ",99)),199,99)))+1,999))+1,999))-1)),IF(TRIM(MID(SUBSTITUTE(K75,";",REPT(" ",99)),298,99))="","",IFERROR(VLOOKUP(--LEFT(MID(TRIM(MID(SUBSTITUTE(K75,";",REPT(" ",99)),298,99)),FIND(":",TRIM(MID(SUBSTITUTE(K75,";",REPT(" ",99)),298,99)))+1,999),FIND(":",MID(TRIM(MID(SUBSTITUTE(K75,";",REPT(" ",99)),298,99)),FIND(":",TRIM(MID(SUBSTITUTE(K75,";",REPT(" ",99)),298,99)))+1,999))-1),_Lookup!$A:$B,2,FALSE),"?")&amp;"×"&amp;LEFT(MID(MID(TRIM(MID(SUBSTITUTE(K75,";",REPT(" ",99)),298,99)),FIND(":",TRIM(MID(SUBSTITUTE(K75,";",REPT(" ",99)),298,99)))+1,999),FIND(":",MID(TRIM(MID(SUBSTITUTE(K75,";",REPT(" ",99)),298,99)),FIND(":",TRIM(MID(SUBSTITUTE(K75,";",REPT(" ",99)),298,99)))+1,999))+1,999),FIND(":",MID(MID(TRIM(MID(SUBSTITUTE(K75,";",REPT(" ",99)),298,99)),FIND(":",TRIM(MID(SUBSTITUTE(K75,";",REPT(" ",99)),298,99)))+1,999),FIND(":",MID(TRIM(MID(SUBSTITUTE(K75,";",REPT(" ",99)),298,99)),FIND(":",TRIM(MID(SUBSTITUTE(K75,";",REPT(" ",99)),298,99)))+1,999))+1,999))-1)),IF(TRIM(MID(SUBSTITUTE(K75,";",REPT(" ",99)),397,99))="","",IFERROR(VLOOKUP(--LEFT(MID(TRIM(MID(SUBSTITUTE(K75,";",REPT(" ",99)),397,99)),FIND(":",TRIM(MID(SUBSTITUTE(K75,";",REPT(" ",99)),397,99)))+1,999),FIND(":",MID(TRIM(MID(SUBSTITUTE(K75,";",REPT(" ",99)),397,99)),FIND(":",TRIM(MID(SUBSTITUTE(K75,";",REPT(" ",99)),397,99)))+1,999))-1),_Lookup!$A:$B,2,FALSE),"?")&amp;"×"&amp;LEFT(MID(MID(TRIM(MID(SUBSTITUTE(K75,";",REPT(" ",99)),397,99)),FIND(":",TRIM(MID(SUBSTITUTE(K75,";",REPT(" ",99)),397,99)))+1,999),FIND(":",MID(TRIM(MID(SUBSTITUTE(K75,";",REPT(" ",99)),397,99)),FIND(":",TRIM(MID(SUBSTITUTE(K75,";",REPT(" ",99)),397,99)))+1,999))+1,999),FIND(":",MID(MID(TRIM(MID(SUBSTITUTE(K75,";",REPT(" ",99)),397,99)),FIND(":",TRIM(MID(SUBSTITUTE(K75,";",REPT(" ",99)),397,99)))+1,999),FIND(":",MID(TRIM(MID(SUBSTITUTE(K75,";",REPT(" ",99)),397,99)),FIND(":",TRIM(MID(SUBSTITUTE(K75,";",REPT(" ",99)),397,99)))+1,999))+1,999))-1))))</f>
        <v/>
      </c>
    </row>
    <row r="76">
      <c r="D76" s="11">
        <f>IFERROR(VLOOKUP(C76,ItemData_Fish!$A:$B,2,FALSE),"")</f>
        <v/>
      </c>
      <c r="L76" s="11">
        <f>IF(K76="","",TEXTJOIN("; ",TRUE,IF(TRIM(MID(SUBSTITUTE(K76,";",REPT(" ",99)),1,99))="","",IFERROR(VLOOKUP(--LEFT(MID(TRIM(MID(SUBSTITUTE(K76,";",REPT(" ",99)),1,99)),FIND(":",TRIM(MID(SUBSTITUTE(K76,";",REPT(" ",99)),1,99)))+1,999),FIND(":",MID(TRIM(MID(SUBSTITUTE(K76,";",REPT(" ",99)),1,99)),FIND(":",TRIM(MID(SUBSTITUTE(K76,";",REPT(" ",99)),1,99)))+1,999))-1),_Lookup!$A:$B,2,FALSE),"?")&amp;"×"&amp;LEFT(MID(MID(TRIM(MID(SUBSTITUTE(K76,";",REPT(" ",99)),1,99)),FIND(":",TRIM(MID(SUBSTITUTE(K76,";",REPT(" ",99)),1,99)))+1,999),FIND(":",MID(TRIM(MID(SUBSTITUTE(K76,";",REPT(" ",99)),1,99)),FIND(":",TRIM(MID(SUBSTITUTE(K76,";",REPT(" ",99)),1,99)))+1,999))+1,999),FIND(":",MID(MID(TRIM(MID(SUBSTITUTE(K76,";",REPT(" ",99)),1,99)),FIND(":",TRIM(MID(SUBSTITUTE(K76,";",REPT(" ",99)),1,99)))+1,999),FIND(":",MID(TRIM(MID(SUBSTITUTE(K76,";",REPT(" ",99)),1,99)),FIND(":",TRIM(MID(SUBSTITUTE(K76,";",REPT(" ",99)),1,99)))+1,999))+1,999))-1)),IF(TRIM(MID(SUBSTITUTE(K76,";",REPT(" ",99)),100,99))="","",IFERROR(VLOOKUP(--LEFT(MID(TRIM(MID(SUBSTITUTE(K76,";",REPT(" ",99)),100,99)),FIND(":",TRIM(MID(SUBSTITUTE(K76,";",REPT(" ",99)),100,99)))+1,999),FIND(":",MID(TRIM(MID(SUBSTITUTE(K76,";",REPT(" ",99)),100,99)),FIND(":",TRIM(MID(SUBSTITUTE(K76,";",REPT(" ",99)),100,99)))+1,999))-1),_Lookup!$A:$B,2,FALSE),"?")&amp;"×"&amp;LEFT(MID(MID(TRIM(MID(SUBSTITUTE(K76,";",REPT(" ",99)),100,99)),FIND(":",TRIM(MID(SUBSTITUTE(K76,";",REPT(" ",99)),100,99)))+1,999),FIND(":",MID(TRIM(MID(SUBSTITUTE(K76,";",REPT(" ",99)),100,99)),FIND(":",TRIM(MID(SUBSTITUTE(K76,";",REPT(" ",99)),100,99)))+1,999))+1,999),FIND(":",MID(MID(TRIM(MID(SUBSTITUTE(K76,";",REPT(" ",99)),100,99)),FIND(":",TRIM(MID(SUBSTITUTE(K76,";",REPT(" ",99)),100,99)))+1,999),FIND(":",MID(TRIM(MID(SUBSTITUTE(K76,";",REPT(" ",99)),100,99)),FIND(":",TRIM(MID(SUBSTITUTE(K76,";",REPT(" ",99)),100,99)))+1,999))+1,999))-1)),IF(TRIM(MID(SUBSTITUTE(K76,";",REPT(" ",99)),199,99))="","",IFERROR(VLOOKUP(--LEFT(MID(TRIM(MID(SUBSTITUTE(K76,";",REPT(" ",99)),199,99)),FIND(":",TRIM(MID(SUBSTITUTE(K76,";",REPT(" ",99)),199,99)))+1,999),FIND(":",MID(TRIM(MID(SUBSTITUTE(K76,";",REPT(" ",99)),199,99)),FIND(":",TRIM(MID(SUBSTITUTE(K76,";",REPT(" ",99)),199,99)))+1,999))-1),_Lookup!$A:$B,2,FALSE),"?")&amp;"×"&amp;LEFT(MID(MID(TRIM(MID(SUBSTITUTE(K76,";",REPT(" ",99)),199,99)),FIND(":",TRIM(MID(SUBSTITUTE(K76,";",REPT(" ",99)),199,99)))+1,999),FIND(":",MID(TRIM(MID(SUBSTITUTE(K76,";",REPT(" ",99)),199,99)),FIND(":",TRIM(MID(SUBSTITUTE(K76,";",REPT(" ",99)),199,99)))+1,999))+1,999),FIND(":",MID(MID(TRIM(MID(SUBSTITUTE(K76,";",REPT(" ",99)),199,99)),FIND(":",TRIM(MID(SUBSTITUTE(K76,";",REPT(" ",99)),199,99)))+1,999),FIND(":",MID(TRIM(MID(SUBSTITUTE(K76,";",REPT(" ",99)),199,99)),FIND(":",TRIM(MID(SUBSTITUTE(K76,";",REPT(" ",99)),199,99)))+1,999))+1,999))-1)),IF(TRIM(MID(SUBSTITUTE(K76,";",REPT(" ",99)),298,99))="","",IFERROR(VLOOKUP(--LEFT(MID(TRIM(MID(SUBSTITUTE(K76,";",REPT(" ",99)),298,99)),FIND(":",TRIM(MID(SUBSTITUTE(K76,";",REPT(" ",99)),298,99)))+1,999),FIND(":",MID(TRIM(MID(SUBSTITUTE(K76,";",REPT(" ",99)),298,99)),FIND(":",TRIM(MID(SUBSTITUTE(K76,";",REPT(" ",99)),298,99)))+1,999))-1),_Lookup!$A:$B,2,FALSE),"?")&amp;"×"&amp;LEFT(MID(MID(TRIM(MID(SUBSTITUTE(K76,";",REPT(" ",99)),298,99)),FIND(":",TRIM(MID(SUBSTITUTE(K76,";",REPT(" ",99)),298,99)))+1,999),FIND(":",MID(TRIM(MID(SUBSTITUTE(K76,";",REPT(" ",99)),298,99)),FIND(":",TRIM(MID(SUBSTITUTE(K76,";",REPT(" ",99)),298,99)))+1,999))+1,999),FIND(":",MID(MID(TRIM(MID(SUBSTITUTE(K76,";",REPT(" ",99)),298,99)),FIND(":",TRIM(MID(SUBSTITUTE(K76,";",REPT(" ",99)),298,99)))+1,999),FIND(":",MID(TRIM(MID(SUBSTITUTE(K76,";",REPT(" ",99)),298,99)),FIND(":",TRIM(MID(SUBSTITUTE(K76,";",REPT(" ",99)),298,99)))+1,999))+1,999))-1)),IF(TRIM(MID(SUBSTITUTE(K76,";",REPT(" ",99)),397,99))="","",IFERROR(VLOOKUP(--LEFT(MID(TRIM(MID(SUBSTITUTE(K76,";",REPT(" ",99)),397,99)),FIND(":",TRIM(MID(SUBSTITUTE(K76,";",REPT(" ",99)),397,99)))+1,999),FIND(":",MID(TRIM(MID(SUBSTITUTE(K76,";",REPT(" ",99)),397,99)),FIND(":",TRIM(MID(SUBSTITUTE(K76,";",REPT(" ",99)),397,99)))+1,999))-1),_Lookup!$A:$B,2,FALSE),"?")&amp;"×"&amp;LEFT(MID(MID(TRIM(MID(SUBSTITUTE(K76,";",REPT(" ",99)),397,99)),FIND(":",TRIM(MID(SUBSTITUTE(K76,";",REPT(" ",99)),397,99)))+1,999),FIND(":",MID(TRIM(MID(SUBSTITUTE(K76,";",REPT(" ",99)),397,99)),FIND(":",TRIM(MID(SUBSTITUTE(K76,";",REPT(" ",99)),397,99)))+1,999))+1,999),FIND(":",MID(MID(TRIM(MID(SUBSTITUTE(K76,";",REPT(" ",99)),397,99)),FIND(":",TRIM(MID(SUBSTITUTE(K76,";",REPT(" ",99)),397,99)))+1,999),FIND(":",MID(TRIM(MID(SUBSTITUTE(K76,";",REPT(" ",99)),397,99)),FIND(":",TRIM(MID(SUBSTITUTE(K76,";",REPT(" ",99)),397,99)))+1,999))+1,999))-1))))</f>
        <v/>
      </c>
    </row>
    <row r="77">
      <c r="D77" s="11">
        <f>IFERROR(VLOOKUP(C77,ItemData_Fish!$A:$B,2,FALSE),"")</f>
        <v/>
      </c>
      <c r="L77" s="11">
        <f>IF(K77="","",TEXTJOIN("; ",TRUE,IF(TRIM(MID(SUBSTITUTE(K77,";",REPT(" ",99)),1,99))="","",IFERROR(VLOOKUP(--LEFT(MID(TRIM(MID(SUBSTITUTE(K77,";",REPT(" ",99)),1,99)),FIND(":",TRIM(MID(SUBSTITUTE(K77,";",REPT(" ",99)),1,99)))+1,999),FIND(":",MID(TRIM(MID(SUBSTITUTE(K77,";",REPT(" ",99)),1,99)),FIND(":",TRIM(MID(SUBSTITUTE(K77,";",REPT(" ",99)),1,99)))+1,999))-1),_Lookup!$A:$B,2,FALSE),"?")&amp;"×"&amp;LEFT(MID(MID(TRIM(MID(SUBSTITUTE(K77,";",REPT(" ",99)),1,99)),FIND(":",TRIM(MID(SUBSTITUTE(K77,";",REPT(" ",99)),1,99)))+1,999),FIND(":",MID(TRIM(MID(SUBSTITUTE(K77,";",REPT(" ",99)),1,99)),FIND(":",TRIM(MID(SUBSTITUTE(K77,";",REPT(" ",99)),1,99)))+1,999))+1,999),FIND(":",MID(MID(TRIM(MID(SUBSTITUTE(K77,";",REPT(" ",99)),1,99)),FIND(":",TRIM(MID(SUBSTITUTE(K77,";",REPT(" ",99)),1,99)))+1,999),FIND(":",MID(TRIM(MID(SUBSTITUTE(K77,";",REPT(" ",99)),1,99)),FIND(":",TRIM(MID(SUBSTITUTE(K77,";",REPT(" ",99)),1,99)))+1,999))+1,999))-1)),IF(TRIM(MID(SUBSTITUTE(K77,";",REPT(" ",99)),100,99))="","",IFERROR(VLOOKUP(--LEFT(MID(TRIM(MID(SUBSTITUTE(K77,";",REPT(" ",99)),100,99)),FIND(":",TRIM(MID(SUBSTITUTE(K77,";",REPT(" ",99)),100,99)))+1,999),FIND(":",MID(TRIM(MID(SUBSTITUTE(K77,";",REPT(" ",99)),100,99)),FIND(":",TRIM(MID(SUBSTITUTE(K77,";",REPT(" ",99)),100,99)))+1,999))-1),_Lookup!$A:$B,2,FALSE),"?")&amp;"×"&amp;LEFT(MID(MID(TRIM(MID(SUBSTITUTE(K77,";",REPT(" ",99)),100,99)),FIND(":",TRIM(MID(SUBSTITUTE(K77,";",REPT(" ",99)),100,99)))+1,999),FIND(":",MID(TRIM(MID(SUBSTITUTE(K77,";",REPT(" ",99)),100,99)),FIND(":",TRIM(MID(SUBSTITUTE(K77,";",REPT(" ",99)),100,99)))+1,999))+1,999),FIND(":",MID(MID(TRIM(MID(SUBSTITUTE(K77,";",REPT(" ",99)),100,99)),FIND(":",TRIM(MID(SUBSTITUTE(K77,";",REPT(" ",99)),100,99)))+1,999),FIND(":",MID(TRIM(MID(SUBSTITUTE(K77,";",REPT(" ",99)),100,99)),FIND(":",TRIM(MID(SUBSTITUTE(K77,";",REPT(" ",99)),100,99)))+1,999))+1,999))-1)),IF(TRIM(MID(SUBSTITUTE(K77,";",REPT(" ",99)),199,99))="","",IFERROR(VLOOKUP(--LEFT(MID(TRIM(MID(SUBSTITUTE(K77,";",REPT(" ",99)),199,99)),FIND(":",TRIM(MID(SUBSTITUTE(K77,";",REPT(" ",99)),199,99)))+1,999),FIND(":",MID(TRIM(MID(SUBSTITUTE(K77,";",REPT(" ",99)),199,99)),FIND(":",TRIM(MID(SUBSTITUTE(K77,";",REPT(" ",99)),199,99)))+1,999))-1),_Lookup!$A:$B,2,FALSE),"?")&amp;"×"&amp;LEFT(MID(MID(TRIM(MID(SUBSTITUTE(K77,";",REPT(" ",99)),199,99)),FIND(":",TRIM(MID(SUBSTITUTE(K77,";",REPT(" ",99)),199,99)))+1,999),FIND(":",MID(TRIM(MID(SUBSTITUTE(K77,";",REPT(" ",99)),199,99)),FIND(":",TRIM(MID(SUBSTITUTE(K77,";",REPT(" ",99)),199,99)))+1,999))+1,999),FIND(":",MID(MID(TRIM(MID(SUBSTITUTE(K77,";",REPT(" ",99)),199,99)),FIND(":",TRIM(MID(SUBSTITUTE(K77,";",REPT(" ",99)),199,99)))+1,999),FIND(":",MID(TRIM(MID(SUBSTITUTE(K77,";",REPT(" ",99)),199,99)),FIND(":",TRIM(MID(SUBSTITUTE(K77,";",REPT(" ",99)),199,99)))+1,999))+1,999))-1)),IF(TRIM(MID(SUBSTITUTE(K77,";",REPT(" ",99)),298,99))="","",IFERROR(VLOOKUP(--LEFT(MID(TRIM(MID(SUBSTITUTE(K77,";",REPT(" ",99)),298,99)),FIND(":",TRIM(MID(SUBSTITUTE(K77,";",REPT(" ",99)),298,99)))+1,999),FIND(":",MID(TRIM(MID(SUBSTITUTE(K77,";",REPT(" ",99)),298,99)),FIND(":",TRIM(MID(SUBSTITUTE(K77,";",REPT(" ",99)),298,99)))+1,999))-1),_Lookup!$A:$B,2,FALSE),"?")&amp;"×"&amp;LEFT(MID(MID(TRIM(MID(SUBSTITUTE(K77,";",REPT(" ",99)),298,99)),FIND(":",TRIM(MID(SUBSTITUTE(K77,";",REPT(" ",99)),298,99)))+1,999),FIND(":",MID(TRIM(MID(SUBSTITUTE(K77,";",REPT(" ",99)),298,99)),FIND(":",TRIM(MID(SUBSTITUTE(K77,";",REPT(" ",99)),298,99)))+1,999))+1,999),FIND(":",MID(MID(TRIM(MID(SUBSTITUTE(K77,";",REPT(" ",99)),298,99)),FIND(":",TRIM(MID(SUBSTITUTE(K77,";",REPT(" ",99)),298,99)))+1,999),FIND(":",MID(TRIM(MID(SUBSTITUTE(K77,";",REPT(" ",99)),298,99)),FIND(":",TRIM(MID(SUBSTITUTE(K77,";",REPT(" ",99)),298,99)))+1,999))+1,999))-1)),IF(TRIM(MID(SUBSTITUTE(K77,";",REPT(" ",99)),397,99))="","",IFERROR(VLOOKUP(--LEFT(MID(TRIM(MID(SUBSTITUTE(K77,";",REPT(" ",99)),397,99)),FIND(":",TRIM(MID(SUBSTITUTE(K77,";",REPT(" ",99)),397,99)))+1,999),FIND(":",MID(TRIM(MID(SUBSTITUTE(K77,";",REPT(" ",99)),397,99)),FIND(":",TRIM(MID(SUBSTITUTE(K77,";",REPT(" ",99)),397,99)))+1,999))-1),_Lookup!$A:$B,2,FALSE),"?")&amp;"×"&amp;LEFT(MID(MID(TRIM(MID(SUBSTITUTE(K77,";",REPT(" ",99)),397,99)),FIND(":",TRIM(MID(SUBSTITUTE(K77,";",REPT(" ",99)),397,99)))+1,999),FIND(":",MID(TRIM(MID(SUBSTITUTE(K77,";",REPT(" ",99)),397,99)),FIND(":",TRIM(MID(SUBSTITUTE(K77,";",REPT(" ",99)),397,99)))+1,999))+1,999),FIND(":",MID(MID(TRIM(MID(SUBSTITUTE(K77,";",REPT(" ",99)),397,99)),FIND(":",TRIM(MID(SUBSTITUTE(K77,";",REPT(" ",99)),397,99)))+1,999),FIND(":",MID(TRIM(MID(SUBSTITUTE(K77,";",REPT(" ",99)),397,99)),FIND(":",TRIM(MID(SUBSTITUTE(K77,";",REPT(" ",99)),397,99)))+1,999))+1,999))-1))))</f>
        <v/>
      </c>
    </row>
    <row r="78">
      <c r="D78" s="11">
        <f>IFERROR(VLOOKUP(C78,ItemData_Fish!$A:$B,2,FALSE),"")</f>
        <v/>
      </c>
      <c r="L78" s="11">
        <f>IF(K78="","",TEXTJOIN("; ",TRUE,IF(TRIM(MID(SUBSTITUTE(K78,";",REPT(" ",99)),1,99))="","",IFERROR(VLOOKUP(--LEFT(MID(TRIM(MID(SUBSTITUTE(K78,";",REPT(" ",99)),1,99)),FIND(":",TRIM(MID(SUBSTITUTE(K78,";",REPT(" ",99)),1,99)))+1,999),FIND(":",MID(TRIM(MID(SUBSTITUTE(K78,";",REPT(" ",99)),1,99)),FIND(":",TRIM(MID(SUBSTITUTE(K78,";",REPT(" ",99)),1,99)))+1,999))-1),_Lookup!$A:$B,2,FALSE),"?")&amp;"×"&amp;LEFT(MID(MID(TRIM(MID(SUBSTITUTE(K78,";",REPT(" ",99)),1,99)),FIND(":",TRIM(MID(SUBSTITUTE(K78,";",REPT(" ",99)),1,99)))+1,999),FIND(":",MID(TRIM(MID(SUBSTITUTE(K78,";",REPT(" ",99)),1,99)),FIND(":",TRIM(MID(SUBSTITUTE(K78,";",REPT(" ",99)),1,99)))+1,999))+1,999),FIND(":",MID(MID(TRIM(MID(SUBSTITUTE(K78,";",REPT(" ",99)),1,99)),FIND(":",TRIM(MID(SUBSTITUTE(K78,";",REPT(" ",99)),1,99)))+1,999),FIND(":",MID(TRIM(MID(SUBSTITUTE(K78,";",REPT(" ",99)),1,99)),FIND(":",TRIM(MID(SUBSTITUTE(K78,";",REPT(" ",99)),1,99)))+1,999))+1,999))-1)),IF(TRIM(MID(SUBSTITUTE(K78,";",REPT(" ",99)),100,99))="","",IFERROR(VLOOKUP(--LEFT(MID(TRIM(MID(SUBSTITUTE(K78,";",REPT(" ",99)),100,99)),FIND(":",TRIM(MID(SUBSTITUTE(K78,";",REPT(" ",99)),100,99)))+1,999),FIND(":",MID(TRIM(MID(SUBSTITUTE(K78,";",REPT(" ",99)),100,99)),FIND(":",TRIM(MID(SUBSTITUTE(K78,";",REPT(" ",99)),100,99)))+1,999))-1),_Lookup!$A:$B,2,FALSE),"?")&amp;"×"&amp;LEFT(MID(MID(TRIM(MID(SUBSTITUTE(K78,";",REPT(" ",99)),100,99)),FIND(":",TRIM(MID(SUBSTITUTE(K78,";",REPT(" ",99)),100,99)))+1,999),FIND(":",MID(TRIM(MID(SUBSTITUTE(K78,";",REPT(" ",99)),100,99)),FIND(":",TRIM(MID(SUBSTITUTE(K78,";",REPT(" ",99)),100,99)))+1,999))+1,999),FIND(":",MID(MID(TRIM(MID(SUBSTITUTE(K78,";",REPT(" ",99)),100,99)),FIND(":",TRIM(MID(SUBSTITUTE(K78,";",REPT(" ",99)),100,99)))+1,999),FIND(":",MID(TRIM(MID(SUBSTITUTE(K78,";",REPT(" ",99)),100,99)),FIND(":",TRIM(MID(SUBSTITUTE(K78,";",REPT(" ",99)),100,99)))+1,999))+1,999))-1)),IF(TRIM(MID(SUBSTITUTE(K78,";",REPT(" ",99)),199,99))="","",IFERROR(VLOOKUP(--LEFT(MID(TRIM(MID(SUBSTITUTE(K78,";",REPT(" ",99)),199,99)),FIND(":",TRIM(MID(SUBSTITUTE(K78,";",REPT(" ",99)),199,99)))+1,999),FIND(":",MID(TRIM(MID(SUBSTITUTE(K78,";",REPT(" ",99)),199,99)),FIND(":",TRIM(MID(SUBSTITUTE(K78,";",REPT(" ",99)),199,99)))+1,999))-1),_Lookup!$A:$B,2,FALSE),"?")&amp;"×"&amp;LEFT(MID(MID(TRIM(MID(SUBSTITUTE(K78,";",REPT(" ",99)),199,99)),FIND(":",TRIM(MID(SUBSTITUTE(K78,";",REPT(" ",99)),199,99)))+1,999),FIND(":",MID(TRIM(MID(SUBSTITUTE(K78,";",REPT(" ",99)),199,99)),FIND(":",TRIM(MID(SUBSTITUTE(K78,";",REPT(" ",99)),199,99)))+1,999))+1,999),FIND(":",MID(MID(TRIM(MID(SUBSTITUTE(K78,";",REPT(" ",99)),199,99)),FIND(":",TRIM(MID(SUBSTITUTE(K78,";",REPT(" ",99)),199,99)))+1,999),FIND(":",MID(TRIM(MID(SUBSTITUTE(K78,";",REPT(" ",99)),199,99)),FIND(":",TRIM(MID(SUBSTITUTE(K78,";",REPT(" ",99)),199,99)))+1,999))+1,999))-1)),IF(TRIM(MID(SUBSTITUTE(K78,";",REPT(" ",99)),298,99))="","",IFERROR(VLOOKUP(--LEFT(MID(TRIM(MID(SUBSTITUTE(K78,";",REPT(" ",99)),298,99)),FIND(":",TRIM(MID(SUBSTITUTE(K78,";",REPT(" ",99)),298,99)))+1,999),FIND(":",MID(TRIM(MID(SUBSTITUTE(K78,";",REPT(" ",99)),298,99)),FIND(":",TRIM(MID(SUBSTITUTE(K78,";",REPT(" ",99)),298,99)))+1,999))-1),_Lookup!$A:$B,2,FALSE),"?")&amp;"×"&amp;LEFT(MID(MID(TRIM(MID(SUBSTITUTE(K78,";",REPT(" ",99)),298,99)),FIND(":",TRIM(MID(SUBSTITUTE(K78,";",REPT(" ",99)),298,99)))+1,999),FIND(":",MID(TRIM(MID(SUBSTITUTE(K78,";",REPT(" ",99)),298,99)),FIND(":",TRIM(MID(SUBSTITUTE(K78,";",REPT(" ",99)),298,99)))+1,999))+1,999),FIND(":",MID(MID(TRIM(MID(SUBSTITUTE(K78,";",REPT(" ",99)),298,99)),FIND(":",TRIM(MID(SUBSTITUTE(K78,";",REPT(" ",99)),298,99)))+1,999),FIND(":",MID(TRIM(MID(SUBSTITUTE(K78,";",REPT(" ",99)),298,99)),FIND(":",TRIM(MID(SUBSTITUTE(K78,";",REPT(" ",99)),298,99)))+1,999))+1,999))-1)),IF(TRIM(MID(SUBSTITUTE(K78,";",REPT(" ",99)),397,99))="","",IFERROR(VLOOKUP(--LEFT(MID(TRIM(MID(SUBSTITUTE(K78,";",REPT(" ",99)),397,99)),FIND(":",TRIM(MID(SUBSTITUTE(K78,";",REPT(" ",99)),397,99)))+1,999),FIND(":",MID(TRIM(MID(SUBSTITUTE(K78,";",REPT(" ",99)),397,99)),FIND(":",TRIM(MID(SUBSTITUTE(K78,";",REPT(" ",99)),397,99)))+1,999))-1),_Lookup!$A:$B,2,FALSE),"?")&amp;"×"&amp;LEFT(MID(MID(TRIM(MID(SUBSTITUTE(K78,";",REPT(" ",99)),397,99)),FIND(":",TRIM(MID(SUBSTITUTE(K78,";",REPT(" ",99)),397,99)))+1,999),FIND(":",MID(TRIM(MID(SUBSTITUTE(K78,";",REPT(" ",99)),397,99)),FIND(":",TRIM(MID(SUBSTITUTE(K78,";",REPT(" ",99)),397,99)))+1,999))+1,999),FIND(":",MID(MID(TRIM(MID(SUBSTITUTE(K78,";",REPT(" ",99)),397,99)),FIND(":",TRIM(MID(SUBSTITUTE(K78,";",REPT(" ",99)),397,99)))+1,999),FIND(":",MID(TRIM(MID(SUBSTITUTE(K78,";",REPT(" ",99)),397,99)),FIND(":",TRIM(MID(SUBSTITUTE(K78,";",REPT(" ",99)),397,99)))+1,999))+1,999))-1))))</f>
        <v/>
      </c>
    </row>
    <row r="79">
      <c r="D79" s="11">
        <f>IFERROR(VLOOKUP(C79,ItemData_Fish!$A:$B,2,FALSE),"")</f>
        <v/>
      </c>
      <c r="L79" s="11">
        <f>IF(K79="","",TEXTJOIN("; ",TRUE,IF(TRIM(MID(SUBSTITUTE(K79,";",REPT(" ",99)),1,99))="","",IFERROR(VLOOKUP(--LEFT(MID(TRIM(MID(SUBSTITUTE(K79,";",REPT(" ",99)),1,99)),FIND(":",TRIM(MID(SUBSTITUTE(K79,";",REPT(" ",99)),1,99)))+1,999),FIND(":",MID(TRIM(MID(SUBSTITUTE(K79,";",REPT(" ",99)),1,99)),FIND(":",TRIM(MID(SUBSTITUTE(K79,";",REPT(" ",99)),1,99)))+1,999))-1),_Lookup!$A:$B,2,FALSE),"?")&amp;"×"&amp;LEFT(MID(MID(TRIM(MID(SUBSTITUTE(K79,";",REPT(" ",99)),1,99)),FIND(":",TRIM(MID(SUBSTITUTE(K79,";",REPT(" ",99)),1,99)))+1,999),FIND(":",MID(TRIM(MID(SUBSTITUTE(K79,";",REPT(" ",99)),1,99)),FIND(":",TRIM(MID(SUBSTITUTE(K79,";",REPT(" ",99)),1,99)))+1,999))+1,999),FIND(":",MID(MID(TRIM(MID(SUBSTITUTE(K79,";",REPT(" ",99)),1,99)),FIND(":",TRIM(MID(SUBSTITUTE(K79,";",REPT(" ",99)),1,99)))+1,999),FIND(":",MID(TRIM(MID(SUBSTITUTE(K79,";",REPT(" ",99)),1,99)),FIND(":",TRIM(MID(SUBSTITUTE(K79,";",REPT(" ",99)),1,99)))+1,999))+1,999))-1)),IF(TRIM(MID(SUBSTITUTE(K79,";",REPT(" ",99)),100,99))="","",IFERROR(VLOOKUP(--LEFT(MID(TRIM(MID(SUBSTITUTE(K79,";",REPT(" ",99)),100,99)),FIND(":",TRIM(MID(SUBSTITUTE(K79,";",REPT(" ",99)),100,99)))+1,999),FIND(":",MID(TRIM(MID(SUBSTITUTE(K79,";",REPT(" ",99)),100,99)),FIND(":",TRIM(MID(SUBSTITUTE(K79,";",REPT(" ",99)),100,99)))+1,999))-1),_Lookup!$A:$B,2,FALSE),"?")&amp;"×"&amp;LEFT(MID(MID(TRIM(MID(SUBSTITUTE(K79,";",REPT(" ",99)),100,99)),FIND(":",TRIM(MID(SUBSTITUTE(K79,";",REPT(" ",99)),100,99)))+1,999),FIND(":",MID(TRIM(MID(SUBSTITUTE(K79,";",REPT(" ",99)),100,99)),FIND(":",TRIM(MID(SUBSTITUTE(K79,";",REPT(" ",99)),100,99)))+1,999))+1,999),FIND(":",MID(MID(TRIM(MID(SUBSTITUTE(K79,";",REPT(" ",99)),100,99)),FIND(":",TRIM(MID(SUBSTITUTE(K79,";",REPT(" ",99)),100,99)))+1,999),FIND(":",MID(TRIM(MID(SUBSTITUTE(K79,";",REPT(" ",99)),100,99)),FIND(":",TRIM(MID(SUBSTITUTE(K79,";",REPT(" ",99)),100,99)))+1,999))+1,999))-1)),IF(TRIM(MID(SUBSTITUTE(K79,";",REPT(" ",99)),199,99))="","",IFERROR(VLOOKUP(--LEFT(MID(TRIM(MID(SUBSTITUTE(K79,";",REPT(" ",99)),199,99)),FIND(":",TRIM(MID(SUBSTITUTE(K79,";",REPT(" ",99)),199,99)))+1,999),FIND(":",MID(TRIM(MID(SUBSTITUTE(K79,";",REPT(" ",99)),199,99)),FIND(":",TRIM(MID(SUBSTITUTE(K79,";",REPT(" ",99)),199,99)))+1,999))-1),_Lookup!$A:$B,2,FALSE),"?")&amp;"×"&amp;LEFT(MID(MID(TRIM(MID(SUBSTITUTE(K79,";",REPT(" ",99)),199,99)),FIND(":",TRIM(MID(SUBSTITUTE(K79,";",REPT(" ",99)),199,99)))+1,999),FIND(":",MID(TRIM(MID(SUBSTITUTE(K79,";",REPT(" ",99)),199,99)),FIND(":",TRIM(MID(SUBSTITUTE(K79,";",REPT(" ",99)),199,99)))+1,999))+1,999),FIND(":",MID(MID(TRIM(MID(SUBSTITUTE(K79,";",REPT(" ",99)),199,99)),FIND(":",TRIM(MID(SUBSTITUTE(K79,";",REPT(" ",99)),199,99)))+1,999),FIND(":",MID(TRIM(MID(SUBSTITUTE(K79,";",REPT(" ",99)),199,99)),FIND(":",TRIM(MID(SUBSTITUTE(K79,";",REPT(" ",99)),199,99)))+1,999))+1,999))-1)),IF(TRIM(MID(SUBSTITUTE(K79,";",REPT(" ",99)),298,99))="","",IFERROR(VLOOKUP(--LEFT(MID(TRIM(MID(SUBSTITUTE(K79,";",REPT(" ",99)),298,99)),FIND(":",TRIM(MID(SUBSTITUTE(K79,";",REPT(" ",99)),298,99)))+1,999),FIND(":",MID(TRIM(MID(SUBSTITUTE(K79,";",REPT(" ",99)),298,99)),FIND(":",TRIM(MID(SUBSTITUTE(K79,";",REPT(" ",99)),298,99)))+1,999))-1),_Lookup!$A:$B,2,FALSE),"?")&amp;"×"&amp;LEFT(MID(MID(TRIM(MID(SUBSTITUTE(K79,";",REPT(" ",99)),298,99)),FIND(":",TRIM(MID(SUBSTITUTE(K79,";",REPT(" ",99)),298,99)))+1,999),FIND(":",MID(TRIM(MID(SUBSTITUTE(K79,";",REPT(" ",99)),298,99)),FIND(":",TRIM(MID(SUBSTITUTE(K79,";",REPT(" ",99)),298,99)))+1,999))+1,999),FIND(":",MID(MID(TRIM(MID(SUBSTITUTE(K79,";",REPT(" ",99)),298,99)),FIND(":",TRIM(MID(SUBSTITUTE(K79,";",REPT(" ",99)),298,99)))+1,999),FIND(":",MID(TRIM(MID(SUBSTITUTE(K79,";",REPT(" ",99)),298,99)),FIND(":",TRIM(MID(SUBSTITUTE(K79,";",REPT(" ",99)),298,99)))+1,999))+1,999))-1)),IF(TRIM(MID(SUBSTITUTE(K79,";",REPT(" ",99)),397,99))="","",IFERROR(VLOOKUP(--LEFT(MID(TRIM(MID(SUBSTITUTE(K79,";",REPT(" ",99)),397,99)),FIND(":",TRIM(MID(SUBSTITUTE(K79,";",REPT(" ",99)),397,99)))+1,999),FIND(":",MID(TRIM(MID(SUBSTITUTE(K79,";",REPT(" ",99)),397,99)),FIND(":",TRIM(MID(SUBSTITUTE(K79,";",REPT(" ",99)),397,99)))+1,999))-1),_Lookup!$A:$B,2,FALSE),"?")&amp;"×"&amp;LEFT(MID(MID(TRIM(MID(SUBSTITUTE(K79,";",REPT(" ",99)),397,99)),FIND(":",TRIM(MID(SUBSTITUTE(K79,";",REPT(" ",99)),397,99)))+1,999),FIND(":",MID(TRIM(MID(SUBSTITUTE(K79,";",REPT(" ",99)),397,99)),FIND(":",TRIM(MID(SUBSTITUTE(K79,";",REPT(" ",99)),397,99)))+1,999))+1,999),FIND(":",MID(MID(TRIM(MID(SUBSTITUTE(K79,";",REPT(" ",99)),397,99)),FIND(":",TRIM(MID(SUBSTITUTE(K79,";",REPT(" ",99)),397,99)))+1,999),FIND(":",MID(TRIM(MID(SUBSTITUTE(K79,";",REPT(" ",99)),397,99)),FIND(":",TRIM(MID(SUBSTITUTE(K79,";",REPT(" ",99)),397,99)))+1,999))+1,999))-1))))</f>
        <v/>
      </c>
    </row>
    <row r="80">
      <c r="D80" s="11">
        <f>IFERROR(VLOOKUP(C80,ItemData_Fish!$A:$B,2,FALSE),"")</f>
        <v/>
      </c>
      <c r="L80" s="11">
        <f>IF(K80="","",TEXTJOIN("; ",TRUE,IF(TRIM(MID(SUBSTITUTE(K80,";",REPT(" ",99)),1,99))="","",IFERROR(VLOOKUP(--LEFT(MID(TRIM(MID(SUBSTITUTE(K80,";",REPT(" ",99)),1,99)),FIND(":",TRIM(MID(SUBSTITUTE(K80,";",REPT(" ",99)),1,99)))+1,999),FIND(":",MID(TRIM(MID(SUBSTITUTE(K80,";",REPT(" ",99)),1,99)),FIND(":",TRIM(MID(SUBSTITUTE(K80,";",REPT(" ",99)),1,99)))+1,999))-1),_Lookup!$A:$B,2,FALSE),"?")&amp;"×"&amp;LEFT(MID(MID(TRIM(MID(SUBSTITUTE(K80,";",REPT(" ",99)),1,99)),FIND(":",TRIM(MID(SUBSTITUTE(K80,";",REPT(" ",99)),1,99)))+1,999),FIND(":",MID(TRIM(MID(SUBSTITUTE(K80,";",REPT(" ",99)),1,99)),FIND(":",TRIM(MID(SUBSTITUTE(K80,";",REPT(" ",99)),1,99)))+1,999))+1,999),FIND(":",MID(MID(TRIM(MID(SUBSTITUTE(K80,";",REPT(" ",99)),1,99)),FIND(":",TRIM(MID(SUBSTITUTE(K80,";",REPT(" ",99)),1,99)))+1,999),FIND(":",MID(TRIM(MID(SUBSTITUTE(K80,";",REPT(" ",99)),1,99)),FIND(":",TRIM(MID(SUBSTITUTE(K80,";",REPT(" ",99)),1,99)))+1,999))+1,999))-1)),IF(TRIM(MID(SUBSTITUTE(K80,";",REPT(" ",99)),100,99))="","",IFERROR(VLOOKUP(--LEFT(MID(TRIM(MID(SUBSTITUTE(K80,";",REPT(" ",99)),100,99)),FIND(":",TRIM(MID(SUBSTITUTE(K80,";",REPT(" ",99)),100,99)))+1,999),FIND(":",MID(TRIM(MID(SUBSTITUTE(K80,";",REPT(" ",99)),100,99)),FIND(":",TRIM(MID(SUBSTITUTE(K80,";",REPT(" ",99)),100,99)))+1,999))-1),_Lookup!$A:$B,2,FALSE),"?")&amp;"×"&amp;LEFT(MID(MID(TRIM(MID(SUBSTITUTE(K80,";",REPT(" ",99)),100,99)),FIND(":",TRIM(MID(SUBSTITUTE(K80,";",REPT(" ",99)),100,99)))+1,999),FIND(":",MID(TRIM(MID(SUBSTITUTE(K80,";",REPT(" ",99)),100,99)),FIND(":",TRIM(MID(SUBSTITUTE(K80,";",REPT(" ",99)),100,99)))+1,999))+1,999),FIND(":",MID(MID(TRIM(MID(SUBSTITUTE(K80,";",REPT(" ",99)),100,99)),FIND(":",TRIM(MID(SUBSTITUTE(K80,";",REPT(" ",99)),100,99)))+1,999),FIND(":",MID(TRIM(MID(SUBSTITUTE(K80,";",REPT(" ",99)),100,99)),FIND(":",TRIM(MID(SUBSTITUTE(K80,";",REPT(" ",99)),100,99)))+1,999))+1,999))-1)),IF(TRIM(MID(SUBSTITUTE(K80,";",REPT(" ",99)),199,99))="","",IFERROR(VLOOKUP(--LEFT(MID(TRIM(MID(SUBSTITUTE(K80,";",REPT(" ",99)),199,99)),FIND(":",TRIM(MID(SUBSTITUTE(K80,";",REPT(" ",99)),199,99)))+1,999),FIND(":",MID(TRIM(MID(SUBSTITUTE(K80,";",REPT(" ",99)),199,99)),FIND(":",TRIM(MID(SUBSTITUTE(K80,";",REPT(" ",99)),199,99)))+1,999))-1),_Lookup!$A:$B,2,FALSE),"?")&amp;"×"&amp;LEFT(MID(MID(TRIM(MID(SUBSTITUTE(K80,";",REPT(" ",99)),199,99)),FIND(":",TRIM(MID(SUBSTITUTE(K80,";",REPT(" ",99)),199,99)))+1,999),FIND(":",MID(TRIM(MID(SUBSTITUTE(K80,";",REPT(" ",99)),199,99)),FIND(":",TRIM(MID(SUBSTITUTE(K80,";",REPT(" ",99)),199,99)))+1,999))+1,999),FIND(":",MID(MID(TRIM(MID(SUBSTITUTE(K80,";",REPT(" ",99)),199,99)),FIND(":",TRIM(MID(SUBSTITUTE(K80,";",REPT(" ",99)),199,99)))+1,999),FIND(":",MID(TRIM(MID(SUBSTITUTE(K80,";",REPT(" ",99)),199,99)),FIND(":",TRIM(MID(SUBSTITUTE(K80,";",REPT(" ",99)),199,99)))+1,999))+1,999))-1)),IF(TRIM(MID(SUBSTITUTE(K80,";",REPT(" ",99)),298,99))="","",IFERROR(VLOOKUP(--LEFT(MID(TRIM(MID(SUBSTITUTE(K80,";",REPT(" ",99)),298,99)),FIND(":",TRIM(MID(SUBSTITUTE(K80,";",REPT(" ",99)),298,99)))+1,999),FIND(":",MID(TRIM(MID(SUBSTITUTE(K80,";",REPT(" ",99)),298,99)),FIND(":",TRIM(MID(SUBSTITUTE(K80,";",REPT(" ",99)),298,99)))+1,999))-1),_Lookup!$A:$B,2,FALSE),"?")&amp;"×"&amp;LEFT(MID(MID(TRIM(MID(SUBSTITUTE(K80,";",REPT(" ",99)),298,99)),FIND(":",TRIM(MID(SUBSTITUTE(K80,";",REPT(" ",99)),298,99)))+1,999),FIND(":",MID(TRIM(MID(SUBSTITUTE(K80,";",REPT(" ",99)),298,99)),FIND(":",TRIM(MID(SUBSTITUTE(K80,";",REPT(" ",99)),298,99)))+1,999))+1,999),FIND(":",MID(MID(TRIM(MID(SUBSTITUTE(K80,";",REPT(" ",99)),298,99)),FIND(":",TRIM(MID(SUBSTITUTE(K80,";",REPT(" ",99)),298,99)))+1,999),FIND(":",MID(TRIM(MID(SUBSTITUTE(K80,";",REPT(" ",99)),298,99)),FIND(":",TRIM(MID(SUBSTITUTE(K80,";",REPT(" ",99)),298,99)))+1,999))+1,999))-1)),IF(TRIM(MID(SUBSTITUTE(K80,";",REPT(" ",99)),397,99))="","",IFERROR(VLOOKUP(--LEFT(MID(TRIM(MID(SUBSTITUTE(K80,";",REPT(" ",99)),397,99)),FIND(":",TRIM(MID(SUBSTITUTE(K80,";",REPT(" ",99)),397,99)))+1,999),FIND(":",MID(TRIM(MID(SUBSTITUTE(K80,";",REPT(" ",99)),397,99)),FIND(":",TRIM(MID(SUBSTITUTE(K80,";",REPT(" ",99)),397,99)))+1,999))-1),_Lookup!$A:$B,2,FALSE),"?")&amp;"×"&amp;LEFT(MID(MID(TRIM(MID(SUBSTITUTE(K80,";",REPT(" ",99)),397,99)),FIND(":",TRIM(MID(SUBSTITUTE(K80,";",REPT(" ",99)),397,99)))+1,999),FIND(":",MID(TRIM(MID(SUBSTITUTE(K80,";",REPT(" ",99)),397,99)),FIND(":",TRIM(MID(SUBSTITUTE(K80,";",REPT(" ",99)),397,99)))+1,999))+1,999),FIND(":",MID(MID(TRIM(MID(SUBSTITUTE(K80,";",REPT(" ",99)),397,99)),FIND(":",TRIM(MID(SUBSTITUTE(K80,";",REPT(" ",99)),397,99)))+1,999),FIND(":",MID(TRIM(MID(SUBSTITUTE(K80,";",REPT(" ",99)),397,99)),FIND(":",TRIM(MID(SUBSTITUTE(K80,";",REPT(" ",99)),397,99)))+1,999))+1,999))-1))))</f>
        <v/>
      </c>
    </row>
    <row r="81">
      <c r="D81" s="11">
        <f>IFERROR(VLOOKUP(C81,ItemData_Fish!$A:$B,2,FALSE),"")</f>
        <v/>
      </c>
      <c r="L81" s="11">
        <f>IF(K81="","",TEXTJOIN("; ",TRUE,IF(TRIM(MID(SUBSTITUTE(K81,";",REPT(" ",99)),1,99))="","",IFERROR(VLOOKUP(--LEFT(MID(TRIM(MID(SUBSTITUTE(K81,";",REPT(" ",99)),1,99)),FIND(":",TRIM(MID(SUBSTITUTE(K81,";",REPT(" ",99)),1,99)))+1,999),FIND(":",MID(TRIM(MID(SUBSTITUTE(K81,";",REPT(" ",99)),1,99)),FIND(":",TRIM(MID(SUBSTITUTE(K81,";",REPT(" ",99)),1,99)))+1,999))-1),_Lookup!$A:$B,2,FALSE),"?")&amp;"×"&amp;LEFT(MID(MID(TRIM(MID(SUBSTITUTE(K81,";",REPT(" ",99)),1,99)),FIND(":",TRIM(MID(SUBSTITUTE(K81,";",REPT(" ",99)),1,99)))+1,999),FIND(":",MID(TRIM(MID(SUBSTITUTE(K81,";",REPT(" ",99)),1,99)),FIND(":",TRIM(MID(SUBSTITUTE(K81,";",REPT(" ",99)),1,99)))+1,999))+1,999),FIND(":",MID(MID(TRIM(MID(SUBSTITUTE(K81,";",REPT(" ",99)),1,99)),FIND(":",TRIM(MID(SUBSTITUTE(K81,";",REPT(" ",99)),1,99)))+1,999),FIND(":",MID(TRIM(MID(SUBSTITUTE(K81,";",REPT(" ",99)),1,99)),FIND(":",TRIM(MID(SUBSTITUTE(K81,";",REPT(" ",99)),1,99)))+1,999))+1,999))-1)),IF(TRIM(MID(SUBSTITUTE(K81,";",REPT(" ",99)),100,99))="","",IFERROR(VLOOKUP(--LEFT(MID(TRIM(MID(SUBSTITUTE(K81,";",REPT(" ",99)),100,99)),FIND(":",TRIM(MID(SUBSTITUTE(K81,";",REPT(" ",99)),100,99)))+1,999),FIND(":",MID(TRIM(MID(SUBSTITUTE(K81,";",REPT(" ",99)),100,99)),FIND(":",TRIM(MID(SUBSTITUTE(K81,";",REPT(" ",99)),100,99)))+1,999))-1),_Lookup!$A:$B,2,FALSE),"?")&amp;"×"&amp;LEFT(MID(MID(TRIM(MID(SUBSTITUTE(K81,";",REPT(" ",99)),100,99)),FIND(":",TRIM(MID(SUBSTITUTE(K81,";",REPT(" ",99)),100,99)))+1,999),FIND(":",MID(TRIM(MID(SUBSTITUTE(K81,";",REPT(" ",99)),100,99)),FIND(":",TRIM(MID(SUBSTITUTE(K81,";",REPT(" ",99)),100,99)))+1,999))+1,999),FIND(":",MID(MID(TRIM(MID(SUBSTITUTE(K81,";",REPT(" ",99)),100,99)),FIND(":",TRIM(MID(SUBSTITUTE(K81,";",REPT(" ",99)),100,99)))+1,999),FIND(":",MID(TRIM(MID(SUBSTITUTE(K81,";",REPT(" ",99)),100,99)),FIND(":",TRIM(MID(SUBSTITUTE(K81,";",REPT(" ",99)),100,99)))+1,999))+1,999))-1)),IF(TRIM(MID(SUBSTITUTE(K81,";",REPT(" ",99)),199,99))="","",IFERROR(VLOOKUP(--LEFT(MID(TRIM(MID(SUBSTITUTE(K81,";",REPT(" ",99)),199,99)),FIND(":",TRIM(MID(SUBSTITUTE(K81,";",REPT(" ",99)),199,99)))+1,999),FIND(":",MID(TRIM(MID(SUBSTITUTE(K81,";",REPT(" ",99)),199,99)),FIND(":",TRIM(MID(SUBSTITUTE(K81,";",REPT(" ",99)),199,99)))+1,999))-1),_Lookup!$A:$B,2,FALSE),"?")&amp;"×"&amp;LEFT(MID(MID(TRIM(MID(SUBSTITUTE(K81,";",REPT(" ",99)),199,99)),FIND(":",TRIM(MID(SUBSTITUTE(K81,";",REPT(" ",99)),199,99)))+1,999),FIND(":",MID(TRIM(MID(SUBSTITUTE(K81,";",REPT(" ",99)),199,99)),FIND(":",TRIM(MID(SUBSTITUTE(K81,";",REPT(" ",99)),199,99)))+1,999))+1,999),FIND(":",MID(MID(TRIM(MID(SUBSTITUTE(K81,";",REPT(" ",99)),199,99)),FIND(":",TRIM(MID(SUBSTITUTE(K81,";",REPT(" ",99)),199,99)))+1,999),FIND(":",MID(TRIM(MID(SUBSTITUTE(K81,";",REPT(" ",99)),199,99)),FIND(":",TRIM(MID(SUBSTITUTE(K81,";",REPT(" ",99)),199,99)))+1,999))+1,999))-1)),IF(TRIM(MID(SUBSTITUTE(K81,";",REPT(" ",99)),298,99))="","",IFERROR(VLOOKUP(--LEFT(MID(TRIM(MID(SUBSTITUTE(K81,";",REPT(" ",99)),298,99)),FIND(":",TRIM(MID(SUBSTITUTE(K81,";",REPT(" ",99)),298,99)))+1,999),FIND(":",MID(TRIM(MID(SUBSTITUTE(K81,";",REPT(" ",99)),298,99)),FIND(":",TRIM(MID(SUBSTITUTE(K81,";",REPT(" ",99)),298,99)))+1,999))-1),_Lookup!$A:$B,2,FALSE),"?")&amp;"×"&amp;LEFT(MID(MID(TRIM(MID(SUBSTITUTE(K81,";",REPT(" ",99)),298,99)),FIND(":",TRIM(MID(SUBSTITUTE(K81,";",REPT(" ",99)),298,99)))+1,999),FIND(":",MID(TRIM(MID(SUBSTITUTE(K81,";",REPT(" ",99)),298,99)),FIND(":",TRIM(MID(SUBSTITUTE(K81,";",REPT(" ",99)),298,99)))+1,999))+1,999),FIND(":",MID(MID(TRIM(MID(SUBSTITUTE(K81,";",REPT(" ",99)),298,99)),FIND(":",TRIM(MID(SUBSTITUTE(K81,";",REPT(" ",99)),298,99)))+1,999),FIND(":",MID(TRIM(MID(SUBSTITUTE(K81,";",REPT(" ",99)),298,99)),FIND(":",TRIM(MID(SUBSTITUTE(K81,";",REPT(" ",99)),298,99)))+1,999))+1,999))-1)),IF(TRIM(MID(SUBSTITUTE(K81,";",REPT(" ",99)),397,99))="","",IFERROR(VLOOKUP(--LEFT(MID(TRIM(MID(SUBSTITUTE(K81,";",REPT(" ",99)),397,99)),FIND(":",TRIM(MID(SUBSTITUTE(K81,";",REPT(" ",99)),397,99)))+1,999),FIND(":",MID(TRIM(MID(SUBSTITUTE(K81,";",REPT(" ",99)),397,99)),FIND(":",TRIM(MID(SUBSTITUTE(K81,";",REPT(" ",99)),397,99)))+1,999))-1),_Lookup!$A:$B,2,FALSE),"?")&amp;"×"&amp;LEFT(MID(MID(TRIM(MID(SUBSTITUTE(K81,";",REPT(" ",99)),397,99)),FIND(":",TRIM(MID(SUBSTITUTE(K81,";",REPT(" ",99)),397,99)))+1,999),FIND(":",MID(TRIM(MID(SUBSTITUTE(K81,";",REPT(" ",99)),397,99)),FIND(":",TRIM(MID(SUBSTITUTE(K81,";",REPT(" ",99)),397,99)))+1,999))+1,999),FIND(":",MID(MID(TRIM(MID(SUBSTITUTE(K81,";",REPT(" ",99)),397,99)),FIND(":",TRIM(MID(SUBSTITUTE(K81,";",REPT(" ",99)),397,99)))+1,999),FIND(":",MID(TRIM(MID(SUBSTITUTE(K81,";",REPT(" ",99)),397,99)),FIND(":",TRIM(MID(SUBSTITUTE(K81,";",REPT(" ",99)),397,99)))+1,999))+1,999))-1))))</f>
        <v/>
      </c>
    </row>
    <row r="82">
      <c r="D82" s="11">
        <f>IFERROR(VLOOKUP(C82,ItemData_Fish!$A:$B,2,FALSE),"")</f>
        <v/>
      </c>
      <c r="L82" s="11">
        <f>IF(K82="","",TEXTJOIN("; ",TRUE,IF(TRIM(MID(SUBSTITUTE(K82,";",REPT(" ",99)),1,99))="","",IFERROR(VLOOKUP(--LEFT(MID(TRIM(MID(SUBSTITUTE(K82,";",REPT(" ",99)),1,99)),FIND(":",TRIM(MID(SUBSTITUTE(K82,";",REPT(" ",99)),1,99)))+1,999),FIND(":",MID(TRIM(MID(SUBSTITUTE(K82,";",REPT(" ",99)),1,99)),FIND(":",TRIM(MID(SUBSTITUTE(K82,";",REPT(" ",99)),1,99)))+1,999))-1),_Lookup!$A:$B,2,FALSE),"?")&amp;"×"&amp;LEFT(MID(MID(TRIM(MID(SUBSTITUTE(K82,";",REPT(" ",99)),1,99)),FIND(":",TRIM(MID(SUBSTITUTE(K82,";",REPT(" ",99)),1,99)))+1,999),FIND(":",MID(TRIM(MID(SUBSTITUTE(K82,";",REPT(" ",99)),1,99)),FIND(":",TRIM(MID(SUBSTITUTE(K82,";",REPT(" ",99)),1,99)))+1,999))+1,999),FIND(":",MID(MID(TRIM(MID(SUBSTITUTE(K82,";",REPT(" ",99)),1,99)),FIND(":",TRIM(MID(SUBSTITUTE(K82,";",REPT(" ",99)),1,99)))+1,999),FIND(":",MID(TRIM(MID(SUBSTITUTE(K82,";",REPT(" ",99)),1,99)),FIND(":",TRIM(MID(SUBSTITUTE(K82,";",REPT(" ",99)),1,99)))+1,999))+1,999))-1)),IF(TRIM(MID(SUBSTITUTE(K82,";",REPT(" ",99)),100,99))="","",IFERROR(VLOOKUP(--LEFT(MID(TRIM(MID(SUBSTITUTE(K82,";",REPT(" ",99)),100,99)),FIND(":",TRIM(MID(SUBSTITUTE(K82,";",REPT(" ",99)),100,99)))+1,999),FIND(":",MID(TRIM(MID(SUBSTITUTE(K82,";",REPT(" ",99)),100,99)),FIND(":",TRIM(MID(SUBSTITUTE(K82,";",REPT(" ",99)),100,99)))+1,999))-1),_Lookup!$A:$B,2,FALSE),"?")&amp;"×"&amp;LEFT(MID(MID(TRIM(MID(SUBSTITUTE(K82,";",REPT(" ",99)),100,99)),FIND(":",TRIM(MID(SUBSTITUTE(K82,";",REPT(" ",99)),100,99)))+1,999),FIND(":",MID(TRIM(MID(SUBSTITUTE(K82,";",REPT(" ",99)),100,99)),FIND(":",TRIM(MID(SUBSTITUTE(K82,";",REPT(" ",99)),100,99)))+1,999))+1,999),FIND(":",MID(MID(TRIM(MID(SUBSTITUTE(K82,";",REPT(" ",99)),100,99)),FIND(":",TRIM(MID(SUBSTITUTE(K82,";",REPT(" ",99)),100,99)))+1,999),FIND(":",MID(TRIM(MID(SUBSTITUTE(K82,";",REPT(" ",99)),100,99)),FIND(":",TRIM(MID(SUBSTITUTE(K82,";",REPT(" ",99)),100,99)))+1,999))+1,999))-1)),IF(TRIM(MID(SUBSTITUTE(K82,";",REPT(" ",99)),199,99))="","",IFERROR(VLOOKUP(--LEFT(MID(TRIM(MID(SUBSTITUTE(K82,";",REPT(" ",99)),199,99)),FIND(":",TRIM(MID(SUBSTITUTE(K82,";",REPT(" ",99)),199,99)))+1,999),FIND(":",MID(TRIM(MID(SUBSTITUTE(K82,";",REPT(" ",99)),199,99)),FIND(":",TRIM(MID(SUBSTITUTE(K82,";",REPT(" ",99)),199,99)))+1,999))-1),_Lookup!$A:$B,2,FALSE),"?")&amp;"×"&amp;LEFT(MID(MID(TRIM(MID(SUBSTITUTE(K82,";",REPT(" ",99)),199,99)),FIND(":",TRIM(MID(SUBSTITUTE(K82,";",REPT(" ",99)),199,99)))+1,999),FIND(":",MID(TRIM(MID(SUBSTITUTE(K82,";",REPT(" ",99)),199,99)),FIND(":",TRIM(MID(SUBSTITUTE(K82,";",REPT(" ",99)),199,99)))+1,999))+1,999),FIND(":",MID(MID(TRIM(MID(SUBSTITUTE(K82,";",REPT(" ",99)),199,99)),FIND(":",TRIM(MID(SUBSTITUTE(K82,";",REPT(" ",99)),199,99)))+1,999),FIND(":",MID(TRIM(MID(SUBSTITUTE(K82,";",REPT(" ",99)),199,99)),FIND(":",TRIM(MID(SUBSTITUTE(K82,";",REPT(" ",99)),199,99)))+1,999))+1,999))-1)),IF(TRIM(MID(SUBSTITUTE(K82,";",REPT(" ",99)),298,99))="","",IFERROR(VLOOKUP(--LEFT(MID(TRIM(MID(SUBSTITUTE(K82,";",REPT(" ",99)),298,99)),FIND(":",TRIM(MID(SUBSTITUTE(K82,";",REPT(" ",99)),298,99)))+1,999),FIND(":",MID(TRIM(MID(SUBSTITUTE(K82,";",REPT(" ",99)),298,99)),FIND(":",TRIM(MID(SUBSTITUTE(K82,";",REPT(" ",99)),298,99)))+1,999))-1),_Lookup!$A:$B,2,FALSE),"?")&amp;"×"&amp;LEFT(MID(MID(TRIM(MID(SUBSTITUTE(K82,";",REPT(" ",99)),298,99)),FIND(":",TRIM(MID(SUBSTITUTE(K82,";",REPT(" ",99)),298,99)))+1,999),FIND(":",MID(TRIM(MID(SUBSTITUTE(K82,";",REPT(" ",99)),298,99)),FIND(":",TRIM(MID(SUBSTITUTE(K82,";",REPT(" ",99)),298,99)))+1,999))+1,999),FIND(":",MID(MID(TRIM(MID(SUBSTITUTE(K82,";",REPT(" ",99)),298,99)),FIND(":",TRIM(MID(SUBSTITUTE(K82,";",REPT(" ",99)),298,99)))+1,999),FIND(":",MID(TRIM(MID(SUBSTITUTE(K82,";",REPT(" ",99)),298,99)),FIND(":",TRIM(MID(SUBSTITUTE(K82,";",REPT(" ",99)),298,99)))+1,999))+1,999))-1)),IF(TRIM(MID(SUBSTITUTE(K82,";",REPT(" ",99)),397,99))="","",IFERROR(VLOOKUP(--LEFT(MID(TRIM(MID(SUBSTITUTE(K82,";",REPT(" ",99)),397,99)),FIND(":",TRIM(MID(SUBSTITUTE(K82,";",REPT(" ",99)),397,99)))+1,999),FIND(":",MID(TRIM(MID(SUBSTITUTE(K82,";",REPT(" ",99)),397,99)),FIND(":",TRIM(MID(SUBSTITUTE(K82,";",REPT(" ",99)),397,99)))+1,999))-1),_Lookup!$A:$B,2,FALSE),"?")&amp;"×"&amp;LEFT(MID(MID(TRIM(MID(SUBSTITUTE(K82,";",REPT(" ",99)),397,99)),FIND(":",TRIM(MID(SUBSTITUTE(K82,";",REPT(" ",99)),397,99)))+1,999),FIND(":",MID(TRIM(MID(SUBSTITUTE(K82,";",REPT(" ",99)),397,99)),FIND(":",TRIM(MID(SUBSTITUTE(K82,";",REPT(" ",99)),397,99)))+1,999))+1,999),FIND(":",MID(MID(TRIM(MID(SUBSTITUTE(K82,";",REPT(" ",99)),397,99)),FIND(":",TRIM(MID(SUBSTITUTE(K82,";",REPT(" ",99)),397,99)))+1,999),FIND(":",MID(TRIM(MID(SUBSTITUTE(K82,";",REPT(" ",99)),397,99)),FIND(":",TRIM(MID(SUBSTITUTE(K82,";",REPT(" ",99)),397,99)))+1,999))+1,999))-1))))</f>
        <v/>
      </c>
    </row>
    <row r="83">
      <c r="D83" s="11">
        <f>IFERROR(VLOOKUP(C83,ItemData_Fish!$A:$B,2,FALSE),"")</f>
        <v/>
      </c>
      <c r="L83" s="11">
        <f>IF(K83="","",TEXTJOIN("; ",TRUE,IF(TRIM(MID(SUBSTITUTE(K83,";",REPT(" ",99)),1,99))="","",IFERROR(VLOOKUP(--LEFT(MID(TRIM(MID(SUBSTITUTE(K83,";",REPT(" ",99)),1,99)),FIND(":",TRIM(MID(SUBSTITUTE(K83,";",REPT(" ",99)),1,99)))+1,999),FIND(":",MID(TRIM(MID(SUBSTITUTE(K83,";",REPT(" ",99)),1,99)),FIND(":",TRIM(MID(SUBSTITUTE(K83,";",REPT(" ",99)),1,99)))+1,999))-1),_Lookup!$A:$B,2,FALSE),"?")&amp;"×"&amp;LEFT(MID(MID(TRIM(MID(SUBSTITUTE(K83,";",REPT(" ",99)),1,99)),FIND(":",TRIM(MID(SUBSTITUTE(K83,";",REPT(" ",99)),1,99)))+1,999),FIND(":",MID(TRIM(MID(SUBSTITUTE(K83,";",REPT(" ",99)),1,99)),FIND(":",TRIM(MID(SUBSTITUTE(K83,";",REPT(" ",99)),1,99)))+1,999))+1,999),FIND(":",MID(MID(TRIM(MID(SUBSTITUTE(K83,";",REPT(" ",99)),1,99)),FIND(":",TRIM(MID(SUBSTITUTE(K83,";",REPT(" ",99)),1,99)))+1,999),FIND(":",MID(TRIM(MID(SUBSTITUTE(K83,";",REPT(" ",99)),1,99)),FIND(":",TRIM(MID(SUBSTITUTE(K83,";",REPT(" ",99)),1,99)))+1,999))+1,999))-1)),IF(TRIM(MID(SUBSTITUTE(K83,";",REPT(" ",99)),100,99))="","",IFERROR(VLOOKUP(--LEFT(MID(TRIM(MID(SUBSTITUTE(K83,";",REPT(" ",99)),100,99)),FIND(":",TRIM(MID(SUBSTITUTE(K83,";",REPT(" ",99)),100,99)))+1,999),FIND(":",MID(TRIM(MID(SUBSTITUTE(K83,";",REPT(" ",99)),100,99)),FIND(":",TRIM(MID(SUBSTITUTE(K83,";",REPT(" ",99)),100,99)))+1,999))-1),_Lookup!$A:$B,2,FALSE),"?")&amp;"×"&amp;LEFT(MID(MID(TRIM(MID(SUBSTITUTE(K83,";",REPT(" ",99)),100,99)),FIND(":",TRIM(MID(SUBSTITUTE(K83,";",REPT(" ",99)),100,99)))+1,999),FIND(":",MID(TRIM(MID(SUBSTITUTE(K83,";",REPT(" ",99)),100,99)),FIND(":",TRIM(MID(SUBSTITUTE(K83,";",REPT(" ",99)),100,99)))+1,999))+1,999),FIND(":",MID(MID(TRIM(MID(SUBSTITUTE(K83,";",REPT(" ",99)),100,99)),FIND(":",TRIM(MID(SUBSTITUTE(K83,";",REPT(" ",99)),100,99)))+1,999),FIND(":",MID(TRIM(MID(SUBSTITUTE(K83,";",REPT(" ",99)),100,99)),FIND(":",TRIM(MID(SUBSTITUTE(K83,";",REPT(" ",99)),100,99)))+1,999))+1,999))-1)),IF(TRIM(MID(SUBSTITUTE(K83,";",REPT(" ",99)),199,99))="","",IFERROR(VLOOKUP(--LEFT(MID(TRIM(MID(SUBSTITUTE(K83,";",REPT(" ",99)),199,99)),FIND(":",TRIM(MID(SUBSTITUTE(K83,";",REPT(" ",99)),199,99)))+1,999),FIND(":",MID(TRIM(MID(SUBSTITUTE(K83,";",REPT(" ",99)),199,99)),FIND(":",TRIM(MID(SUBSTITUTE(K83,";",REPT(" ",99)),199,99)))+1,999))-1),_Lookup!$A:$B,2,FALSE),"?")&amp;"×"&amp;LEFT(MID(MID(TRIM(MID(SUBSTITUTE(K83,";",REPT(" ",99)),199,99)),FIND(":",TRIM(MID(SUBSTITUTE(K83,";",REPT(" ",99)),199,99)))+1,999),FIND(":",MID(TRIM(MID(SUBSTITUTE(K83,";",REPT(" ",99)),199,99)),FIND(":",TRIM(MID(SUBSTITUTE(K83,";",REPT(" ",99)),199,99)))+1,999))+1,999),FIND(":",MID(MID(TRIM(MID(SUBSTITUTE(K83,";",REPT(" ",99)),199,99)),FIND(":",TRIM(MID(SUBSTITUTE(K83,";",REPT(" ",99)),199,99)))+1,999),FIND(":",MID(TRIM(MID(SUBSTITUTE(K83,";",REPT(" ",99)),199,99)),FIND(":",TRIM(MID(SUBSTITUTE(K83,";",REPT(" ",99)),199,99)))+1,999))+1,999))-1)),IF(TRIM(MID(SUBSTITUTE(K83,";",REPT(" ",99)),298,99))="","",IFERROR(VLOOKUP(--LEFT(MID(TRIM(MID(SUBSTITUTE(K83,";",REPT(" ",99)),298,99)),FIND(":",TRIM(MID(SUBSTITUTE(K83,";",REPT(" ",99)),298,99)))+1,999),FIND(":",MID(TRIM(MID(SUBSTITUTE(K83,";",REPT(" ",99)),298,99)),FIND(":",TRIM(MID(SUBSTITUTE(K83,";",REPT(" ",99)),298,99)))+1,999))-1),_Lookup!$A:$B,2,FALSE),"?")&amp;"×"&amp;LEFT(MID(MID(TRIM(MID(SUBSTITUTE(K83,";",REPT(" ",99)),298,99)),FIND(":",TRIM(MID(SUBSTITUTE(K83,";",REPT(" ",99)),298,99)))+1,999),FIND(":",MID(TRIM(MID(SUBSTITUTE(K83,";",REPT(" ",99)),298,99)),FIND(":",TRIM(MID(SUBSTITUTE(K83,";",REPT(" ",99)),298,99)))+1,999))+1,999),FIND(":",MID(MID(TRIM(MID(SUBSTITUTE(K83,";",REPT(" ",99)),298,99)),FIND(":",TRIM(MID(SUBSTITUTE(K83,";",REPT(" ",99)),298,99)))+1,999),FIND(":",MID(TRIM(MID(SUBSTITUTE(K83,";",REPT(" ",99)),298,99)),FIND(":",TRIM(MID(SUBSTITUTE(K83,";",REPT(" ",99)),298,99)))+1,999))+1,999))-1)),IF(TRIM(MID(SUBSTITUTE(K83,";",REPT(" ",99)),397,99))="","",IFERROR(VLOOKUP(--LEFT(MID(TRIM(MID(SUBSTITUTE(K83,";",REPT(" ",99)),397,99)),FIND(":",TRIM(MID(SUBSTITUTE(K83,";",REPT(" ",99)),397,99)))+1,999),FIND(":",MID(TRIM(MID(SUBSTITUTE(K83,";",REPT(" ",99)),397,99)),FIND(":",TRIM(MID(SUBSTITUTE(K83,";",REPT(" ",99)),397,99)))+1,999))-1),_Lookup!$A:$B,2,FALSE),"?")&amp;"×"&amp;LEFT(MID(MID(TRIM(MID(SUBSTITUTE(K83,";",REPT(" ",99)),397,99)),FIND(":",TRIM(MID(SUBSTITUTE(K83,";",REPT(" ",99)),397,99)))+1,999),FIND(":",MID(TRIM(MID(SUBSTITUTE(K83,";",REPT(" ",99)),397,99)),FIND(":",TRIM(MID(SUBSTITUTE(K83,";",REPT(" ",99)),397,99)))+1,999))+1,999),FIND(":",MID(MID(TRIM(MID(SUBSTITUTE(K83,";",REPT(" ",99)),397,99)),FIND(":",TRIM(MID(SUBSTITUTE(K83,";",REPT(" ",99)),397,99)))+1,999),FIND(":",MID(TRIM(MID(SUBSTITUTE(K83,";",REPT(" ",99)),397,99)),FIND(":",TRIM(MID(SUBSTITUTE(K83,";",REPT(" ",99)),397,99)))+1,999))+1,999))-1))))</f>
        <v/>
      </c>
    </row>
    <row r="84">
      <c r="D84" s="11">
        <f>IFERROR(VLOOKUP(C84,ItemData_Fish!$A:$B,2,FALSE),"")</f>
        <v/>
      </c>
      <c r="L84" s="11">
        <f>IF(K84="","",TEXTJOIN("; ",TRUE,IF(TRIM(MID(SUBSTITUTE(K84,";",REPT(" ",99)),1,99))="","",IFERROR(VLOOKUP(--LEFT(MID(TRIM(MID(SUBSTITUTE(K84,";",REPT(" ",99)),1,99)),FIND(":",TRIM(MID(SUBSTITUTE(K84,";",REPT(" ",99)),1,99)))+1,999),FIND(":",MID(TRIM(MID(SUBSTITUTE(K84,";",REPT(" ",99)),1,99)),FIND(":",TRIM(MID(SUBSTITUTE(K84,";",REPT(" ",99)),1,99)))+1,999))-1),_Lookup!$A:$B,2,FALSE),"?")&amp;"×"&amp;LEFT(MID(MID(TRIM(MID(SUBSTITUTE(K84,";",REPT(" ",99)),1,99)),FIND(":",TRIM(MID(SUBSTITUTE(K84,";",REPT(" ",99)),1,99)))+1,999),FIND(":",MID(TRIM(MID(SUBSTITUTE(K84,";",REPT(" ",99)),1,99)),FIND(":",TRIM(MID(SUBSTITUTE(K84,";",REPT(" ",99)),1,99)))+1,999))+1,999),FIND(":",MID(MID(TRIM(MID(SUBSTITUTE(K84,";",REPT(" ",99)),1,99)),FIND(":",TRIM(MID(SUBSTITUTE(K84,";",REPT(" ",99)),1,99)))+1,999),FIND(":",MID(TRIM(MID(SUBSTITUTE(K84,";",REPT(" ",99)),1,99)),FIND(":",TRIM(MID(SUBSTITUTE(K84,";",REPT(" ",99)),1,99)))+1,999))+1,999))-1)),IF(TRIM(MID(SUBSTITUTE(K84,";",REPT(" ",99)),100,99))="","",IFERROR(VLOOKUP(--LEFT(MID(TRIM(MID(SUBSTITUTE(K84,";",REPT(" ",99)),100,99)),FIND(":",TRIM(MID(SUBSTITUTE(K84,";",REPT(" ",99)),100,99)))+1,999),FIND(":",MID(TRIM(MID(SUBSTITUTE(K84,";",REPT(" ",99)),100,99)),FIND(":",TRIM(MID(SUBSTITUTE(K84,";",REPT(" ",99)),100,99)))+1,999))-1),_Lookup!$A:$B,2,FALSE),"?")&amp;"×"&amp;LEFT(MID(MID(TRIM(MID(SUBSTITUTE(K84,";",REPT(" ",99)),100,99)),FIND(":",TRIM(MID(SUBSTITUTE(K84,";",REPT(" ",99)),100,99)))+1,999),FIND(":",MID(TRIM(MID(SUBSTITUTE(K84,";",REPT(" ",99)),100,99)),FIND(":",TRIM(MID(SUBSTITUTE(K84,";",REPT(" ",99)),100,99)))+1,999))+1,999),FIND(":",MID(MID(TRIM(MID(SUBSTITUTE(K84,";",REPT(" ",99)),100,99)),FIND(":",TRIM(MID(SUBSTITUTE(K84,";",REPT(" ",99)),100,99)))+1,999),FIND(":",MID(TRIM(MID(SUBSTITUTE(K84,";",REPT(" ",99)),100,99)),FIND(":",TRIM(MID(SUBSTITUTE(K84,";",REPT(" ",99)),100,99)))+1,999))+1,999))-1)),IF(TRIM(MID(SUBSTITUTE(K84,";",REPT(" ",99)),199,99))="","",IFERROR(VLOOKUP(--LEFT(MID(TRIM(MID(SUBSTITUTE(K84,";",REPT(" ",99)),199,99)),FIND(":",TRIM(MID(SUBSTITUTE(K84,";",REPT(" ",99)),199,99)))+1,999),FIND(":",MID(TRIM(MID(SUBSTITUTE(K84,";",REPT(" ",99)),199,99)),FIND(":",TRIM(MID(SUBSTITUTE(K84,";",REPT(" ",99)),199,99)))+1,999))-1),_Lookup!$A:$B,2,FALSE),"?")&amp;"×"&amp;LEFT(MID(MID(TRIM(MID(SUBSTITUTE(K84,";",REPT(" ",99)),199,99)),FIND(":",TRIM(MID(SUBSTITUTE(K84,";",REPT(" ",99)),199,99)))+1,999),FIND(":",MID(TRIM(MID(SUBSTITUTE(K84,";",REPT(" ",99)),199,99)),FIND(":",TRIM(MID(SUBSTITUTE(K84,";",REPT(" ",99)),199,99)))+1,999))+1,999),FIND(":",MID(MID(TRIM(MID(SUBSTITUTE(K84,";",REPT(" ",99)),199,99)),FIND(":",TRIM(MID(SUBSTITUTE(K84,";",REPT(" ",99)),199,99)))+1,999),FIND(":",MID(TRIM(MID(SUBSTITUTE(K84,";",REPT(" ",99)),199,99)),FIND(":",TRIM(MID(SUBSTITUTE(K84,";",REPT(" ",99)),199,99)))+1,999))+1,999))-1)),IF(TRIM(MID(SUBSTITUTE(K84,";",REPT(" ",99)),298,99))="","",IFERROR(VLOOKUP(--LEFT(MID(TRIM(MID(SUBSTITUTE(K84,";",REPT(" ",99)),298,99)),FIND(":",TRIM(MID(SUBSTITUTE(K84,";",REPT(" ",99)),298,99)))+1,999),FIND(":",MID(TRIM(MID(SUBSTITUTE(K84,";",REPT(" ",99)),298,99)),FIND(":",TRIM(MID(SUBSTITUTE(K84,";",REPT(" ",99)),298,99)))+1,999))-1),_Lookup!$A:$B,2,FALSE),"?")&amp;"×"&amp;LEFT(MID(MID(TRIM(MID(SUBSTITUTE(K84,";",REPT(" ",99)),298,99)),FIND(":",TRIM(MID(SUBSTITUTE(K84,";",REPT(" ",99)),298,99)))+1,999),FIND(":",MID(TRIM(MID(SUBSTITUTE(K84,";",REPT(" ",99)),298,99)),FIND(":",TRIM(MID(SUBSTITUTE(K84,";",REPT(" ",99)),298,99)))+1,999))+1,999),FIND(":",MID(MID(TRIM(MID(SUBSTITUTE(K84,";",REPT(" ",99)),298,99)),FIND(":",TRIM(MID(SUBSTITUTE(K84,";",REPT(" ",99)),298,99)))+1,999),FIND(":",MID(TRIM(MID(SUBSTITUTE(K84,";",REPT(" ",99)),298,99)),FIND(":",TRIM(MID(SUBSTITUTE(K84,";",REPT(" ",99)),298,99)))+1,999))+1,999))-1)),IF(TRIM(MID(SUBSTITUTE(K84,";",REPT(" ",99)),397,99))="","",IFERROR(VLOOKUP(--LEFT(MID(TRIM(MID(SUBSTITUTE(K84,";",REPT(" ",99)),397,99)),FIND(":",TRIM(MID(SUBSTITUTE(K84,";",REPT(" ",99)),397,99)))+1,999),FIND(":",MID(TRIM(MID(SUBSTITUTE(K84,";",REPT(" ",99)),397,99)),FIND(":",TRIM(MID(SUBSTITUTE(K84,";",REPT(" ",99)),397,99)))+1,999))-1),_Lookup!$A:$B,2,FALSE),"?")&amp;"×"&amp;LEFT(MID(MID(TRIM(MID(SUBSTITUTE(K84,";",REPT(" ",99)),397,99)),FIND(":",TRIM(MID(SUBSTITUTE(K84,";",REPT(" ",99)),397,99)))+1,999),FIND(":",MID(TRIM(MID(SUBSTITUTE(K84,";",REPT(" ",99)),397,99)),FIND(":",TRIM(MID(SUBSTITUTE(K84,";",REPT(" ",99)),397,99)))+1,999))+1,999),FIND(":",MID(MID(TRIM(MID(SUBSTITUTE(K84,";",REPT(" ",99)),397,99)),FIND(":",TRIM(MID(SUBSTITUTE(K84,";",REPT(" ",99)),397,99)))+1,999),FIND(":",MID(TRIM(MID(SUBSTITUTE(K84,";",REPT(" ",99)),397,99)),FIND(":",TRIM(MID(SUBSTITUTE(K84,";",REPT(" ",99)),397,99)))+1,999))+1,999))-1))))</f>
        <v/>
      </c>
    </row>
    <row r="85">
      <c r="D85" s="11">
        <f>IFERROR(VLOOKUP(C85,ItemData_Fish!$A:$B,2,FALSE),"")</f>
        <v/>
      </c>
      <c r="L85" s="11">
        <f>IF(K85="","",TEXTJOIN("; ",TRUE,IF(TRIM(MID(SUBSTITUTE(K85,";",REPT(" ",99)),1,99))="","",IFERROR(VLOOKUP(--LEFT(MID(TRIM(MID(SUBSTITUTE(K85,";",REPT(" ",99)),1,99)),FIND(":",TRIM(MID(SUBSTITUTE(K85,";",REPT(" ",99)),1,99)))+1,999),FIND(":",MID(TRIM(MID(SUBSTITUTE(K85,";",REPT(" ",99)),1,99)),FIND(":",TRIM(MID(SUBSTITUTE(K85,";",REPT(" ",99)),1,99)))+1,999))-1),_Lookup!$A:$B,2,FALSE),"?")&amp;"×"&amp;LEFT(MID(MID(TRIM(MID(SUBSTITUTE(K85,";",REPT(" ",99)),1,99)),FIND(":",TRIM(MID(SUBSTITUTE(K85,";",REPT(" ",99)),1,99)))+1,999),FIND(":",MID(TRIM(MID(SUBSTITUTE(K85,";",REPT(" ",99)),1,99)),FIND(":",TRIM(MID(SUBSTITUTE(K85,";",REPT(" ",99)),1,99)))+1,999))+1,999),FIND(":",MID(MID(TRIM(MID(SUBSTITUTE(K85,";",REPT(" ",99)),1,99)),FIND(":",TRIM(MID(SUBSTITUTE(K85,";",REPT(" ",99)),1,99)))+1,999),FIND(":",MID(TRIM(MID(SUBSTITUTE(K85,";",REPT(" ",99)),1,99)),FIND(":",TRIM(MID(SUBSTITUTE(K85,";",REPT(" ",99)),1,99)))+1,999))+1,999))-1)),IF(TRIM(MID(SUBSTITUTE(K85,";",REPT(" ",99)),100,99))="","",IFERROR(VLOOKUP(--LEFT(MID(TRIM(MID(SUBSTITUTE(K85,";",REPT(" ",99)),100,99)),FIND(":",TRIM(MID(SUBSTITUTE(K85,";",REPT(" ",99)),100,99)))+1,999),FIND(":",MID(TRIM(MID(SUBSTITUTE(K85,";",REPT(" ",99)),100,99)),FIND(":",TRIM(MID(SUBSTITUTE(K85,";",REPT(" ",99)),100,99)))+1,999))-1),_Lookup!$A:$B,2,FALSE),"?")&amp;"×"&amp;LEFT(MID(MID(TRIM(MID(SUBSTITUTE(K85,";",REPT(" ",99)),100,99)),FIND(":",TRIM(MID(SUBSTITUTE(K85,";",REPT(" ",99)),100,99)))+1,999),FIND(":",MID(TRIM(MID(SUBSTITUTE(K85,";",REPT(" ",99)),100,99)),FIND(":",TRIM(MID(SUBSTITUTE(K85,";",REPT(" ",99)),100,99)))+1,999))+1,999),FIND(":",MID(MID(TRIM(MID(SUBSTITUTE(K85,";",REPT(" ",99)),100,99)),FIND(":",TRIM(MID(SUBSTITUTE(K85,";",REPT(" ",99)),100,99)))+1,999),FIND(":",MID(TRIM(MID(SUBSTITUTE(K85,";",REPT(" ",99)),100,99)),FIND(":",TRIM(MID(SUBSTITUTE(K85,";",REPT(" ",99)),100,99)))+1,999))+1,999))-1)),IF(TRIM(MID(SUBSTITUTE(K85,";",REPT(" ",99)),199,99))="","",IFERROR(VLOOKUP(--LEFT(MID(TRIM(MID(SUBSTITUTE(K85,";",REPT(" ",99)),199,99)),FIND(":",TRIM(MID(SUBSTITUTE(K85,";",REPT(" ",99)),199,99)))+1,999),FIND(":",MID(TRIM(MID(SUBSTITUTE(K85,";",REPT(" ",99)),199,99)),FIND(":",TRIM(MID(SUBSTITUTE(K85,";",REPT(" ",99)),199,99)))+1,999))-1),_Lookup!$A:$B,2,FALSE),"?")&amp;"×"&amp;LEFT(MID(MID(TRIM(MID(SUBSTITUTE(K85,";",REPT(" ",99)),199,99)),FIND(":",TRIM(MID(SUBSTITUTE(K85,";",REPT(" ",99)),199,99)))+1,999),FIND(":",MID(TRIM(MID(SUBSTITUTE(K85,";",REPT(" ",99)),199,99)),FIND(":",TRIM(MID(SUBSTITUTE(K85,";",REPT(" ",99)),199,99)))+1,999))+1,999),FIND(":",MID(MID(TRIM(MID(SUBSTITUTE(K85,";",REPT(" ",99)),199,99)),FIND(":",TRIM(MID(SUBSTITUTE(K85,";",REPT(" ",99)),199,99)))+1,999),FIND(":",MID(TRIM(MID(SUBSTITUTE(K85,";",REPT(" ",99)),199,99)),FIND(":",TRIM(MID(SUBSTITUTE(K85,";",REPT(" ",99)),199,99)))+1,999))+1,999))-1)),IF(TRIM(MID(SUBSTITUTE(K85,";",REPT(" ",99)),298,99))="","",IFERROR(VLOOKUP(--LEFT(MID(TRIM(MID(SUBSTITUTE(K85,";",REPT(" ",99)),298,99)),FIND(":",TRIM(MID(SUBSTITUTE(K85,";",REPT(" ",99)),298,99)))+1,999),FIND(":",MID(TRIM(MID(SUBSTITUTE(K85,";",REPT(" ",99)),298,99)),FIND(":",TRIM(MID(SUBSTITUTE(K85,";",REPT(" ",99)),298,99)))+1,999))-1),_Lookup!$A:$B,2,FALSE),"?")&amp;"×"&amp;LEFT(MID(MID(TRIM(MID(SUBSTITUTE(K85,";",REPT(" ",99)),298,99)),FIND(":",TRIM(MID(SUBSTITUTE(K85,";",REPT(" ",99)),298,99)))+1,999),FIND(":",MID(TRIM(MID(SUBSTITUTE(K85,";",REPT(" ",99)),298,99)),FIND(":",TRIM(MID(SUBSTITUTE(K85,";",REPT(" ",99)),298,99)))+1,999))+1,999),FIND(":",MID(MID(TRIM(MID(SUBSTITUTE(K85,";",REPT(" ",99)),298,99)),FIND(":",TRIM(MID(SUBSTITUTE(K85,";",REPT(" ",99)),298,99)))+1,999),FIND(":",MID(TRIM(MID(SUBSTITUTE(K85,";",REPT(" ",99)),298,99)),FIND(":",TRIM(MID(SUBSTITUTE(K85,";",REPT(" ",99)),298,99)))+1,999))+1,999))-1)),IF(TRIM(MID(SUBSTITUTE(K85,";",REPT(" ",99)),397,99))="","",IFERROR(VLOOKUP(--LEFT(MID(TRIM(MID(SUBSTITUTE(K85,";",REPT(" ",99)),397,99)),FIND(":",TRIM(MID(SUBSTITUTE(K85,";",REPT(" ",99)),397,99)))+1,999),FIND(":",MID(TRIM(MID(SUBSTITUTE(K85,";",REPT(" ",99)),397,99)),FIND(":",TRIM(MID(SUBSTITUTE(K85,";",REPT(" ",99)),397,99)))+1,999))-1),_Lookup!$A:$B,2,FALSE),"?")&amp;"×"&amp;LEFT(MID(MID(TRIM(MID(SUBSTITUTE(K85,";",REPT(" ",99)),397,99)),FIND(":",TRIM(MID(SUBSTITUTE(K85,";",REPT(" ",99)),397,99)))+1,999),FIND(":",MID(TRIM(MID(SUBSTITUTE(K85,";",REPT(" ",99)),397,99)),FIND(":",TRIM(MID(SUBSTITUTE(K85,";",REPT(" ",99)),397,99)))+1,999))+1,999),FIND(":",MID(MID(TRIM(MID(SUBSTITUTE(K85,";",REPT(" ",99)),397,99)),FIND(":",TRIM(MID(SUBSTITUTE(K85,";",REPT(" ",99)),397,99)))+1,999),FIND(":",MID(TRIM(MID(SUBSTITUTE(K85,";",REPT(" ",99)),397,99)),FIND(":",TRIM(MID(SUBSTITUTE(K85,";",REPT(" ",99)),397,99)))+1,999))+1,999))-1))))</f>
        <v/>
      </c>
    </row>
    <row r="86">
      <c r="D86" s="11">
        <f>IFERROR(VLOOKUP(C86,ItemData_Fish!$A:$B,2,FALSE),"")</f>
        <v/>
      </c>
      <c r="L86" s="11">
        <f>IF(K86="","",TEXTJOIN("; ",TRUE,IF(TRIM(MID(SUBSTITUTE(K86,";",REPT(" ",99)),1,99))="","",IFERROR(VLOOKUP(--LEFT(MID(TRIM(MID(SUBSTITUTE(K86,";",REPT(" ",99)),1,99)),FIND(":",TRIM(MID(SUBSTITUTE(K86,";",REPT(" ",99)),1,99)))+1,999),FIND(":",MID(TRIM(MID(SUBSTITUTE(K86,";",REPT(" ",99)),1,99)),FIND(":",TRIM(MID(SUBSTITUTE(K86,";",REPT(" ",99)),1,99)))+1,999))-1),_Lookup!$A:$B,2,FALSE),"?")&amp;"×"&amp;LEFT(MID(MID(TRIM(MID(SUBSTITUTE(K86,";",REPT(" ",99)),1,99)),FIND(":",TRIM(MID(SUBSTITUTE(K86,";",REPT(" ",99)),1,99)))+1,999),FIND(":",MID(TRIM(MID(SUBSTITUTE(K86,";",REPT(" ",99)),1,99)),FIND(":",TRIM(MID(SUBSTITUTE(K86,";",REPT(" ",99)),1,99)))+1,999))+1,999),FIND(":",MID(MID(TRIM(MID(SUBSTITUTE(K86,";",REPT(" ",99)),1,99)),FIND(":",TRIM(MID(SUBSTITUTE(K86,";",REPT(" ",99)),1,99)))+1,999),FIND(":",MID(TRIM(MID(SUBSTITUTE(K86,";",REPT(" ",99)),1,99)),FIND(":",TRIM(MID(SUBSTITUTE(K86,";",REPT(" ",99)),1,99)))+1,999))+1,999))-1)),IF(TRIM(MID(SUBSTITUTE(K86,";",REPT(" ",99)),100,99))="","",IFERROR(VLOOKUP(--LEFT(MID(TRIM(MID(SUBSTITUTE(K86,";",REPT(" ",99)),100,99)),FIND(":",TRIM(MID(SUBSTITUTE(K86,";",REPT(" ",99)),100,99)))+1,999),FIND(":",MID(TRIM(MID(SUBSTITUTE(K86,";",REPT(" ",99)),100,99)),FIND(":",TRIM(MID(SUBSTITUTE(K86,";",REPT(" ",99)),100,99)))+1,999))-1),_Lookup!$A:$B,2,FALSE),"?")&amp;"×"&amp;LEFT(MID(MID(TRIM(MID(SUBSTITUTE(K86,";",REPT(" ",99)),100,99)),FIND(":",TRIM(MID(SUBSTITUTE(K86,";",REPT(" ",99)),100,99)))+1,999),FIND(":",MID(TRIM(MID(SUBSTITUTE(K86,";",REPT(" ",99)),100,99)),FIND(":",TRIM(MID(SUBSTITUTE(K86,";",REPT(" ",99)),100,99)))+1,999))+1,999),FIND(":",MID(MID(TRIM(MID(SUBSTITUTE(K86,";",REPT(" ",99)),100,99)),FIND(":",TRIM(MID(SUBSTITUTE(K86,";",REPT(" ",99)),100,99)))+1,999),FIND(":",MID(TRIM(MID(SUBSTITUTE(K86,";",REPT(" ",99)),100,99)),FIND(":",TRIM(MID(SUBSTITUTE(K86,";",REPT(" ",99)),100,99)))+1,999))+1,999))-1)),IF(TRIM(MID(SUBSTITUTE(K86,";",REPT(" ",99)),199,99))="","",IFERROR(VLOOKUP(--LEFT(MID(TRIM(MID(SUBSTITUTE(K86,";",REPT(" ",99)),199,99)),FIND(":",TRIM(MID(SUBSTITUTE(K86,";",REPT(" ",99)),199,99)))+1,999),FIND(":",MID(TRIM(MID(SUBSTITUTE(K86,";",REPT(" ",99)),199,99)),FIND(":",TRIM(MID(SUBSTITUTE(K86,";",REPT(" ",99)),199,99)))+1,999))-1),_Lookup!$A:$B,2,FALSE),"?")&amp;"×"&amp;LEFT(MID(MID(TRIM(MID(SUBSTITUTE(K86,";",REPT(" ",99)),199,99)),FIND(":",TRIM(MID(SUBSTITUTE(K86,";",REPT(" ",99)),199,99)))+1,999),FIND(":",MID(TRIM(MID(SUBSTITUTE(K86,";",REPT(" ",99)),199,99)),FIND(":",TRIM(MID(SUBSTITUTE(K86,";",REPT(" ",99)),199,99)))+1,999))+1,999),FIND(":",MID(MID(TRIM(MID(SUBSTITUTE(K86,";",REPT(" ",99)),199,99)),FIND(":",TRIM(MID(SUBSTITUTE(K86,";",REPT(" ",99)),199,99)))+1,999),FIND(":",MID(TRIM(MID(SUBSTITUTE(K86,";",REPT(" ",99)),199,99)),FIND(":",TRIM(MID(SUBSTITUTE(K86,";",REPT(" ",99)),199,99)))+1,999))+1,999))-1)),IF(TRIM(MID(SUBSTITUTE(K86,";",REPT(" ",99)),298,99))="","",IFERROR(VLOOKUP(--LEFT(MID(TRIM(MID(SUBSTITUTE(K86,";",REPT(" ",99)),298,99)),FIND(":",TRIM(MID(SUBSTITUTE(K86,";",REPT(" ",99)),298,99)))+1,999),FIND(":",MID(TRIM(MID(SUBSTITUTE(K86,";",REPT(" ",99)),298,99)),FIND(":",TRIM(MID(SUBSTITUTE(K86,";",REPT(" ",99)),298,99)))+1,999))-1),_Lookup!$A:$B,2,FALSE),"?")&amp;"×"&amp;LEFT(MID(MID(TRIM(MID(SUBSTITUTE(K86,";",REPT(" ",99)),298,99)),FIND(":",TRIM(MID(SUBSTITUTE(K86,";",REPT(" ",99)),298,99)))+1,999),FIND(":",MID(TRIM(MID(SUBSTITUTE(K86,";",REPT(" ",99)),298,99)),FIND(":",TRIM(MID(SUBSTITUTE(K86,";",REPT(" ",99)),298,99)))+1,999))+1,999),FIND(":",MID(MID(TRIM(MID(SUBSTITUTE(K86,";",REPT(" ",99)),298,99)),FIND(":",TRIM(MID(SUBSTITUTE(K86,";",REPT(" ",99)),298,99)))+1,999),FIND(":",MID(TRIM(MID(SUBSTITUTE(K86,";",REPT(" ",99)),298,99)),FIND(":",TRIM(MID(SUBSTITUTE(K86,";",REPT(" ",99)),298,99)))+1,999))+1,999))-1)),IF(TRIM(MID(SUBSTITUTE(K86,";",REPT(" ",99)),397,99))="","",IFERROR(VLOOKUP(--LEFT(MID(TRIM(MID(SUBSTITUTE(K86,";",REPT(" ",99)),397,99)),FIND(":",TRIM(MID(SUBSTITUTE(K86,";",REPT(" ",99)),397,99)))+1,999),FIND(":",MID(TRIM(MID(SUBSTITUTE(K86,";",REPT(" ",99)),397,99)),FIND(":",TRIM(MID(SUBSTITUTE(K86,";",REPT(" ",99)),397,99)))+1,999))-1),_Lookup!$A:$B,2,FALSE),"?")&amp;"×"&amp;LEFT(MID(MID(TRIM(MID(SUBSTITUTE(K86,";",REPT(" ",99)),397,99)),FIND(":",TRIM(MID(SUBSTITUTE(K86,";",REPT(" ",99)),397,99)))+1,999),FIND(":",MID(TRIM(MID(SUBSTITUTE(K86,";",REPT(" ",99)),397,99)),FIND(":",TRIM(MID(SUBSTITUTE(K86,";",REPT(" ",99)),397,99)))+1,999))+1,999),FIND(":",MID(MID(TRIM(MID(SUBSTITUTE(K86,";",REPT(" ",99)),397,99)),FIND(":",TRIM(MID(SUBSTITUTE(K86,";",REPT(" ",99)),397,99)))+1,999),FIND(":",MID(TRIM(MID(SUBSTITUTE(K86,";",REPT(" ",99)),397,99)),FIND(":",TRIM(MID(SUBSTITUTE(K86,";",REPT(" ",99)),397,99)))+1,999))+1,999))-1))))</f>
        <v/>
      </c>
    </row>
    <row r="87">
      <c r="D87" s="11">
        <f>IFERROR(VLOOKUP(C87,ItemData_Fish!$A:$B,2,FALSE),"")</f>
        <v/>
      </c>
      <c r="L87" s="11">
        <f>IF(K87="","",TEXTJOIN("; ",TRUE,IF(TRIM(MID(SUBSTITUTE(K87,";",REPT(" ",99)),1,99))="","",IFERROR(VLOOKUP(--LEFT(MID(TRIM(MID(SUBSTITUTE(K87,";",REPT(" ",99)),1,99)),FIND(":",TRIM(MID(SUBSTITUTE(K87,";",REPT(" ",99)),1,99)))+1,999),FIND(":",MID(TRIM(MID(SUBSTITUTE(K87,";",REPT(" ",99)),1,99)),FIND(":",TRIM(MID(SUBSTITUTE(K87,";",REPT(" ",99)),1,99)))+1,999))-1),_Lookup!$A:$B,2,FALSE),"?")&amp;"×"&amp;LEFT(MID(MID(TRIM(MID(SUBSTITUTE(K87,";",REPT(" ",99)),1,99)),FIND(":",TRIM(MID(SUBSTITUTE(K87,";",REPT(" ",99)),1,99)))+1,999),FIND(":",MID(TRIM(MID(SUBSTITUTE(K87,";",REPT(" ",99)),1,99)),FIND(":",TRIM(MID(SUBSTITUTE(K87,";",REPT(" ",99)),1,99)))+1,999))+1,999),FIND(":",MID(MID(TRIM(MID(SUBSTITUTE(K87,";",REPT(" ",99)),1,99)),FIND(":",TRIM(MID(SUBSTITUTE(K87,";",REPT(" ",99)),1,99)))+1,999),FIND(":",MID(TRIM(MID(SUBSTITUTE(K87,";",REPT(" ",99)),1,99)),FIND(":",TRIM(MID(SUBSTITUTE(K87,";",REPT(" ",99)),1,99)))+1,999))+1,999))-1)),IF(TRIM(MID(SUBSTITUTE(K87,";",REPT(" ",99)),100,99))="","",IFERROR(VLOOKUP(--LEFT(MID(TRIM(MID(SUBSTITUTE(K87,";",REPT(" ",99)),100,99)),FIND(":",TRIM(MID(SUBSTITUTE(K87,";",REPT(" ",99)),100,99)))+1,999),FIND(":",MID(TRIM(MID(SUBSTITUTE(K87,";",REPT(" ",99)),100,99)),FIND(":",TRIM(MID(SUBSTITUTE(K87,";",REPT(" ",99)),100,99)))+1,999))-1),_Lookup!$A:$B,2,FALSE),"?")&amp;"×"&amp;LEFT(MID(MID(TRIM(MID(SUBSTITUTE(K87,";",REPT(" ",99)),100,99)),FIND(":",TRIM(MID(SUBSTITUTE(K87,";",REPT(" ",99)),100,99)))+1,999),FIND(":",MID(TRIM(MID(SUBSTITUTE(K87,";",REPT(" ",99)),100,99)),FIND(":",TRIM(MID(SUBSTITUTE(K87,";",REPT(" ",99)),100,99)))+1,999))+1,999),FIND(":",MID(MID(TRIM(MID(SUBSTITUTE(K87,";",REPT(" ",99)),100,99)),FIND(":",TRIM(MID(SUBSTITUTE(K87,";",REPT(" ",99)),100,99)))+1,999),FIND(":",MID(TRIM(MID(SUBSTITUTE(K87,";",REPT(" ",99)),100,99)),FIND(":",TRIM(MID(SUBSTITUTE(K87,";",REPT(" ",99)),100,99)))+1,999))+1,999))-1)),IF(TRIM(MID(SUBSTITUTE(K87,";",REPT(" ",99)),199,99))="","",IFERROR(VLOOKUP(--LEFT(MID(TRIM(MID(SUBSTITUTE(K87,";",REPT(" ",99)),199,99)),FIND(":",TRIM(MID(SUBSTITUTE(K87,";",REPT(" ",99)),199,99)))+1,999),FIND(":",MID(TRIM(MID(SUBSTITUTE(K87,";",REPT(" ",99)),199,99)),FIND(":",TRIM(MID(SUBSTITUTE(K87,";",REPT(" ",99)),199,99)))+1,999))-1),_Lookup!$A:$B,2,FALSE),"?")&amp;"×"&amp;LEFT(MID(MID(TRIM(MID(SUBSTITUTE(K87,";",REPT(" ",99)),199,99)),FIND(":",TRIM(MID(SUBSTITUTE(K87,";",REPT(" ",99)),199,99)))+1,999),FIND(":",MID(TRIM(MID(SUBSTITUTE(K87,";",REPT(" ",99)),199,99)),FIND(":",TRIM(MID(SUBSTITUTE(K87,";",REPT(" ",99)),199,99)))+1,999))+1,999),FIND(":",MID(MID(TRIM(MID(SUBSTITUTE(K87,";",REPT(" ",99)),199,99)),FIND(":",TRIM(MID(SUBSTITUTE(K87,";",REPT(" ",99)),199,99)))+1,999),FIND(":",MID(TRIM(MID(SUBSTITUTE(K87,";",REPT(" ",99)),199,99)),FIND(":",TRIM(MID(SUBSTITUTE(K87,";",REPT(" ",99)),199,99)))+1,999))+1,999))-1)),IF(TRIM(MID(SUBSTITUTE(K87,";",REPT(" ",99)),298,99))="","",IFERROR(VLOOKUP(--LEFT(MID(TRIM(MID(SUBSTITUTE(K87,";",REPT(" ",99)),298,99)),FIND(":",TRIM(MID(SUBSTITUTE(K87,";",REPT(" ",99)),298,99)))+1,999),FIND(":",MID(TRIM(MID(SUBSTITUTE(K87,";",REPT(" ",99)),298,99)),FIND(":",TRIM(MID(SUBSTITUTE(K87,";",REPT(" ",99)),298,99)))+1,999))-1),_Lookup!$A:$B,2,FALSE),"?")&amp;"×"&amp;LEFT(MID(MID(TRIM(MID(SUBSTITUTE(K87,";",REPT(" ",99)),298,99)),FIND(":",TRIM(MID(SUBSTITUTE(K87,";",REPT(" ",99)),298,99)))+1,999),FIND(":",MID(TRIM(MID(SUBSTITUTE(K87,";",REPT(" ",99)),298,99)),FIND(":",TRIM(MID(SUBSTITUTE(K87,";",REPT(" ",99)),298,99)))+1,999))+1,999),FIND(":",MID(MID(TRIM(MID(SUBSTITUTE(K87,";",REPT(" ",99)),298,99)),FIND(":",TRIM(MID(SUBSTITUTE(K87,";",REPT(" ",99)),298,99)))+1,999),FIND(":",MID(TRIM(MID(SUBSTITUTE(K87,";",REPT(" ",99)),298,99)),FIND(":",TRIM(MID(SUBSTITUTE(K87,";",REPT(" ",99)),298,99)))+1,999))+1,999))-1)),IF(TRIM(MID(SUBSTITUTE(K87,";",REPT(" ",99)),397,99))="","",IFERROR(VLOOKUP(--LEFT(MID(TRIM(MID(SUBSTITUTE(K87,";",REPT(" ",99)),397,99)),FIND(":",TRIM(MID(SUBSTITUTE(K87,";",REPT(" ",99)),397,99)))+1,999),FIND(":",MID(TRIM(MID(SUBSTITUTE(K87,";",REPT(" ",99)),397,99)),FIND(":",TRIM(MID(SUBSTITUTE(K87,";",REPT(" ",99)),397,99)))+1,999))-1),_Lookup!$A:$B,2,FALSE),"?")&amp;"×"&amp;LEFT(MID(MID(TRIM(MID(SUBSTITUTE(K87,";",REPT(" ",99)),397,99)),FIND(":",TRIM(MID(SUBSTITUTE(K87,";",REPT(" ",99)),397,99)))+1,999),FIND(":",MID(TRIM(MID(SUBSTITUTE(K87,";",REPT(" ",99)),397,99)),FIND(":",TRIM(MID(SUBSTITUTE(K87,";",REPT(" ",99)),397,99)))+1,999))+1,999),FIND(":",MID(MID(TRIM(MID(SUBSTITUTE(K87,";",REPT(" ",99)),397,99)),FIND(":",TRIM(MID(SUBSTITUTE(K87,";",REPT(" ",99)),397,99)))+1,999),FIND(":",MID(TRIM(MID(SUBSTITUTE(K87,";",REPT(" ",99)),397,99)),FIND(":",TRIM(MID(SUBSTITUTE(K87,";",REPT(" ",99)),397,99)))+1,999))+1,999))-1))))</f>
        <v/>
      </c>
    </row>
    <row r="88">
      <c r="D88" s="11">
        <f>IFERROR(VLOOKUP(C88,ItemData_Fish!$A:$B,2,FALSE),"")</f>
        <v/>
      </c>
      <c r="L88" s="11">
        <f>IF(K88="","",TEXTJOIN("; ",TRUE,IF(TRIM(MID(SUBSTITUTE(K88,";",REPT(" ",99)),1,99))="","",IFERROR(VLOOKUP(--LEFT(MID(TRIM(MID(SUBSTITUTE(K88,";",REPT(" ",99)),1,99)),FIND(":",TRIM(MID(SUBSTITUTE(K88,";",REPT(" ",99)),1,99)))+1,999),FIND(":",MID(TRIM(MID(SUBSTITUTE(K88,";",REPT(" ",99)),1,99)),FIND(":",TRIM(MID(SUBSTITUTE(K88,";",REPT(" ",99)),1,99)))+1,999))-1),_Lookup!$A:$B,2,FALSE),"?")&amp;"×"&amp;LEFT(MID(MID(TRIM(MID(SUBSTITUTE(K88,";",REPT(" ",99)),1,99)),FIND(":",TRIM(MID(SUBSTITUTE(K88,";",REPT(" ",99)),1,99)))+1,999),FIND(":",MID(TRIM(MID(SUBSTITUTE(K88,";",REPT(" ",99)),1,99)),FIND(":",TRIM(MID(SUBSTITUTE(K88,";",REPT(" ",99)),1,99)))+1,999))+1,999),FIND(":",MID(MID(TRIM(MID(SUBSTITUTE(K88,";",REPT(" ",99)),1,99)),FIND(":",TRIM(MID(SUBSTITUTE(K88,";",REPT(" ",99)),1,99)))+1,999),FIND(":",MID(TRIM(MID(SUBSTITUTE(K88,";",REPT(" ",99)),1,99)),FIND(":",TRIM(MID(SUBSTITUTE(K88,";",REPT(" ",99)),1,99)))+1,999))+1,999))-1)),IF(TRIM(MID(SUBSTITUTE(K88,";",REPT(" ",99)),100,99))="","",IFERROR(VLOOKUP(--LEFT(MID(TRIM(MID(SUBSTITUTE(K88,";",REPT(" ",99)),100,99)),FIND(":",TRIM(MID(SUBSTITUTE(K88,";",REPT(" ",99)),100,99)))+1,999),FIND(":",MID(TRIM(MID(SUBSTITUTE(K88,";",REPT(" ",99)),100,99)),FIND(":",TRIM(MID(SUBSTITUTE(K88,";",REPT(" ",99)),100,99)))+1,999))-1),_Lookup!$A:$B,2,FALSE),"?")&amp;"×"&amp;LEFT(MID(MID(TRIM(MID(SUBSTITUTE(K88,";",REPT(" ",99)),100,99)),FIND(":",TRIM(MID(SUBSTITUTE(K88,";",REPT(" ",99)),100,99)))+1,999),FIND(":",MID(TRIM(MID(SUBSTITUTE(K88,";",REPT(" ",99)),100,99)),FIND(":",TRIM(MID(SUBSTITUTE(K88,";",REPT(" ",99)),100,99)))+1,999))+1,999),FIND(":",MID(MID(TRIM(MID(SUBSTITUTE(K88,";",REPT(" ",99)),100,99)),FIND(":",TRIM(MID(SUBSTITUTE(K88,";",REPT(" ",99)),100,99)))+1,999),FIND(":",MID(TRIM(MID(SUBSTITUTE(K88,";",REPT(" ",99)),100,99)),FIND(":",TRIM(MID(SUBSTITUTE(K88,";",REPT(" ",99)),100,99)))+1,999))+1,999))-1)),IF(TRIM(MID(SUBSTITUTE(K88,";",REPT(" ",99)),199,99))="","",IFERROR(VLOOKUP(--LEFT(MID(TRIM(MID(SUBSTITUTE(K88,";",REPT(" ",99)),199,99)),FIND(":",TRIM(MID(SUBSTITUTE(K88,";",REPT(" ",99)),199,99)))+1,999),FIND(":",MID(TRIM(MID(SUBSTITUTE(K88,";",REPT(" ",99)),199,99)),FIND(":",TRIM(MID(SUBSTITUTE(K88,";",REPT(" ",99)),199,99)))+1,999))-1),_Lookup!$A:$B,2,FALSE),"?")&amp;"×"&amp;LEFT(MID(MID(TRIM(MID(SUBSTITUTE(K88,";",REPT(" ",99)),199,99)),FIND(":",TRIM(MID(SUBSTITUTE(K88,";",REPT(" ",99)),199,99)))+1,999),FIND(":",MID(TRIM(MID(SUBSTITUTE(K88,";",REPT(" ",99)),199,99)),FIND(":",TRIM(MID(SUBSTITUTE(K88,";",REPT(" ",99)),199,99)))+1,999))+1,999),FIND(":",MID(MID(TRIM(MID(SUBSTITUTE(K88,";",REPT(" ",99)),199,99)),FIND(":",TRIM(MID(SUBSTITUTE(K88,";",REPT(" ",99)),199,99)))+1,999),FIND(":",MID(TRIM(MID(SUBSTITUTE(K88,";",REPT(" ",99)),199,99)),FIND(":",TRIM(MID(SUBSTITUTE(K88,";",REPT(" ",99)),199,99)))+1,999))+1,999))-1)),IF(TRIM(MID(SUBSTITUTE(K88,";",REPT(" ",99)),298,99))="","",IFERROR(VLOOKUP(--LEFT(MID(TRIM(MID(SUBSTITUTE(K88,";",REPT(" ",99)),298,99)),FIND(":",TRIM(MID(SUBSTITUTE(K88,";",REPT(" ",99)),298,99)))+1,999),FIND(":",MID(TRIM(MID(SUBSTITUTE(K88,";",REPT(" ",99)),298,99)),FIND(":",TRIM(MID(SUBSTITUTE(K88,";",REPT(" ",99)),298,99)))+1,999))-1),_Lookup!$A:$B,2,FALSE),"?")&amp;"×"&amp;LEFT(MID(MID(TRIM(MID(SUBSTITUTE(K88,";",REPT(" ",99)),298,99)),FIND(":",TRIM(MID(SUBSTITUTE(K88,";",REPT(" ",99)),298,99)))+1,999),FIND(":",MID(TRIM(MID(SUBSTITUTE(K88,";",REPT(" ",99)),298,99)),FIND(":",TRIM(MID(SUBSTITUTE(K88,";",REPT(" ",99)),298,99)))+1,999))+1,999),FIND(":",MID(MID(TRIM(MID(SUBSTITUTE(K88,";",REPT(" ",99)),298,99)),FIND(":",TRIM(MID(SUBSTITUTE(K88,";",REPT(" ",99)),298,99)))+1,999),FIND(":",MID(TRIM(MID(SUBSTITUTE(K88,";",REPT(" ",99)),298,99)),FIND(":",TRIM(MID(SUBSTITUTE(K88,";",REPT(" ",99)),298,99)))+1,999))+1,999))-1)),IF(TRIM(MID(SUBSTITUTE(K88,";",REPT(" ",99)),397,99))="","",IFERROR(VLOOKUP(--LEFT(MID(TRIM(MID(SUBSTITUTE(K88,";",REPT(" ",99)),397,99)),FIND(":",TRIM(MID(SUBSTITUTE(K88,";",REPT(" ",99)),397,99)))+1,999),FIND(":",MID(TRIM(MID(SUBSTITUTE(K88,";",REPT(" ",99)),397,99)),FIND(":",TRIM(MID(SUBSTITUTE(K88,";",REPT(" ",99)),397,99)))+1,999))-1),_Lookup!$A:$B,2,FALSE),"?")&amp;"×"&amp;LEFT(MID(MID(TRIM(MID(SUBSTITUTE(K88,";",REPT(" ",99)),397,99)),FIND(":",TRIM(MID(SUBSTITUTE(K88,";",REPT(" ",99)),397,99)))+1,999),FIND(":",MID(TRIM(MID(SUBSTITUTE(K88,";",REPT(" ",99)),397,99)),FIND(":",TRIM(MID(SUBSTITUTE(K88,";",REPT(" ",99)),397,99)))+1,999))+1,999),FIND(":",MID(MID(TRIM(MID(SUBSTITUTE(K88,";",REPT(" ",99)),397,99)),FIND(":",TRIM(MID(SUBSTITUTE(K88,";",REPT(" ",99)),397,99)))+1,999),FIND(":",MID(TRIM(MID(SUBSTITUTE(K88,";",REPT(" ",99)),397,99)),FIND(":",TRIM(MID(SUBSTITUTE(K88,";",REPT(" ",99)),397,99)))+1,999))+1,999))-1))))</f>
        <v/>
      </c>
    </row>
    <row r="89">
      <c r="D89" s="11">
        <f>IFERROR(VLOOKUP(C89,ItemData_Fish!$A:$B,2,FALSE),"")</f>
        <v/>
      </c>
      <c r="L89" s="11">
        <f>IF(K89="","",TEXTJOIN("; ",TRUE,IF(TRIM(MID(SUBSTITUTE(K89,";",REPT(" ",99)),1,99))="","",IFERROR(VLOOKUP(--LEFT(MID(TRIM(MID(SUBSTITUTE(K89,";",REPT(" ",99)),1,99)),FIND(":",TRIM(MID(SUBSTITUTE(K89,";",REPT(" ",99)),1,99)))+1,999),FIND(":",MID(TRIM(MID(SUBSTITUTE(K89,";",REPT(" ",99)),1,99)),FIND(":",TRIM(MID(SUBSTITUTE(K89,";",REPT(" ",99)),1,99)))+1,999))-1),_Lookup!$A:$B,2,FALSE),"?")&amp;"×"&amp;LEFT(MID(MID(TRIM(MID(SUBSTITUTE(K89,";",REPT(" ",99)),1,99)),FIND(":",TRIM(MID(SUBSTITUTE(K89,";",REPT(" ",99)),1,99)))+1,999),FIND(":",MID(TRIM(MID(SUBSTITUTE(K89,";",REPT(" ",99)),1,99)),FIND(":",TRIM(MID(SUBSTITUTE(K89,";",REPT(" ",99)),1,99)))+1,999))+1,999),FIND(":",MID(MID(TRIM(MID(SUBSTITUTE(K89,";",REPT(" ",99)),1,99)),FIND(":",TRIM(MID(SUBSTITUTE(K89,";",REPT(" ",99)),1,99)))+1,999),FIND(":",MID(TRIM(MID(SUBSTITUTE(K89,";",REPT(" ",99)),1,99)),FIND(":",TRIM(MID(SUBSTITUTE(K89,";",REPT(" ",99)),1,99)))+1,999))+1,999))-1)),IF(TRIM(MID(SUBSTITUTE(K89,";",REPT(" ",99)),100,99))="","",IFERROR(VLOOKUP(--LEFT(MID(TRIM(MID(SUBSTITUTE(K89,";",REPT(" ",99)),100,99)),FIND(":",TRIM(MID(SUBSTITUTE(K89,";",REPT(" ",99)),100,99)))+1,999),FIND(":",MID(TRIM(MID(SUBSTITUTE(K89,";",REPT(" ",99)),100,99)),FIND(":",TRIM(MID(SUBSTITUTE(K89,";",REPT(" ",99)),100,99)))+1,999))-1),_Lookup!$A:$B,2,FALSE),"?")&amp;"×"&amp;LEFT(MID(MID(TRIM(MID(SUBSTITUTE(K89,";",REPT(" ",99)),100,99)),FIND(":",TRIM(MID(SUBSTITUTE(K89,";",REPT(" ",99)),100,99)))+1,999),FIND(":",MID(TRIM(MID(SUBSTITUTE(K89,";",REPT(" ",99)),100,99)),FIND(":",TRIM(MID(SUBSTITUTE(K89,";",REPT(" ",99)),100,99)))+1,999))+1,999),FIND(":",MID(MID(TRIM(MID(SUBSTITUTE(K89,";",REPT(" ",99)),100,99)),FIND(":",TRIM(MID(SUBSTITUTE(K89,";",REPT(" ",99)),100,99)))+1,999),FIND(":",MID(TRIM(MID(SUBSTITUTE(K89,";",REPT(" ",99)),100,99)),FIND(":",TRIM(MID(SUBSTITUTE(K89,";",REPT(" ",99)),100,99)))+1,999))+1,999))-1)),IF(TRIM(MID(SUBSTITUTE(K89,";",REPT(" ",99)),199,99))="","",IFERROR(VLOOKUP(--LEFT(MID(TRIM(MID(SUBSTITUTE(K89,";",REPT(" ",99)),199,99)),FIND(":",TRIM(MID(SUBSTITUTE(K89,";",REPT(" ",99)),199,99)))+1,999),FIND(":",MID(TRIM(MID(SUBSTITUTE(K89,";",REPT(" ",99)),199,99)),FIND(":",TRIM(MID(SUBSTITUTE(K89,";",REPT(" ",99)),199,99)))+1,999))-1),_Lookup!$A:$B,2,FALSE),"?")&amp;"×"&amp;LEFT(MID(MID(TRIM(MID(SUBSTITUTE(K89,";",REPT(" ",99)),199,99)),FIND(":",TRIM(MID(SUBSTITUTE(K89,";",REPT(" ",99)),199,99)))+1,999),FIND(":",MID(TRIM(MID(SUBSTITUTE(K89,";",REPT(" ",99)),199,99)),FIND(":",TRIM(MID(SUBSTITUTE(K89,";",REPT(" ",99)),199,99)))+1,999))+1,999),FIND(":",MID(MID(TRIM(MID(SUBSTITUTE(K89,";",REPT(" ",99)),199,99)),FIND(":",TRIM(MID(SUBSTITUTE(K89,";",REPT(" ",99)),199,99)))+1,999),FIND(":",MID(TRIM(MID(SUBSTITUTE(K89,";",REPT(" ",99)),199,99)),FIND(":",TRIM(MID(SUBSTITUTE(K89,";",REPT(" ",99)),199,99)))+1,999))+1,999))-1)),IF(TRIM(MID(SUBSTITUTE(K89,";",REPT(" ",99)),298,99))="","",IFERROR(VLOOKUP(--LEFT(MID(TRIM(MID(SUBSTITUTE(K89,";",REPT(" ",99)),298,99)),FIND(":",TRIM(MID(SUBSTITUTE(K89,";",REPT(" ",99)),298,99)))+1,999),FIND(":",MID(TRIM(MID(SUBSTITUTE(K89,";",REPT(" ",99)),298,99)),FIND(":",TRIM(MID(SUBSTITUTE(K89,";",REPT(" ",99)),298,99)))+1,999))-1),_Lookup!$A:$B,2,FALSE),"?")&amp;"×"&amp;LEFT(MID(MID(TRIM(MID(SUBSTITUTE(K89,";",REPT(" ",99)),298,99)),FIND(":",TRIM(MID(SUBSTITUTE(K89,";",REPT(" ",99)),298,99)))+1,999),FIND(":",MID(TRIM(MID(SUBSTITUTE(K89,";",REPT(" ",99)),298,99)),FIND(":",TRIM(MID(SUBSTITUTE(K89,";",REPT(" ",99)),298,99)))+1,999))+1,999),FIND(":",MID(MID(TRIM(MID(SUBSTITUTE(K89,";",REPT(" ",99)),298,99)),FIND(":",TRIM(MID(SUBSTITUTE(K89,";",REPT(" ",99)),298,99)))+1,999),FIND(":",MID(TRIM(MID(SUBSTITUTE(K89,";",REPT(" ",99)),298,99)),FIND(":",TRIM(MID(SUBSTITUTE(K89,";",REPT(" ",99)),298,99)))+1,999))+1,999))-1)),IF(TRIM(MID(SUBSTITUTE(K89,";",REPT(" ",99)),397,99))="","",IFERROR(VLOOKUP(--LEFT(MID(TRIM(MID(SUBSTITUTE(K89,";",REPT(" ",99)),397,99)),FIND(":",TRIM(MID(SUBSTITUTE(K89,";",REPT(" ",99)),397,99)))+1,999),FIND(":",MID(TRIM(MID(SUBSTITUTE(K89,";",REPT(" ",99)),397,99)),FIND(":",TRIM(MID(SUBSTITUTE(K89,";",REPT(" ",99)),397,99)))+1,999))-1),_Lookup!$A:$B,2,FALSE),"?")&amp;"×"&amp;LEFT(MID(MID(TRIM(MID(SUBSTITUTE(K89,";",REPT(" ",99)),397,99)),FIND(":",TRIM(MID(SUBSTITUTE(K89,";",REPT(" ",99)),397,99)))+1,999),FIND(":",MID(TRIM(MID(SUBSTITUTE(K89,";",REPT(" ",99)),397,99)),FIND(":",TRIM(MID(SUBSTITUTE(K89,";",REPT(" ",99)),397,99)))+1,999))+1,999),FIND(":",MID(MID(TRIM(MID(SUBSTITUTE(K89,";",REPT(" ",99)),397,99)),FIND(":",TRIM(MID(SUBSTITUTE(K89,";",REPT(" ",99)),397,99)))+1,999),FIND(":",MID(TRIM(MID(SUBSTITUTE(K89,";",REPT(" ",99)),397,99)),FIND(":",TRIM(MID(SUBSTITUTE(K89,";",REPT(" ",99)),397,99)))+1,999))+1,999))-1))))</f>
        <v/>
      </c>
    </row>
    <row r="90">
      <c r="D90" s="11">
        <f>IFERROR(VLOOKUP(C90,ItemData_Fish!$A:$B,2,FALSE),"")</f>
        <v/>
      </c>
      <c r="L90" s="11">
        <f>IF(K90="","",TEXTJOIN("; ",TRUE,IF(TRIM(MID(SUBSTITUTE(K90,";",REPT(" ",99)),1,99))="","",IFERROR(VLOOKUP(--LEFT(MID(TRIM(MID(SUBSTITUTE(K90,";",REPT(" ",99)),1,99)),FIND(":",TRIM(MID(SUBSTITUTE(K90,";",REPT(" ",99)),1,99)))+1,999),FIND(":",MID(TRIM(MID(SUBSTITUTE(K90,";",REPT(" ",99)),1,99)),FIND(":",TRIM(MID(SUBSTITUTE(K90,";",REPT(" ",99)),1,99)))+1,999))-1),_Lookup!$A:$B,2,FALSE),"?")&amp;"×"&amp;LEFT(MID(MID(TRIM(MID(SUBSTITUTE(K90,";",REPT(" ",99)),1,99)),FIND(":",TRIM(MID(SUBSTITUTE(K90,";",REPT(" ",99)),1,99)))+1,999),FIND(":",MID(TRIM(MID(SUBSTITUTE(K90,";",REPT(" ",99)),1,99)),FIND(":",TRIM(MID(SUBSTITUTE(K90,";",REPT(" ",99)),1,99)))+1,999))+1,999),FIND(":",MID(MID(TRIM(MID(SUBSTITUTE(K90,";",REPT(" ",99)),1,99)),FIND(":",TRIM(MID(SUBSTITUTE(K90,";",REPT(" ",99)),1,99)))+1,999),FIND(":",MID(TRIM(MID(SUBSTITUTE(K90,";",REPT(" ",99)),1,99)),FIND(":",TRIM(MID(SUBSTITUTE(K90,";",REPT(" ",99)),1,99)))+1,999))+1,999))-1)),IF(TRIM(MID(SUBSTITUTE(K90,";",REPT(" ",99)),100,99))="","",IFERROR(VLOOKUP(--LEFT(MID(TRIM(MID(SUBSTITUTE(K90,";",REPT(" ",99)),100,99)),FIND(":",TRIM(MID(SUBSTITUTE(K90,";",REPT(" ",99)),100,99)))+1,999),FIND(":",MID(TRIM(MID(SUBSTITUTE(K90,";",REPT(" ",99)),100,99)),FIND(":",TRIM(MID(SUBSTITUTE(K90,";",REPT(" ",99)),100,99)))+1,999))-1),_Lookup!$A:$B,2,FALSE),"?")&amp;"×"&amp;LEFT(MID(MID(TRIM(MID(SUBSTITUTE(K90,";",REPT(" ",99)),100,99)),FIND(":",TRIM(MID(SUBSTITUTE(K90,";",REPT(" ",99)),100,99)))+1,999),FIND(":",MID(TRIM(MID(SUBSTITUTE(K90,";",REPT(" ",99)),100,99)),FIND(":",TRIM(MID(SUBSTITUTE(K90,";",REPT(" ",99)),100,99)))+1,999))+1,999),FIND(":",MID(MID(TRIM(MID(SUBSTITUTE(K90,";",REPT(" ",99)),100,99)),FIND(":",TRIM(MID(SUBSTITUTE(K90,";",REPT(" ",99)),100,99)))+1,999),FIND(":",MID(TRIM(MID(SUBSTITUTE(K90,";",REPT(" ",99)),100,99)),FIND(":",TRIM(MID(SUBSTITUTE(K90,";",REPT(" ",99)),100,99)))+1,999))+1,999))-1)),IF(TRIM(MID(SUBSTITUTE(K90,";",REPT(" ",99)),199,99))="","",IFERROR(VLOOKUP(--LEFT(MID(TRIM(MID(SUBSTITUTE(K90,";",REPT(" ",99)),199,99)),FIND(":",TRIM(MID(SUBSTITUTE(K90,";",REPT(" ",99)),199,99)))+1,999),FIND(":",MID(TRIM(MID(SUBSTITUTE(K90,";",REPT(" ",99)),199,99)),FIND(":",TRIM(MID(SUBSTITUTE(K90,";",REPT(" ",99)),199,99)))+1,999))-1),_Lookup!$A:$B,2,FALSE),"?")&amp;"×"&amp;LEFT(MID(MID(TRIM(MID(SUBSTITUTE(K90,";",REPT(" ",99)),199,99)),FIND(":",TRIM(MID(SUBSTITUTE(K90,";",REPT(" ",99)),199,99)))+1,999),FIND(":",MID(TRIM(MID(SUBSTITUTE(K90,";",REPT(" ",99)),199,99)),FIND(":",TRIM(MID(SUBSTITUTE(K90,";",REPT(" ",99)),199,99)))+1,999))+1,999),FIND(":",MID(MID(TRIM(MID(SUBSTITUTE(K90,";",REPT(" ",99)),199,99)),FIND(":",TRIM(MID(SUBSTITUTE(K90,";",REPT(" ",99)),199,99)))+1,999),FIND(":",MID(TRIM(MID(SUBSTITUTE(K90,";",REPT(" ",99)),199,99)),FIND(":",TRIM(MID(SUBSTITUTE(K90,";",REPT(" ",99)),199,99)))+1,999))+1,999))-1)),IF(TRIM(MID(SUBSTITUTE(K90,";",REPT(" ",99)),298,99))="","",IFERROR(VLOOKUP(--LEFT(MID(TRIM(MID(SUBSTITUTE(K90,";",REPT(" ",99)),298,99)),FIND(":",TRIM(MID(SUBSTITUTE(K90,";",REPT(" ",99)),298,99)))+1,999),FIND(":",MID(TRIM(MID(SUBSTITUTE(K90,";",REPT(" ",99)),298,99)),FIND(":",TRIM(MID(SUBSTITUTE(K90,";",REPT(" ",99)),298,99)))+1,999))-1),_Lookup!$A:$B,2,FALSE),"?")&amp;"×"&amp;LEFT(MID(MID(TRIM(MID(SUBSTITUTE(K90,";",REPT(" ",99)),298,99)),FIND(":",TRIM(MID(SUBSTITUTE(K90,";",REPT(" ",99)),298,99)))+1,999),FIND(":",MID(TRIM(MID(SUBSTITUTE(K90,";",REPT(" ",99)),298,99)),FIND(":",TRIM(MID(SUBSTITUTE(K90,";",REPT(" ",99)),298,99)))+1,999))+1,999),FIND(":",MID(MID(TRIM(MID(SUBSTITUTE(K90,";",REPT(" ",99)),298,99)),FIND(":",TRIM(MID(SUBSTITUTE(K90,";",REPT(" ",99)),298,99)))+1,999),FIND(":",MID(TRIM(MID(SUBSTITUTE(K90,";",REPT(" ",99)),298,99)),FIND(":",TRIM(MID(SUBSTITUTE(K90,";",REPT(" ",99)),298,99)))+1,999))+1,999))-1)),IF(TRIM(MID(SUBSTITUTE(K90,";",REPT(" ",99)),397,99))="","",IFERROR(VLOOKUP(--LEFT(MID(TRIM(MID(SUBSTITUTE(K90,";",REPT(" ",99)),397,99)),FIND(":",TRIM(MID(SUBSTITUTE(K90,";",REPT(" ",99)),397,99)))+1,999),FIND(":",MID(TRIM(MID(SUBSTITUTE(K90,";",REPT(" ",99)),397,99)),FIND(":",TRIM(MID(SUBSTITUTE(K90,";",REPT(" ",99)),397,99)))+1,999))-1),_Lookup!$A:$B,2,FALSE),"?")&amp;"×"&amp;LEFT(MID(MID(TRIM(MID(SUBSTITUTE(K90,";",REPT(" ",99)),397,99)),FIND(":",TRIM(MID(SUBSTITUTE(K90,";",REPT(" ",99)),397,99)))+1,999),FIND(":",MID(TRIM(MID(SUBSTITUTE(K90,";",REPT(" ",99)),397,99)),FIND(":",TRIM(MID(SUBSTITUTE(K90,";",REPT(" ",99)),397,99)))+1,999))+1,999),FIND(":",MID(MID(TRIM(MID(SUBSTITUTE(K90,";",REPT(" ",99)),397,99)),FIND(":",TRIM(MID(SUBSTITUTE(K90,";",REPT(" ",99)),397,99)))+1,999),FIND(":",MID(TRIM(MID(SUBSTITUTE(K90,";",REPT(" ",99)),397,99)),FIND(":",TRIM(MID(SUBSTITUTE(K90,";",REPT(" ",99)),397,99)))+1,999))+1,999))-1))))</f>
        <v/>
      </c>
    </row>
    <row r="91">
      <c r="D91" s="11">
        <f>IFERROR(VLOOKUP(C91,ItemData_Fish!$A:$B,2,FALSE),"")</f>
        <v/>
      </c>
      <c r="L91" s="11">
        <f>IF(K91="","",TEXTJOIN("; ",TRUE,IF(TRIM(MID(SUBSTITUTE(K91,";",REPT(" ",99)),1,99))="","",IFERROR(VLOOKUP(--LEFT(MID(TRIM(MID(SUBSTITUTE(K91,";",REPT(" ",99)),1,99)),FIND(":",TRIM(MID(SUBSTITUTE(K91,";",REPT(" ",99)),1,99)))+1,999),FIND(":",MID(TRIM(MID(SUBSTITUTE(K91,";",REPT(" ",99)),1,99)),FIND(":",TRIM(MID(SUBSTITUTE(K91,";",REPT(" ",99)),1,99)))+1,999))-1),_Lookup!$A:$B,2,FALSE),"?")&amp;"×"&amp;LEFT(MID(MID(TRIM(MID(SUBSTITUTE(K91,";",REPT(" ",99)),1,99)),FIND(":",TRIM(MID(SUBSTITUTE(K91,";",REPT(" ",99)),1,99)))+1,999),FIND(":",MID(TRIM(MID(SUBSTITUTE(K91,";",REPT(" ",99)),1,99)),FIND(":",TRIM(MID(SUBSTITUTE(K91,";",REPT(" ",99)),1,99)))+1,999))+1,999),FIND(":",MID(MID(TRIM(MID(SUBSTITUTE(K91,";",REPT(" ",99)),1,99)),FIND(":",TRIM(MID(SUBSTITUTE(K91,";",REPT(" ",99)),1,99)))+1,999),FIND(":",MID(TRIM(MID(SUBSTITUTE(K91,";",REPT(" ",99)),1,99)),FIND(":",TRIM(MID(SUBSTITUTE(K91,";",REPT(" ",99)),1,99)))+1,999))+1,999))-1)),IF(TRIM(MID(SUBSTITUTE(K91,";",REPT(" ",99)),100,99))="","",IFERROR(VLOOKUP(--LEFT(MID(TRIM(MID(SUBSTITUTE(K91,";",REPT(" ",99)),100,99)),FIND(":",TRIM(MID(SUBSTITUTE(K91,";",REPT(" ",99)),100,99)))+1,999),FIND(":",MID(TRIM(MID(SUBSTITUTE(K91,";",REPT(" ",99)),100,99)),FIND(":",TRIM(MID(SUBSTITUTE(K91,";",REPT(" ",99)),100,99)))+1,999))-1),_Lookup!$A:$B,2,FALSE),"?")&amp;"×"&amp;LEFT(MID(MID(TRIM(MID(SUBSTITUTE(K91,";",REPT(" ",99)),100,99)),FIND(":",TRIM(MID(SUBSTITUTE(K91,";",REPT(" ",99)),100,99)))+1,999),FIND(":",MID(TRIM(MID(SUBSTITUTE(K91,";",REPT(" ",99)),100,99)),FIND(":",TRIM(MID(SUBSTITUTE(K91,";",REPT(" ",99)),100,99)))+1,999))+1,999),FIND(":",MID(MID(TRIM(MID(SUBSTITUTE(K91,";",REPT(" ",99)),100,99)),FIND(":",TRIM(MID(SUBSTITUTE(K91,";",REPT(" ",99)),100,99)))+1,999),FIND(":",MID(TRIM(MID(SUBSTITUTE(K91,";",REPT(" ",99)),100,99)),FIND(":",TRIM(MID(SUBSTITUTE(K91,";",REPT(" ",99)),100,99)))+1,999))+1,999))-1)),IF(TRIM(MID(SUBSTITUTE(K91,";",REPT(" ",99)),199,99))="","",IFERROR(VLOOKUP(--LEFT(MID(TRIM(MID(SUBSTITUTE(K91,";",REPT(" ",99)),199,99)),FIND(":",TRIM(MID(SUBSTITUTE(K91,";",REPT(" ",99)),199,99)))+1,999),FIND(":",MID(TRIM(MID(SUBSTITUTE(K91,";",REPT(" ",99)),199,99)),FIND(":",TRIM(MID(SUBSTITUTE(K91,";",REPT(" ",99)),199,99)))+1,999))-1),_Lookup!$A:$B,2,FALSE),"?")&amp;"×"&amp;LEFT(MID(MID(TRIM(MID(SUBSTITUTE(K91,";",REPT(" ",99)),199,99)),FIND(":",TRIM(MID(SUBSTITUTE(K91,";",REPT(" ",99)),199,99)))+1,999),FIND(":",MID(TRIM(MID(SUBSTITUTE(K91,";",REPT(" ",99)),199,99)),FIND(":",TRIM(MID(SUBSTITUTE(K91,";",REPT(" ",99)),199,99)))+1,999))+1,999),FIND(":",MID(MID(TRIM(MID(SUBSTITUTE(K91,";",REPT(" ",99)),199,99)),FIND(":",TRIM(MID(SUBSTITUTE(K91,";",REPT(" ",99)),199,99)))+1,999),FIND(":",MID(TRIM(MID(SUBSTITUTE(K91,";",REPT(" ",99)),199,99)),FIND(":",TRIM(MID(SUBSTITUTE(K91,";",REPT(" ",99)),199,99)))+1,999))+1,999))-1)),IF(TRIM(MID(SUBSTITUTE(K91,";",REPT(" ",99)),298,99))="","",IFERROR(VLOOKUP(--LEFT(MID(TRIM(MID(SUBSTITUTE(K91,";",REPT(" ",99)),298,99)),FIND(":",TRIM(MID(SUBSTITUTE(K91,";",REPT(" ",99)),298,99)))+1,999),FIND(":",MID(TRIM(MID(SUBSTITUTE(K91,";",REPT(" ",99)),298,99)),FIND(":",TRIM(MID(SUBSTITUTE(K91,";",REPT(" ",99)),298,99)))+1,999))-1),_Lookup!$A:$B,2,FALSE),"?")&amp;"×"&amp;LEFT(MID(MID(TRIM(MID(SUBSTITUTE(K91,";",REPT(" ",99)),298,99)),FIND(":",TRIM(MID(SUBSTITUTE(K91,";",REPT(" ",99)),298,99)))+1,999),FIND(":",MID(TRIM(MID(SUBSTITUTE(K91,";",REPT(" ",99)),298,99)),FIND(":",TRIM(MID(SUBSTITUTE(K91,";",REPT(" ",99)),298,99)))+1,999))+1,999),FIND(":",MID(MID(TRIM(MID(SUBSTITUTE(K91,";",REPT(" ",99)),298,99)),FIND(":",TRIM(MID(SUBSTITUTE(K91,";",REPT(" ",99)),298,99)))+1,999),FIND(":",MID(TRIM(MID(SUBSTITUTE(K91,";",REPT(" ",99)),298,99)),FIND(":",TRIM(MID(SUBSTITUTE(K91,";",REPT(" ",99)),298,99)))+1,999))+1,999))-1)),IF(TRIM(MID(SUBSTITUTE(K91,";",REPT(" ",99)),397,99))="","",IFERROR(VLOOKUP(--LEFT(MID(TRIM(MID(SUBSTITUTE(K91,";",REPT(" ",99)),397,99)),FIND(":",TRIM(MID(SUBSTITUTE(K91,";",REPT(" ",99)),397,99)))+1,999),FIND(":",MID(TRIM(MID(SUBSTITUTE(K91,";",REPT(" ",99)),397,99)),FIND(":",TRIM(MID(SUBSTITUTE(K91,";",REPT(" ",99)),397,99)))+1,999))-1),_Lookup!$A:$B,2,FALSE),"?")&amp;"×"&amp;LEFT(MID(MID(TRIM(MID(SUBSTITUTE(K91,";",REPT(" ",99)),397,99)),FIND(":",TRIM(MID(SUBSTITUTE(K91,";",REPT(" ",99)),397,99)))+1,999),FIND(":",MID(TRIM(MID(SUBSTITUTE(K91,";",REPT(" ",99)),397,99)),FIND(":",TRIM(MID(SUBSTITUTE(K91,";",REPT(" ",99)),397,99)))+1,999))+1,999),FIND(":",MID(MID(TRIM(MID(SUBSTITUTE(K91,";",REPT(" ",99)),397,99)),FIND(":",TRIM(MID(SUBSTITUTE(K91,";",REPT(" ",99)),397,99)))+1,999),FIND(":",MID(TRIM(MID(SUBSTITUTE(K91,";",REPT(" ",99)),397,99)),FIND(":",TRIM(MID(SUBSTITUTE(K91,";",REPT(" ",99)),397,99)))+1,999))+1,999))-1))))</f>
        <v/>
      </c>
    </row>
    <row r="92">
      <c r="D92" s="11">
        <f>IFERROR(VLOOKUP(C92,ItemData_Fish!$A:$B,2,FALSE),"")</f>
        <v/>
      </c>
      <c r="L92" s="11">
        <f>IF(K92="","",TEXTJOIN("; ",TRUE,IF(TRIM(MID(SUBSTITUTE(K92,";",REPT(" ",99)),1,99))="","",IFERROR(VLOOKUP(--LEFT(MID(TRIM(MID(SUBSTITUTE(K92,";",REPT(" ",99)),1,99)),FIND(":",TRIM(MID(SUBSTITUTE(K92,";",REPT(" ",99)),1,99)))+1,999),FIND(":",MID(TRIM(MID(SUBSTITUTE(K92,";",REPT(" ",99)),1,99)),FIND(":",TRIM(MID(SUBSTITUTE(K92,";",REPT(" ",99)),1,99)))+1,999))-1),_Lookup!$A:$B,2,FALSE),"?")&amp;"×"&amp;LEFT(MID(MID(TRIM(MID(SUBSTITUTE(K92,";",REPT(" ",99)),1,99)),FIND(":",TRIM(MID(SUBSTITUTE(K92,";",REPT(" ",99)),1,99)))+1,999),FIND(":",MID(TRIM(MID(SUBSTITUTE(K92,";",REPT(" ",99)),1,99)),FIND(":",TRIM(MID(SUBSTITUTE(K92,";",REPT(" ",99)),1,99)))+1,999))+1,999),FIND(":",MID(MID(TRIM(MID(SUBSTITUTE(K92,";",REPT(" ",99)),1,99)),FIND(":",TRIM(MID(SUBSTITUTE(K92,";",REPT(" ",99)),1,99)))+1,999),FIND(":",MID(TRIM(MID(SUBSTITUTE(K92,";",REPT(" ",99)),1,99)),FIND(":",TRIM(MID(SUBSTITUTE(K92,";",REPT(" ",99)),1,99)))+1,999))+1,999))-1)),IF(TRIM(MID(SUBSTITUTE(K92,";",REPT(" ",99)),100,99))="","",IFERROR(VLOOKUP(--LEFT(MID(TRIM(MID(SUBSTITUTE(K92,";",REPT(" ",99)),100,99)),FIND(":",TRIM(MID(SUBSTITUTE(K92,";",REPT(" ",99)),100,99)))+1,999),FIND(":",MID(TRIM(MID(SUBSTITUTE(K92,";",REPT(" ",99)),100,99)),FIND(":",TRIM(MID(SUBSTITUTE(K92,";",REPT(" ",99)),100,99)))+1,999))-1),_Lookup!$A:$B,2,FALSE),"?")&amp;"×"&amp;LEFT(MID(MID(TRIM(MID(SUBSTITUTE(K92,";",REPT(" ",99)),100,99)),FIND(":",TRIM(MID(SUBSTITUTE(K92,";",REPT(" ",99)),100,99)))+1,999),FIND(":",MID(TRIM(MID(SUBSTITUTE(K92,";",REPT(" ",99)),100,99)),FIND(":",TRIM(MID(SUBSTITUTE(K92,";",REPT(" ",99)),100,99)))+1,999))+1,999),FIND(":",MID(MID(TRIM(MID(SUBSTITUTE(K92,";",REPT(" ",99)),100,99)),FIND(":",TRIM(MID(SUBSTITUTE(K92,";",REPT(" ",99)),100,99)))+1,999),FIND(":",MID(TRIM(MID(SUBSTITUTE(K92,";",REPT(" ",99)),100,99)),FIND(":",TRIM(MID(SUBSTITUTE(K92,";",REPT(" ",99)),100,99)))+1,999))+1,999))-1)),IF(TRIM(MID(SUBSTITUTE(K92,";",REPT(" ",99)),199,99))="","",IFERROR(VLOOKUP(--LEFT(MID(TRIM(MID(SUBSTITUTE(K92,";",REPT(" ",99)),199,99)),FIND(":",TRIM(MID(SUBSTITUTE(K92,";",REPT(" ",99)),199,99)))+1,999),FIND(":",MID(TRIM(MID(SUBSTITUTE(K92,";",REPT(" ",99)),199,99)),FIND(":",TRIM(MID(SUBSTITUTE(K92,";",REPT(" ",99)),199,99)))+1,999))-1),_Lookup!$A:$B,2,FALSE),"?")&amp;"×"&amp;LEFT(MID(MID(TRIM(MID(SUBSTITUTE(K92,";",REPT(" ",99)),199,99)),FIND(":",TRIM(MID(SUBSTITUTE(K92,";",REPT(" ",99)),199,99)))+1,999),FIND(":",MID(TRIM(MID(SUBSTITUTE(K92,";",REPT(" ",99)),199,99)),FIND(":",TRIM(MID(SUBSTITUTE(K92,";",REPT(" ",99)),199,99)))+1,999))+1,999),FIND(":",MID(MID(TRIM(MID(SUBSTITUTE(K92,";",REPT(" ",99)),199,99)),FIND(":",TRIM(MID(SUBSTITUTE(K92,";",REPT(" ",99)),199,99)))+1,999),FIND(":",MID(TRIM(MID(SUBSTITUTE(K92,";",REPT(" ",99)),199,99)),FIND(":",TRIM(MID(SUBSTITUTE(K92,";",REPT(" ",99)),199,99)))+1,999))+1,999))-1)),IF(TRIM(MID(SUBSTITUTE(K92,";",REPT(" ",99)),298,99))="","",IFERROR(VLOOKUP(--LEFT(MID(TRIM(MID(SUBSTITUTE(K92,";",REPT(" ",99)),298,99)),FIND(":",TRIM(MID(SUBSTITUTE(K92,";",REPT(" ",99)),298,99)))+1,999),FIND(":",MID(TRIM(MID(SUBSTITUTE(K92,";",REPT(" ",99)),298,99)),FIND(":",TRIM(MID(SUBSTITUTE(K92,";",REPT(" ",99)),298,99)))+1,999))-1),_Lookup!$A:$B,2,FALSE),"?")&amp;"×"&amp;LEFT(MID(MID(TRIM(MID(SUBSTITUTE(K92,";",REPT(" ",99)),298,99)),FIND(":",TRIM(MID(SUBSTITUTE(K92,";",REPT(" ",99)),298,99)))+1,999),FIND(":",MID(TRIM(MID(SUBSTITUTE(K92,";",REPT(" ",99)),298,99)),FIND(":",TRIM(MID(SUBSTITUTE(K92,";",REPT(" ",99)),298,99)))+1,999))+1,999),FIND(":",MID(MID(TRIM(MID(SUBSTITUTE(K92,";",REPT(" ",99)),298,99)),FIND(":",TRIM(MID(SUBSTITUTE(K92,";",REPT(" ",99)),298,99)))+1,999),FIND(":",MID(TRIM(MID(SUBSTITUTE(K92,";",REPT(" ",99)),298,99)),FIND(":",TRIM(MID(SUBSTITUTE(K92,";",REPT(" ",99)),298,99)))+1,999))+1,999))-1)),IF(TRIM(MID(SUBSTITUTE(K92,";",REPT(" ",99)),397,99))="","",IFERROR(VLOOKUP(--LEFT(MID(TRIM(MID(SUBSTITUTE(K92,";",REPT(" ",99)),397,99)),FIND(":",TRIM(MID(SUBSTITUTE(K92,";",REPT(" ",99)),397,99)))+1,999),FIND(":",MID(TRIM(MID(SUBSTITUTE(K92,";",REPT(" ",99)),397,99)),FIND(":",TRIM(MID(SUBSTITUTE(K92,";",REPT(" ",99)),397,99)))+1,999))-1),_Lookup!$A:$B,2,FALSE),"?")&amp;"×"&amp;LEFT(MID(MID(TRIM(MID(SUBSTITUTE(K92,";",REPT(" ",99)),397,99)),FIND(":",TRIM(MID(SUBSTITUTE(K92,";",REPT(" ",99)),397,99)))+1,999),FIND(":",MID(TRIM(MID(SUBSTITUTE(K92,";",REPT(" ",99)),397,99)),FIND(":",TRIM(MID(SUBSTITUTE(K92,";",REPT(" ",99)),397,99)))+1,999))+1,999),FIND(":",MID(MID(TRIM(MID(SUBSTITUTE(K92,";",REPT(" ",99)),397,99)),FIND(":",TRIM(MID(SUBSTITUTE(K92,";",REPT(" ",99)),397,99)))+1,999),FIND(":",MID(TRIM(MID(SUBSTITUTE(K92,";",REPT(" ",99)),397,99)),FIND(":",TRIM(MID(SUBSTITUTE(K92,";",REPT(" ",99)),397,99)))+1,999))+1,999))-1))))</f>
        <v/>
      </c>
    </row>
    <row r="93">
      <c r="D93" s="11">
        <f>IFERROR(VLOOKUP(C93,ItemData_Fish!$A:$B,2,FALSE),"")</f>
        <v/>
      </c>
      <c r="L93" s="11">
        <f>IF(K93="","",TEXTJOIN("; ",TRUE,IF(TRIM(MID(SUBSTITUTE(K93,";",REPT(" ",99)),1,99))="","",IFERROR(VLOOKUP(--LEFT(MID(TRIM(MID(SUBSTITUTE(K93,";",REPT(" ",99)),1,99)),FIND(":",TRIM(MID(SUBSTITUTE(K93,";",REPT(" ",99)),1,99)))+1,999),FIND(":",MID(TRIM(MID(SUBSTITUTE(K93,";",REPT(" ",99)),1,99)),FIND(":",TRIM(MID(SUBSTITUTE(K93,";",REPT(" ",99)),1,99)))+1,999))-1),_Lookup!$A:$B,2,FALSE),"?")&amp;"×"&amp;LEFT(MID(MID(TRIM(MID(SUBSTITUTE(K93,";",REPT(" ",99)),1,99)),FIND(":",TRIM(MID(SUBSTITUTE(K93,";",REPT(" ",99)),1,99)))+1,999),FIND(":",MID(TRIM(MID(SUBSTITUTE(K93,";",REPT(" ",99)),1,99)),FIND(":",TRIM(MID(SUBSTITUTE(K93,";",REPT(" ",99)),1,99)))+1,999))+1,999),FIND(":",MID(MID(TRIM(MID(SUBSTITUTE(K93,";",REPT(" ",99)),1,99)),FIND(":",TRIM(MID(SUBSTITUTE(K93,";",REPT(" ",99)),1,99)))+1,999),FIND(":",MID(TRIM(MID(SUBSTITUTE(K93,";",REPT(" ",99)),1,99)),FIND(":",TRIM(MID(SUBSTITUTE(K93,";",REPT(" ",99)),1,99)))+1,999))+1,999))-1)),IF(TRIM(MID(SUBSTITUTE(K93,";",REPT(" ",99)),100,99))="","",IFERROR(VLOOKUP(--LEFT(MID(TRIM(MID(SUBSTITUTE(K93,";",REPT(" ",99)),100,99)),FIND(":",TRIM(MID(SUBSTITUTE(K93,";",REPT(" ",99)),100,99)))+1,999),FIND(":",MID(TRIM(MID(SUBSTITUTE(K93,";",REPT(" ",99)),100,99)),FIND(":",TRIM(MID(SUBSTITUTE(K93,";",REPT(" ",99)),100,99)))+1,999))-1),_Lookup!$A:$B,2,FALSE),"?")&amp;"×"&amp;LEFT(MID(MID(TRIM(MID(SUBSTITUTE(K93,";",REPT(" ",99)),100,99)),FIND(":",TRIM(MID(SUBSTITUTE(K93,";",REPT(" ",99)),100,99)))+1,999),FIND(":",MID(TRIM(MID(SUBSTITUTE(K93,";",REPT(" ",99)),100,99)),FIND(":",TRIM(MID(SUBSTITUTE(K93,";",REPT(" ",99)),100,99)))+1,999))+1,999),FIND(":",MID(MID(TRIM(MID(SUBSTITUTE(K93,";",REPT(" ",99)),100,99)),FIND(":",TRIM(MID(SUBSTITUTE(K93,";",REPT(" ",99)),100,99)))+1,999),FIND(":",MID(TRIM(MID(SUBSTITUTE(K93,";",REPT(" ",99)),100,99)),FIND(":",TRIM(MID(SUBSTITUTE(K93,";",REPT(" ",99)),100,99)))+1,999))+1,999))-1)),IF(TRIM(MID(SUBSTITUTE(K93,";",REPT(" ",99)),199,99))="","",IFERROR(VLOOKUP(--LEFT(MID(TRIM(MID(SUBSTITUTE(K93,";",REPT(" ",99)),199,99)),FIND(":",TRIM(MID(SUBSTITUTE(K93,";",REPT(" ",99)),199,99)))+1,999),FIND(":",MID(TRIM(MID(SUBSTITUTE(K93,";",REPT(" ",99)),199,99)),FIND(":",TRIM(MID(SUBSTITUTE(K93,";",REPT(" ",99)),199,99)))+1,999))-1),_Lookup!$A:$B,2,FALSE),"?")&amp;"×"&amp;LEFT(MID(MID(TRIM(MID(SUBSTITUTE(K93,";",REPT(" ",99)),199,99)),FIND(":",TRIM(MID(SUBSTITUTE(K93,";",REPT(" ",99)),199,99)))+1,999),FIND(":",MID(TRIM(MID(SUBSTITUTE(K93,";",REPT(" ",99)),199,99)),FIND(":",TRIM(MID(SUBSTITUTE(K93,";",REPT(" ",99)),199,99)))+1,999))+1,999),FIND(":",MID(MID(TRIM(MID(SUBSTITUTE(K93,";",REPT(" ",99)),199,99)),FIND(":",TRIM(MID(SUBSTITUTE(K93,";",REPT(" ",99)),199,99)))+1,999),FIND(":",MID(TRIM(MID(SUBSTITUTE(K93,";",REPT(" ",99)),199,99)),FIND(":",TRIM(MID(SUBSTITUTE(K93,";",REPT(" ",99)),199,99)))+1,999))+1,999))-1)),IF(TRIM(MID(SUBSTITUTE(K93,";",REPT(" ",99)),298,99))="","",IFERROR(VLOOKUP(--LEFT(MID(TRIM(MID(SUBSTITUTE(K93,";",REPT(" ",99)),298,99)),FIND(":",TRIM(MID(SUBSTITUTE(K93,";",REPT(" ",99)),298,99)))+1,999),FIND(":",MID(TRIM(MID(SUBSTITUTE(K93,";",REPT(" ",99)),298,99)),FIND(":",TRIM(MID(SUBSTITUTE(K93,";",REPT(" ",99)),298,99)))+1,999))-1),_Lookup!$A:$B,2,FALSE),"?")&amp;"×"&amp;LEFT(MID(MID(TRIM(MID(SUBSTITUTE(K93,";",REPT(" ",99)),298,99)),FIND(":",TRIM(MID(SUBSTITUTE(K93,";",REPT(" ",99)),298,99)))+1,999),FIND(":",MID(TRIM(MID(SUBSTITUTE(K93,";",REPT(" ",99)),298,99)),FIND(":",TRIM(MID(SUBSTITUTE(K93,";",REPT(" ",99)),298,99)))+1,999))+1,999),FIND(":",MID(MID(TRIM(MID(SUBSTITUTE(K93,";",REPT(" ",99)),298,99)),FIND(":",TRIM(MID(SUBSTITUTE(K93,";",REPT(" ",99)),298,99)))+1,999),FIND(":",MID(TRIM(MID(SUBSTITUTE(K93,";",REPT(" ",99)),298,99)),FIND(":",TRIM(MID(SUBSTITUTE(K93,";",REPT(" ",99)),298,99)))+1,999))+1,999))-1)),IF(TRIM(MID(SUBSTITUTE(K93,";",REPT(" ",99)),397,99))="","",IFERROR(VLOOKUP(--LEFT(MID(TRIM(MID(SUBSTITUTE(K93,";",REPT(" ",99)),397,99)),FIND(":",TRIM(MID(SUBSTITUTE(K93,";",REPT(" ",99)),397,99)))+1,999),FIND(":",MID(TRIM(MID(SUBSTITUTE(K93,";",REPT(" ",99)),397,99)),FIND(":",TRIM(MID(SUBSTITUTE(K93,";",REPT(" ",99)),397,99)))+1,999))-1),_Lookup!$A:$B,2,FALSE),"?")&amp;"×"&amp;LEFT(MID(MID(TRIM(MID(SUBSTITUTE(K93,";",REPT(" ",99)),397,99)),FIND(":",TRIM(MID(SUBSTITUTE(K93,";",REPT(" ",99)),397,99)))+1,999),FIND(":",MID(TRIM(MID(SUBSTITUTE(K93,";",REPT(" ",99)),397,99)),FIND(":",TRIM(MID(SUBSTITUTE(K93,";",REPT(" ",99)),397,99)))+1,999))+1,999),FIND(":",MID(MID(TRIM(MID(SUBSTITUTE(K93,";",REPT(" ",99)),397,99)),FIND(":",TRIM(MID(SUBSTITUTE(K93,";",REPT(" ",99)),397,99)))+1,999),FIND(":",MID(TRIM(MID(SUBSTITUTE(K93,";",REPT(" ",99)),397,99)),FIND(":",TRIM(MID(SUBSTITUTE(K93,";",REPT(" ",99)),397,99)))+1,999))+1,999))-1))))</f>
        <v/>
      </c>
    </row>
    <row r="94">
      <c r="D94" s="11">
        <f>IFERROR(VLOOKUP(C94,ItemData_Fish!$A:$B,2,FALSE),"")</f>
        <v/>
      </c>
      <c r="L94" s="11">
        <f>IF(K94="","",TEXTJOIN("; ",TRUE,IF(TRIM(MID(SUBSTITUTE(K94,";",REPT(" ",99)),1,99))="","",IFERROR(VLOOKUP(--LEFT(MID(TRIM(MID(SUBSTITUTE(K94,";",REPT(" ",99)),1,99)),FIND(":",TRIM(MID(SUBSTITUTE(K94,";",REPT(" ",99)),1,99)))+1,999),FIND(":",MID(TRIM(MID(SUBSTITUTE(K94,";",REPT(" ",99)),1,99)),FIND(":",TRIM(MID(SUBSTITUTE(K94,";",REPT(" ",99)),1,99)))+1,999))-1),_Lookup!$A:$B,2,FALSE),"?")&amp;"×"&amp;LEFT(MID(MID(TRIM(MID(SUBSTITUTE(K94,";",REPT(" ",99)),1,99)),FIND(":",TRIM(MID(SUBSTITUTE(K94,";",REPT(" ",99)),1,99)))+1,999),FIND(":",MID(TRIM(MID(SUBSTITUTE(K94,";",REPT(" ",99)),1,99)),FIND(":",TRIM(MID(SUBSTITUTE(K94,";",REPT(" ",99)),1,99)))+1,999))+1,999),FIND(":",MID(MID(TRIM(MID(SUBSTITUTE(K94,";",REPT(" ",99)),1,99)),FIND(":",TRIM(MID(SUBSTITUTE(K94,";",REPT(" ",99)),1,99)))+1,999),FIND(":",MID(TRIM(MID(SUBSTITUTE(K94,";",REPT(" ",99)),1,99)),FIND(":",TRIM(MID(SUBSTITUTE(K94,";",REPT(" ",99)),1,99)))+1,999))+1,999))-1)),IF(TRIM(MID(SUBSTITUTE(K94,";",REPT(" ",99)),100,99))="","",IFERROR(VLOOKUP(--LEFT(MID(TRIM(MID(SUBSTITUTE(K94,";",REPT(" ",99)),100,99)),FIND(":",TRIM(MID(SUBSTITUTE(K94,";",REPT(" ",99)),100,99)))+1,999),FIND(":",MID(TRIM(MID(SUBSTITUTE(K94,";",REPT(" ",99)),100,99)),FIND(":",TRIM(MID(SUBSTITUTE(K94,";",REPT(" ",99)),100,99)))+1,999))-1),_Lookup!$A:$B,2,FALSE),"?")&amp;"×"&amp;LEFT(MID(MID(TRIM(MID(SUBSTITUTE(K94,";",REPT(" ",99)),100,99)),FIND(":",TRIM(MID(SUBSTITUTE(K94,";",REPT(" ",99)),100,99)))+1,999),FIND(":",MID(TRIM(MID(SUBSTITUTE(K94,";",REPT(" ",99)),100,99)),FIND(":",TRIM(MID(SUBSTITUTE(K94,";",REPT(" ",99)),100,99)))+1,999))+1,999),FIND(":",MID(MID(TRIM(MID(SUBSTITUTE(K94,";",REPT(" ",99)),100,99)),FIND(":",TRIM(MID(SUBSTITUTE(K94,";",REPT(" ",99)),100,99)))+1,999),FIND(":",MID(TRIM(MID(SUBSTITUTE(K94,";",REPT(" ",99)),100,99)),FIND(":",TRIM(MID(SUBSTITUTE(K94,";",REPT(" ",99)),100,99)))+1,999))+1,999))-1)),IF(TRIM(MID(SUBSTITUTE(K94,";",REPT(" ",99)),199,99))="","",IFERROR(VLOOKUP(--LEFT(MID(TRIM(MID(SUBSTITUTE(K94,";",REPT(" ",99)),199,99)),FIND(":",TRIM(MID(SUBSTITUTE(K94,";",REPT(" ",99)),199,99)))+1,999),FIND(":",MID(TRIM(MID(SUBSTITUTE(K94,";",REPT(" ",99)),199,99)),FIND(":",TRIM(MID(SUBSTITUTE(K94,";",REPT(" ",99)),199,99)))+1,999))-1),_Lookup!$A:$B,2,FALSE),"?")&amp;"×"&amp;LEFT(MID(MID(TRIM(MID(SUBSTITUTE(K94,";",REPT(" ",99)),199,99)),FIND(":",TRIM(MID(SUBSTITUTE(K94,";",REPT(" ",99)),199,99)))+1,999),FIND(":",MID(TRIM(MID(SUBSTITUTE(K94,";",REPT(" ",99)),199,99)),FIND(":",TRIM(MID(SUBSTITUTE(K94,";",REPT(" ",99)),199,99)))+1,999))+1,999),FIND(":",MID(MID(TRIM(MID(SUBSTITUTE(K94,";",REPT(" ",99)),199,99)),FIND(":",TRIM(MID(SUBSTITUTE(K94,";",REPT(" ",99)),199,99)))+1,999),FIND(":",MID(TRIM(MID(SUBSTITUTE(K94,";",REPT(" ",99)),199,99)),FIND(":",TRIM(MID(SUBSTITUTE(K94,";",REPT(" ",99)),199,99)))+1,999))+1,999))-1)),IF(TRIM(MID(SUBSTITUTE(K94,";",REPT(" ",99)),298,99))="","",IFERROR(VLOOKUP(--LEFT(MID(TRIM(MID(SUBSTITUTE(K94,";",REPT(" ",99)),298,99)),FIND(":",TRIM(MID(SUBSTITUTE(K94,";",REPT(" ",99)),298,99)))+1,999),FIND(":",MID(TRIM(MID(SUBSTITUTE(K94,";",REPT(" ",99)),298,99)),FIND(":",TRIM(MID(SUBSTITUTE(K94,";",REPT(" ",99)),298,99)))+1,999))-1),_Lookup!$A:$B,2,FALSE),"?")&amp;"×"&amp;LEFT(MID(MID(TRIM(MID(SUBSTITUTE(K94,";",REPT(" ",99)),298,99)),FIND(":",TRIM(MID(SUBSTITUTE(K94,";",REPT(" ",99)),298,99)))+1,999),FIND(":",MID(TRIM(MID(SUBSTITUTE(K94,";",REPT(" ",99)),298,99)),FIND(":",TRIM(MID(SUBSTITUTE(K94,";",REPT(" ",99)),298,99)))+1,999))+1,999),FIND(":",MID(MID(TRIM(MID(SUBSTITUTE(K94,";",REPT(" ",99)),298,99)),FIND(":",TRIM(MID(SUBSTITUTE(K94,";",REPT(" ",99)),298,99)))+1,999),FIND(":",MID(TRIM(MID(SUBSTITUTE(K94,";",REPT(" ",99)),298,99)),FIND(":",TRIM(MID(SUBSTITUTE(K94,";",REPT(" ",99)),298,99)))+1,999))+1,999))-1)),IF(TRIM(MID(SUBSTITUTE(K94,";",REPT(" ",99)),397,99))="","",IFERROR(VLOOKUP(--LEFT(MID(TRIM(MID(SUBSTITUTE(K94,";",REPT(" ",99)),397,99)),FIND(":",TRIM(MID(SUBSTITUTE(K94,";",REPT(" ",99)),397,99)))+1,999),FIND(":",MID(TRIM(MID(SUBSTITUTE(K94,";",REPT(" ",99)),397,99)),FIND(":",TRIM(MID(SUBSTITUTE(K94,";",REPT(" ",99)),397,99)))+1,999))-1),_Lookup!$A:$B,2,FALSE),"?")&amp;"×"&amp;LEFT(MID(MID(TRIM(MID(SUBSTITUTE(K94,";",REPT(" ",99)),397,99)),FIND(":",TRIM(MID(SUBSTITUTE(K94,";",REPT(" ",99)),397,99)))+1,999),FIND(":",MID(TRIM(MID(SUBSTITUTE(K94,";",REPT(" ",99)),397,99)),FIND(":",TRIM(MID(SUBSTITUTE(K94,";",REPT(" ",99)),397,99)))+1,999))+1,999),FIND(":",MID(MID(TRIM(MID(SUBSTITUTE(K94,";",REPT(" ",99)),397,99)),FIND(":",TRIM(MID(SUBSTITUTE(K94,";",REPT(" ",99)),397,99)))+1,999),FIND(":",MID(TRIM(MID(SUBSTITUTE(K94,";",REPT(" ",99)),397,99)),FIND(":",TRIM(MID(SUBSTITUTE(K94,";",REPT(" ",99)),397,99)))+1,999))+1,999))-1))))</f>
        <v/>
      </c>
    </row>
    <row r="95">
      <c r="D95" s="11">
        <f>IFERROR(VLOOKUP(C95,ItemData_Fish!$A:$B,2,FALSE),"")</f>
        <v/>
      </c>
      <c r="L95" s="11">
        <f>IF(K95="","",TEXTJOIN("; ",TRUE,IF(TRIM(MID(SUBSTITUTE(K95,";",REPT(" ",99)),1,99))="","",IFERROR(VLOOKUP(--LEFT(MID(TRIM(MID(SUBSTITUTE(K95,";",REPT(" ",99)),1,99)),FIND(":",TRIM(MID(SUBSTITUTE(K95,";",REPT(" ",99)),1,99)))+1,999),FIND(":",MID(TRIM(MID(SUBSTITUTE(K95,";",REPT(" ",99)),1,99)),FIND(":",TRIM(MID(SUBSTITUTE(K95,";",REPT(" ",99)),1,99)))+1,999))-1),_Lookup!$A:$B,2,FALSE),"?")&amp;"×"&amp;LEFT(MID(MID(TRIM(MID(SUBSTITUTE(K95,";",REPT(" ",99)),1,99)),FIND(":",TRIM(MID(SUBSTITUTE(K95,";",REPT(" ",99)),1,99)))+1,999),FIND(":",MID(TRIM(MID(SUBSTITUTE(K95,";",REPT(" ",99)),1,99)),FIND(":",TRIM(MID(SUBSTITUTE(K95,";",REPT(" ",99)),1,99)))+1,999))+1,999),FIND(":",MID(MID(TRIM(MID(SUBSTITUTE(K95,";",REPT(" ",99)),1,99)),FIND(":",TRIM(MID(SUBSTITUTE(K95,";",REPT(" ",99)),1,99)))+1,999),FIND(":",MID(TRIM(MID(SUBSTITUTE(K95,";",REPT(" ",99)),1,99)),FIND(":",TRIM(MID(SUBSTITUTE(K95,";",REPT(" ",99)),1,99)))+1,999))+1,999))-1)),IF(TRIM(MID(SUBSTITUTE(K95,";",REPT(" ",99)),100,99))="","",IFERROR(VLOOKUP(--LEFT(MID(TRIM(MID(SUBSTITUTE(K95,";",REPT(" ",99)),100,99)),FIND(":",TRIM(MID(SUBSTITUTE(K95,";",REPT(" ",99)),100,99)))+1,999),FIND(":",MID(TRIM(MID(SUBSTITUTE(K95,";",REPT(" ",99)),100,99)),FIND(":",TRIM(MID(SUBSTITUTE(K95,";",REPT(" ",99)),100,99)))+1,999))-1),_Lookup!$A:$B,2,FALSE),"?")&amp;"×"&amp;LEFT(MID(MID(TRIM(MID(SUBSTITUTE(K95,";",REPT(" ",99)),100,99)),FIND(":",TRIM(MID(SUBSTITUTE(K95,";",REPT(" ",99)),100,99)))+1,999),FIND(":",MID(TRIM(MID(SUBSTITUTE(K95,";",REPT(" ",99)),100,99)),FIND(":",TRIM(MID(SUBSTITUTE(K95,";",REPT(" ",99)),100,99)))+1,999))+1,999),FIND(":",MID(MID(TRIM(MID(SUBSTITUTE(K95,";",REPT(" ",99)),100,99)),FIND(":",TRIM(MID(SUBSTITUTE(K95,";",REPT(" ",99)),100,99)))+1,999),FIND(":",MID(TRIM(MID(SUBSTITUTE(K95,";",REPT(" ",99)),100,99)),FIND(":",TRIM(MID(SUBSTITUTE(K95,";",REPT(" ",99)),100,99)))+1,999))+1,999))-1)),IF(TRIM(MID(SUBSTITUTE(K95,";",REPT(" ",99)),199,99))="","",IFERROR(VLOOKUP(--LEFT(MID(TRIM(MID(SUBSTITUTE(K95,";",REPT(" ",99)),199,99)),FIND(":",TRIM(MID(SUBSTITUTE(K95,";",REPT(" ",99)),199,99)))+1,999),FIND(":",MID(TRIM(MID(SUBSTITUTE(K95,";",REPT(" ",99)),199,99)),FIND(":",TRIM(MID(SUBSTITUTE(K95,";",REPT(" ",99)),199,99)))+1,999))-1),_Lookup!$A:$B,2,FALSE),"?")&amp;"×"&amp;LEFT(MID(MID(TRIM(MID(SUBSTITUTE(K95,";",REPT(" ",99)),199,99)),FIND(":",TRIM(MID(SUBSTITUTE(K95,";",REPT(" ",99)),199,99)))+1,999),FIND(":",MID(TRIM(MID(SUBSTITUTE(K95,";",REPT(" ",99)),199,99)),FIND(":",TRIM(MID(SUBSTITUTE(K95,";",REPT(" ",99)),199,99)))+1,999))+1,999),FIND(":",MID(MID(TRIM(MID(SUBSTITUTE(K95,";",REPT(" ",99)),199,99)),FIND(":",TRIM(MID(SUBSTITUTE(K95,";",REPT(" ",99)),199,99)))+1,999),FIND(":",MID(TRIM(MID(SUBSTITUTE(K95,";",REPT(" ",99)),199,99)),FIND(":",TRIM(MID(SUBSTITUTE(K95,";",REPT(" ",99)),199,99)))+1,999))+1,999))-1)),IF(TRIM(MID(SUBSTITUTE(K95,";",REPT(" ",99)),298,99))="","",IFERROR(VLOOKUP(--LEFT(MID(TRIM(MID(SUBSTITUTE(K95,";",REPT(" ",99)),298,99)),FIND(":",TRIM(MID(SUBSTITUTE(K95,";",REPT(" ",99)),298,99)))+1,999),FIND(":",MID(TRIM(MID(SUBSTITUTE(K95,";",REPT(" ",99)),298,99)),FIND(":",TRIM(MID(SUBSTITUTE(K95,";",REPT(" ",99)),298,99)))+1,999))-1),_Lookup!$A:$B,2,FALSE),"?")&amp;"×"&amp;LEFT(MID(MID(TRIM(MID(SUBSTITUTE(K95,";",REPT(" ",99)),298,99)),FIND(":",TRIM(MID(SUBSTITUTE(K95,";",REPT(" ",99)),298,99)))+1,999),FIND(":",MID(TRIM(MID(SUBSTITUTE(K95,";",REPT(" ",99)),298,99)),FIND(":",TRIM(MID(SUBSTITUTE(K95,";",REPT(" ",99)),298,99)))+1,999))+1,999),FIND(":",MID(MID(TRIM(MID(SUBSTITUTE(K95,";",REPT(" ",99)),298,99)),FIND(":",TRIM(MID(SUBSTITUTE(K95,";",REPT(" ",99)),298,99)))+1,999),FIND(":",MID(TRIM(MID(SUBSTITUTE(K95,";",REPT(" ",99)),298,99)),FIND(":",TRIM(MID(SUBSTITUTE(K95,";",REPT(" ",99)),298,99)))+1,999))+1,999))-1)),IF(TRIM(MID(SUBSTITUTE(K95,";",REPT(" ",99)),397,99))="","",IFERROR(VLOOKUP(--LEFT(MID(TRIM(MID(SUBSTITUTE(K95,";",REPT(" ",99)),397,99)),FIND(":",TRIM(MID(SUBSTITUTE(K95,";",REPT(" ",99)),397,99)))+1,999),FIND(":",MID(TRIM(MID(SUBSTITUTE(K95,";",REPT(" ",99)),397,99)),FIND(":",TRIM(MID(SUBSTITUTE(K95,";",REPT(" ",99)),397,99)))+1,999))-1),_Lookup!$A:$B,2,FALSE),"?")&amp;"×"&amp;LEFT(MID(MID(TRIM(MID(SUBSTITUTE(K95,";",REPT(" ",99)),397,99)),FIND(":",TRIM(MID(SUBSTITUTE(K95,";",REPT(" ",99)),397,99)))+1,999),FIND(":",MID(TRIM(MID(SUBSTITUTE(K95,";",REPT(" ",99)),397,99)),FIND(":",TRIM(MID(SUBSTITUTE(K95,";",REPT(" ",99)),397,99)))+1,999))+1,999),FIND(":",MID(MID(TRIM(MID(SUBSTITUTE(K95,";",REPT(" ",99)),397,99)),FIND(":",TRIM(MID(SUBSTITUTE(K95,";",REPT(" ",99)),397,99)))+1,999),FIND(":",MID(TRIM(MID(SUBSTITUTE(K95,";",REPT(" ",99)),397,99)),FIND(":",TRIM(MID(SUBSTITUTE(K95,";",REPT(" ",99)),397,99)))+1,999))+1,999))-1))))</f>
        <v/>
      </c>
    </row>
    <row r="96">
      <c r="D96" s="11">
        <f>IFERROR(VLOOKUP(C96,ItemData_Fish!$A:$B,2,FALSE),"")</f>
        <v/>
      </c>
      <c r="L96" s="11">
        <f>IF(K96="","",TEXTJOIN("; ",TRUE,IF(TRIM(MID(SUBSTITUTE(K96,";",REPT(" ",99)),1,99))="","",IFERROR(VLOOKUP(--LEFT(MID(TRIM(MID(SUBSTITUTE(K96,";",REPT(" ",99)),1,99)),FIND(":",TRIM(MID(SUBSTITUTE(K96,";",REPT(" ",99)),1,99)))+1,999),FIND(":",MID(TRIM(MID(SUBSTITUTE(K96,";",REPT(" ",99)),1,99)),FIND(":",TRIM(MID(SUBSTITUTE(K96,";",REPT(" ",99)),1,99)))+1,999))-1),_Lookup!$A:$B,2,FALSE),"?")&amp;"×"&amp;LEFT(MID(MID(TRIM(MID(SUBSTITUTE(K96,";",REPT(" ",99)),1,99)),FIND(":",TRIM(MID(SUBSTITUTE(K96,";",REPT(" ",99)),1,99)))+1,999),FIND(":",MID(TRIM(MID(SUBSTITUTE(K96,";",REPT(" ",99)),1,99)),FIND(":",TRIM(MID(SUBSTITUTE(K96,";",REPT(" ",99)),1,99)))+1,999))+1,999),FIND(":",MID(MID(TRIM(MID(SUBSTITUTE(K96,";",REPT(" ",99)),1,99)),FIND(":",TRIM(MID(SUBSTITUTE(K96,";",REPT(" ",99)),1,99)))+1,999),FIND(":",MID(TRIM(MID(SUBSTITUTE(K96,";",REPT(" ",99)),1,99)),FIND(":",TRIM(MID(SUBSTITUTE(K96,";",REPT(" ",99)),1,99)))+1,999))+1,999))-1)),IF(TRIM(MID(SUBSTITUTE(K96,";",REPT(" ",99)),100,99))="","",IFERROR(VLOOKUP(--LEFT(MID(TRIM(MID(SUBSTITUTE(K96,";",REPT(" ",99)),100,99)),FIND(":",TRIM(MID(SUBSTITUTE(K96,";",REPT(" ",99)),100,99)))+1,999),FIND(":",MID(TRIM(MID(SUBSTITUTE(K96,";",REPT(" ",99)),100,99)),FIND(":",TRIM(MID(SUBSTITUTE(K96,";",REPT(" ",99)),100,99)))+1,999))-1),_Lookup!$A:$B,2,FALSE),"?")&amp;"×"&amp;LEFT(MID(MID(TRIM(MID(SUBSTITUTE(K96,";",REPT(" ",99)),100,99)),FIND(":",TRIM(MID(SUBSTITUTE(K96,";",REPT(" ",99)),100,99)))+1,999),FIND(":",MID(TRIM(MID(SUBSTITUTE(K96,";",REPT(" ",99)),100,99)),FIND(":",TRIM(MID(SUBSTITUTE(K96,";",REPT(" ",99)),100,99)))+1,999))+1,999),FIND(":",MID(MID(TRIM(MID(SUBSTITUTE(K96,";",REPT(" ",99)),100,99)),FIND(":",TRIM(MID(SUBSTITUTE(K96,";",REPT(" ",99)),100,99)))+1,999),FIND(":",MID(TRIM(MID(SUBSTITUTE(K96,";",REPT(" ",99)),100,99)),FIND(":",TRIM(MID(SUBSTITUTE(K96,";",REPT(" ",99)),100,99)))+1,999))+1,999))-1)),IF(TRIM(MID(SUBSTITUTE(K96,";",REPT(" ",99)),199,99))="","",IFERROR(VLOOKUP(--LEFT(MID(TRIM(MID(SUBSTITUTE(K96,";",REPT(" ",99)),199,99)),FIND(":",TRIM(MID(SUBSTITUTE(K96,";",REPT(" ",99)),199,99)))+1,999),FIND(":",MID(TRIM(MID(SUBSTITUTE(K96,";",REPT(" ",99)),199,99)),FIND(":",TRIM(MID(SUBSTITUTE(K96,";",REPT(" ",99)),199,99)))+1,999))-1),_Lookup!$A:$B,2,FALSE),"?")&amp;"×"&amp;LEFT(MID(MID(TRIM(MID(SUBSTITUTE(K96,";",REPT(" ",99)),199,99)),FIND(":",TRIM(MID(SUBSTITUTE(K96,";",REPT(" ",99)),199,99)))+1,999),FIND(":",MID(TRIM(MID(SUBSTITUTE(K96,";",REPT(" ",99)),199,99)),FIND(":",TRIM(MID(SUBSTITUTE(K96,";",REPT(" ",99)),199,99)))+1,999))+1,999),FIND(":",MID(MID(TRIM(MID(SUBSTITUTE(K96,";",REPT(" ",99)),199,99)),FIND(":",TRIM(MID(SUBSTITUTE(K96,";",REPT(" ",99)),199,99)))+1,999),FIND(":",MID(TRIM(MID(SUBSTITUTE(K96,";",REPT(" ",99)),199,99)),FIND(":",TRIM(MID(SUBSTITUTE(K96,";",REPT(" ",99)),199,99)))+1,999))+1,999))-1)),IF(TRIM(MID(SUBSTITUTE(K96,";",REPT(" ",99)),298,99))="","",IFERROR(VLOOKUP(--LEFT(MID(TRIM(MID(SUBSTITUTE(K96,";",REPT(" ",99)),298,99)),FIND(":",TRIM(MID(SUBSTITUTE(K96,";",REPT(" ",99)),298,99)))+1,999),FIND(":",MID(TRIM(MID(SUBSTITUTE(K96,";",REPT(" ",99)),298,99)),FIND(":",TRIM(MID(SUBSTITUTE(K96,";",REPT(" ",99)),298,99)))+1,999))-1),_Lookup!$A:$B,2,FALSE),"?")&amp;"×"&amp;LEFT(MID(MID(TRIM(MID(SUBSTITUTE(K96,";",REPT(" ",99)),298,99)),FIND(":",TRIM(MID(SUBSTITUTE(K96,";",REPT(" ",99)),298,99)))+1,999),FIND(":",MID(TRIM(MID(SUBSTITUTE(K96,";",REPT(" ",99)),298,99)),FIND(":",TRIM(MID(SUBSTITUTE(K96,";",REPT(" ",99)),298,99)))+1,999))+1,999),FIND(":",MID(MID(TRIM(MID(SUBSTITUTE(K96,";",REPT(" ",99)),298,99)),FIND(":",TRIM(MID(SUBSTITUTE(K96,";",REPT(" ",99)),298,99)))+1,999),FIND(":",MID(TRIM(MID(SUBSTITUTE(K96,";",REPT(" ",99)),298,99)),FIND(":",TRIM(MID(SUBSTITUTE(K96,";",REPT(" ",99)),298,99)))+1,999))+1,999))-1)),IF(TRIM(MID(SUBSTITUTE(K96,";",REPT(" ",99)),397,99))="","",IFERROR(VLOOKUP(--LEFT(MID(TRIM(MID(SUBSTITUTE(K96,";",REPT(" ",99)),397,99)),FIND(":",TRIM(MID(SUBSTITUTE(K96,";",REPT(" ",99)),397,99)))+1,999),FIND(":",MID(TRIM(MID(SUBSTITUTE(K96,";",REPT(" ",99)),397,99)),FIND(":",TRIM(MID(SUBSTITUTE(K96,";",REPT(" ",99)),397,99)))+1,999))-1),_Lookup!$A:$B,2,FALSE),"?")&amp;"×"&amp;LEFT(MID(MID(TRIM(MID(SUBSTITUTE(K96,";",REPT(" ",99)),397,99)),FIND(":",TRIM(MID(SUBSTITUTE(K96,";",REPT(" ",99)),397,99)))+1,999),FIND(":",MID(TRIM(MID(SUBSTITUTE(K96,";",REPT(" ",99)),397,99)),FIND(":",TRIM(MID(SUBSTITUTE(K96,";",REPT(" ",99)),397,99)))+1,999))+1,999),FIND(":",MID(MID(TRIM(MID(SUBSTITUTE(K96,";",REPT(" ",99)),397,99)),FIND(":",TRIM(MID(SUBSTITUTE(K96,";",REPT(" ",99)),397,99)))+1,999),FIND(":",MID(TRIM(MID(SUBSTITUTE(K96,";",REPT(" ",99)),397,99)),FIND(":",TRIM(MID(SUBSTITUTE(K96,";",REPT(" ",99)),397,99)))+1,999))+1,999))-1))))</f>
        <v/>
      </c>
    </row>
    <row r="97">
      <c r="D97" s="11">
        <f>IFERROR(VLOOKUP(C97,ItemData_Fish!$A:$B,2,FALSE),"")</f>
        <v/>
      </c>
      <c r="L97" s="11">
        <f>IF(K97="","",TEXTJOIN("; ",TRUE,IF(TRIM(MID(SUBSTITUTE(K97,";",REPT(" ",99)),1,99))="","",IFERROR(VLOOKUP(--LEFT(MID(TRIM(MID(SUBSTITUTE(K97,";",REPT(" ",99)),1,99)),FIND(":",TRIM(MID(SUBSTITUTE(K97,";",REPT(" ",99)),1,99)))+1,999),FIND(":",MID(TRIM(MID(SUBSTITUTE(K97,";",REPT(" ",99)),1,99)),FIND(":",TRIM(MID(SUBSTITUTE(K97,";",REPT(" ",99)),1,99)))+1,999))-1),_Lookup!$A:$B,2,FALSE),"?")&amp;"×"&amp;LEFT(MID(MID(TRIM(MID(SUBSTITUTE(K97,";",REPT(" ",99)),1,99)),FIND(":",TRIM(MID(SUBSTITUTE(K97,";",REPT(" ",99)),1,99)))+1,999),FIND(":",MID(TRIM(MID(SUBSTITUTE(K97,";",REPT(" ",99)),1,99)),FIND(":",TRIM(MID(SUBSTITUTE(K97,";",REPT(" ",99)),1,99)))+1,999))+1,999),FIND(":",MID(MID(TRIM(MID(SUBSTITUTE(K97,";",REPT(" ",99)),1,99)),FIND(":",TRIM(MID(SUBSTITUTE(K97,";",REPT(" ",99)),1,99)))+1,999),FIND(":",MID(TRIM(MID(SUBSTITUTE(K97,";",REPT(" ",99)),1,99)),FIND(":",TRIM(MID(SUBSTITUTE(K97,";",REPT(" ",99)),1,99)))+1,999))+1,999))-1)),IF(TRIM(MID(SUBSTITUTE(K97,";",REPT(" ",99)),100,99))="","",IFERROR(VLOOKUP(--LEFT(MID(TRIM(MID(SUBSTITUTE(K97,";",REPT(" ",99)),100,99)),FIND(":",TRIM(MID(SUBSTITUTE(K97,";",REPT(" ",99)),100,99)))+1,999),FIND(":",MID(TRIM(MID(SUBSTITUTE(K97,";",REPT(" ",99)),100,99)),FIND(":",TRIM(MID(SUBSTITUTE(K97,";",REPT(" ",99)),100,99)))+1,999))-1),_Lookup!$A:$B,2,FALSE),"?")&amp;"×"&amp;LEFT(MID(MID(TRIM(MID(SUBSTITUTE(K97,";",REPT(" ",99)),100,99)),FIND(":",TRIM(MID(SUBSTITUTE(K97,";",REPT(" ",99)),100,99)))+1,999),FIND(":",MID(TRIM(MID(SUBSTITUTE(K97,";",REPT(" ",99)),100,99)),FIND(":",TRIM(MID(SUBSTITUTE(K97,";",REPT(" ",99)),100,99)))+1,999))+1,999),FIND(":",MID(MID(TRIM(MID(SUBSTITUTE(K97,";",REPT(" ",99)),100,99)),FIND(":",TRIM(MID(SUBSTITUTE(K97,";",REPT(" ",99)),100,99)))+1,999),FIND(":",MID(TRIM(MID(SUBSTITUTE(K97,";",REPT(" ",99)),100,99)),FIND(":",TRIM(MID(SUBSTITUTE(K97,";",REPT(" ",99)),100,99)))+1,999))+1,999))-1)),IF(TRIM(MID(SUBSTITUTE(K97,";",REPT(" ",99)),199,99))="","",IFERROR(VLOOKUP(--LEFT(MID(TRIM(MID(SUBSTITUTE(K97,";",REPT(" ",99)),199,99)),FIND(":",TRIM(MID(SUBSTITUTE(K97,";",REPT(" ",99)),199,99)))+1,999),FIND(":",MID(TRIM(MID(SUBSTITUTE(K97,";",REPT(" ",99)),199,99)),FIND(":",TRIM(MID(SUBSTITUTE(K97,";",REPT(" ",99)),199,99)))+1,999))-1),_Lookup!$A:$B,2,FALSE),"?")&amp;"×"&amp;LEFT(MID(MID(TRIM(MID(SUBSTITUTE(K97,";",REPT(" ",99)),199,99)),FIND(":",TRIM(MID(SUBSTITUTE(K97,";",REPT(" ",99)),199,99)))+1,999),FIND(":",MID(TRIM(MID(SUBSTITUTE(K97,";",REPT(" ",99)),199,99)),FIND(":",TRIM(MID(SUBSTITUTE(K97,";",REPT(" ",99)),199,99)))+1,999))+1,999),FIND(":",MID(MID(TRIM(MID(SUBSTITUTE(K97,";",REPT(" ",99)),199,99)),FIND(":",TRIM(MID(SUBSTITUTE(K97,";",REPT(" ",99)),199,99)))+1,999),FIND(":",MID(TRIM(MID(SUBSTITUTE(K97,";",REPT(" ",99)),199,99)),FIND(":",TRIM(MID(SUBSTITUTE(K97,";",REPT(" ",99)),199,99)))+1,999))+1,999))-1)),IF(TRIM(MID(SUBSTITUTE(K97,";",REPT(" ",99)),298,99))="","",IFERROR(VLOOKUP(--LEFT(MID(TRIM(MID(SUBSTITUTE(K97,";",REPT(" ",99)),298,99)),FIND(":",TRIM(MID(SUBSTITUTE(K97,";",REPT(" ",99)),298,99)))+1,999),FIND(":",MID(TRIM(MID(SUBSTITUTE(K97,";",REPT(" ",99)),298,99)),FIND(":",TRIM(MID(SUBSTITUTE(K97,";",REPT(" ",99)),298,99)))+1,999))-1),_Lookup!$A:$B,2,FALSE),"?")&amp;"×"&amp;LEFT(MID(MID(TRIM(MID(SUBSTITUTE(K97,";",REPT(" ",99)),298,99)),FIND(":",TRIM(MID(SUBSTITUTE(K97,";",REPT(" ",99)),298,99)))+1,999),FIND(":",MID(TRIM(MID(SUBSTITUTE(K97,";",REPT(" ",99)),298,99)),FIND(":",TRIM(MID(SUBSTITUTE(K97,";",REPT(" ",99)),298,99)))+1,999))+1,999),FIND(":",MID(MID(TRIM(MID(SUBSTITUTE(K97,";",REPT(" ",99)),298,99)),FIND(":",TRIM(MID(SUBSTITUTE(K97,";",REPT(" ",99)),298,99)))+1,999),FIND(":",MID(TRIM(MID(SUBSTITUTE(K97,";",REPT(" ",99)),298,99)),FIND(":",TRIM(MID(SUBSTITUTE(K97,";",REPT(" ",99)),298,99)))+1,999))+1,999))-1)),IF(TRIM(MID(SUBSTITUTE(K97,";",REPT(" ",99)),397,99))="","",IFERROR(VLOOKUP(--LEFT(MID(TRIM(MID(SUBSTITUTE(K97,";",REPT(" ",99)),397,99)),FIND(":",TRIM(MID(SUBSTITUTE(K97,";",REPT(" ",99)),397,99)))+1,999),FIND(":",MID(TRIM(MID(SUBSTITUTE(K97,";",REPT(" ",99)),397,99)),FIND(":",TRIM(MID(SUBSTITUTE(K97,";",REPT(" ",99)),397,99)))+1,999))-1),_Lookup!$A:$B,2,FALSE),"?")&amp;"×"&amp;LEFT(MID(MID(TRIM(MID(SUBSTITUTE(K97,";",REPT(" ",99)),397,99)),FIND(":",TRIM(MID(SUBSTITUTE(K97,";",REPT(" ",99)),397,99)))+1,999),FIND(":",MID(TRIM(MID(SUBSTITUTE(K97,";",REPT(" ",99)),397,99)),FIND(":",TRIM(MID(SUBSTITUTE(K97,";",REPT(" ",99)),397,99)))+1,999))+1,999),FIND(":",MID(MID(TRIM(MID(SUBSTITUTE(K97,";",REPT(" ",99)),397,99)),FIND(":",TRIM(MID(SUBSTITUTE(K97,";",REPT(" ",99)),397,99)))+1,999),FIND(":",MID(TRIM(MID(SUBSTITUTE(K97,";",REPT(" ",99)),397,99)),FIND(":",TRIM(MID(SUBSTITUTE(K97,";",REPT(" ",99)),397,99)))+1,999))+1,999))-1))))</f>
        <v/>
      </c>
    </row>
    <row r="98">
      <c r="D98" s="11">
        <f>IFERROR(VLOOKUP(C98,ItemData_Fish!$A:$B,2,FALSE),"")</f>
        <v/>
      </c>
      <c r="L98" s="11">
        <f>IF(K98="","",TEXTJOIN("; ",TRUE,IF(TRIM(MID(SUBSTITUTE(K98,";",REPT(" ",99)),1,99))="","",IFERROR(VLOOKUP(--LEFT(MID(TRIM(MID(SUBSTITUTE(K98,";",REPT(" ",99)),1,99)),FIND(":",TRIM(MID(SUBSTITUTE(K98,";",REPT(" ",99)),1,99)))+1,999),FIND(":",MID(TRIM(MID(SUBSTITUTE(K98,";",REPT(" ",99)),1,99)),FIND(":",TRIM(MID(SUBSTITUTE(K98,";",REPT(" ",99)),1,99)))+1,999))-1),_Lookup!$A:$B,2,FALSE),"?")&amp;"×"&amp;LEFT(MID(MID(TRIM(MID(SUBSTITUTE(K98,";",REPT(" ",99)),1,99)),FIND(":",TRIM(MID(SUBSTITUTE(K98,";",REPT(" ",99)),1,99)))+1,999),FIND(":",MID(TRIM(MID(SUBSTITUTE(K98,";",REPT(" ",99)),1,99)),FIND(":",TRIM(MID(SUBSTITUTE(K98,";",REPT(" ",99)),1,99)))+1,999))+1,999),FIND(":",MID(MID(TRIM(MID(SUBSTITUTE(K98,";",REPT(" ",99)),1,99)),FIND(":",TRIM(MID(SUBSTITUTE(K98,";",REPT(" ",99)),1,99)))+1,999),FIND(":",MID(TRIM(MID(SUBSTITUTE(K98,";",REPT(" ",99)),1,99)),FIND(":",TRIM(MID(SUBSTITUTE(K98,";",REPT(" ",99)),1,99)))+1,999))+1,999))-1)),IF(TRIM(MID(SUBSTITUTE(K98,";",REPT(" ",99)),100,99))="","",IFERROR(VLOOKUP(--LEFT(MID(TRIM(MID(SUBSTITUTE(K98,";",REPT(" ",99)),100,99)),FIND(":",TRIM(MID(SUBSTITUTE(K98,";",REPT(" ",99)),100,99)))+1,999),FIND(":",MID(TRIM(MID(SUBSTITUTE(K98,";",REPT(" ",99)),100,99)),FIND(":",TRIM(MID(SUBSTITUTE(K98,";",REPT(" ",99)),100,99)))+1,999))-1),_Lookup!$A:$B,2,FALSE),"?")&amp;"×"&amp;LEFT(MID(MID(TRIM(MID(SUBSTITUTE(K98,";",REPT(" ",99)),100,99)),FIND(":",TRIM(MID(SUBSTITUTE(K98,";",REPT(" ",99)),100,99)))+1,999),FIND(":",MID(TRIM(MID(SUBSTITUTE(K98,";",REPT(" ",99)),100,99)),FIND(":",TRIM(MID(SUBSTITUTE(K98,";",REPT(" ",99)),100,99)))+1,999))+1,999),FIND(":",MID(MID(TRIM(MID(SUBSTITUTE(K98,";",REPT(" ",99)),100,99)),FIND(":",TRIM(MID(SUBSTITUTE(K98,";",REPT(" ",99)),100,99)))+1,999),FIND(":",MID(TRIM(MID(SUBSTITUTE(K98,";",REPT(" ",99)),100,99)),FIND(":",TRIM(MID(SUBSTITUTE(K98,";",REPT(" ",99)),100,99)))+1,999))+1,999))-1)),IF(TRIM(MID(SUBSTITUTE(K98,";",REPT(" ",99)),199,99))="","",IFERROR(VLOOKUP(--LEFT(MID(TRIM(MID(SUBSTITUTE(K98,";",REPT(" ",99)),199,99)),FIND(":",TRIM(MID(SUBSTITUTE(K98,";",REPT(" ",99)),199,99)))+1,999),FIND(":",MID(TRIM(MID(SUBSTITUTE(K98,";",REPT(" ",99)),199,99)),FIND(":",TRIM(MID(SUBSTITUTE(K98,";",REPT(" ",99)),199,99)))+1,999))-1),_Lookup!$A:$B,2,FALSE),"?")&amp;"×"&amp;LEFT(MID(MID(TRIM(MID(SUBSTITUTE(K98,";",REPT(" ",99)),199,99)),FIND(":",TRIM(MID(SUBSTITUTE(K98,";",REPT(" ",99)),199,99)))+1,999),FIND(":",MID(TRIM(MID(SUBSTITUTE(K98,";",REPT(" ",99)),199,99)),FIND(":",TRIM(MID(SUBSTITUTE(K98,";",REPT(" ",99)),199,99)))+1,999))+1,999),FIND(":",MID(MID(TRIM(MID(SUBSTITUTE(K98,";",REPT(" ",99)),199,99)),FIND(":",TRIM(MID(SUBSTITUTE(K98,";",REPT(" ",99)),199,99)))+1,999),FIND(":",MID(TRIM(MID(SUBSTITUTE(K98,";",REPT(" ",99)),199,99)),FIND(":",TRIM(MID(SUBSTITUTE(K98,";",REPT(" ",99)),199,99)))+1,999))+1,999))-1)),IF(TRIM(MID(SUBSTITUTE(K98,";",REPT(" ",99)),298,99))="","",IFERROR(VLOOKUP(--LEFT(MID(TRIM(MID(SUBSTITUTE(K98,";",REPT(" ",99)),298,99)),FIND(":",TRIM(MID(SUBSTITUTE(K98,";",REPT(" ",99)),298,99)))+1,999),FIND(":",MID(TRIM(MID(SUBSTITUTE(K98,";",REPT(" ",99)),298,99)),FIND(":",TRIM(MID(SUBSTITUTE(K98,";",REPT(" ",99)),298,99)))+1,999))-1),_Lookup!$A:$B,2,FALSE),"?")&amp;"×"&amp;LEFT(MID(MID(TRIM(MID(SUBSTITUTE(K98,";",REPT(" ",99)),298,99)),FIND(":",TRIM(MID(SUBSTITUTE(K98,";",REPT(" ",99)),298,99)))+1,999),FIND(":",MID(TRIM(MID(SUBSTITUTE(K98,";",REPT(" ",99)),298,99)),FIND(":",TRIM(MID(SUBSTITUTE(K98,";",REPT(" ",99)),298,99)))+1,999))+1,999),FIND(":",MID(MID(TRIM(MID(SUBSTITUTE(K98,";",REPT(" ",99)),298,99)),FIND(":",TRIM(MID(SUBSTITUTE(K98,";",REPT(" ",99)),298,99)))+1,999),FIND(":",MID(TRIM(MID(SUBSTITUTE(K98,";",REPT(" ",99)),298,99)),FIND(":",TRIM(MID(SUBSTITUTE(K98,";",REPT(" ",99)),298,99)))+1,999))+1,999))-1)),IF(TRIM(MID(SUBSTITUTE(K98,";",REPT(" ",99)),397,99))="","",IFERROR(VLOOKUP(--LEFT(MID(TRIM(MID(SUBSTITUTE(K98,";",REPT(" ",99)),397,99)),FIND(":",TRIM(MID(SUBSTITUTE(K98,";",REPT(" ",99)),397,99)))+1,999),FIND(":",MID(TRIM(MID(SUBSTITUTE(K98,";",REPT(" ",99)),397,99)),FIND(":",TRIM(MID(SUBSTITUTE(K98,";",REPT(" ",99)),397,99)))+1,999))-1),_Lookup!$A:$B,2,FALSE),"?")&amp;"×"&amp;LEFT(MID(MID(TRIM(MID(SUBSTITUTE(K98,";",REPT(" ",99)),397,99)),FIND(":",TRIM(MID(SUBSTITUTE(K98,";",REPT(" ",99)),397,99)))+1,999),FIND(":",MID(TRIM(MID(SUBSTITUTE(K98,";",REPT(" ",99)),397,99)),FIND(":",TRIM(MID(SUBSTITUTE(K98,";",REPT(" ",99)),397,99)))+1,999))+1,999),FIND(":",MID(MID(TRIM(MID(SUBSTITUTE(K98,";",REPT(" ",99)),397,99)),FIND(":",TRIM(MID(SUBSTITUTE(K98,";",REPT(" ",99)),397,99)))+1,999),FIND(":",MID(TRIM(MID(SUBSTITUTE(K98,";",REPT(" ",99)),397,99)),FIND(":",TRIM(MID(SUBSTITUTE(K98,";",REPT(" ",99)),397,99)))+1,999))+1,999))-1))))</f>
        <v/>
      </c>
    </row>
    <row r="99">
      <c r="D99" s="11">
        <f>IFERROR(VLOOKUP(C99,ItemData_Fish!$A:$B,2,FALSE),"")</f>
        <v/>
      </c>
      <c r="L99" s="11">
        <f>IF(K99="","",TEXTJOIN("; ",TRUE,IF(TRIM(MID(SUBSTITUTE(K99,";",REPT(" ",99)),1,99))="","",IFERROR(VLOOKUP(--LEFT(MID(TRIM(MID(SUBSTITUTE(K99,";",REPT(" ",99)),1,99)),FIND(":",TRIM(MID(SUBSTITUTE(K99,";",REPT(" ",99)),1,99)))+1,999),FIND(":",MID(TRIM(MID(SUBSTITUTE(K99,";",REPT(" ",99)),1,99)),FIND(":",TRIM(MID(SUBSTITUTE(K99,";",REPT(" ",99)),1,99)))+1,999))-1),_Lookup!$A:$B,2,FALSE),"?")&amp;"×"&amp;LEFT(MID(MID(TRIM(MID(SUBSTITUTE(K99,";",REPT(" ",99)),1,99)),FIND(":",TRIM(MID(SUBSTITUTE(K99,";",REPT(" ",99)),1,99)))+1,999),FIND(":",MID(TRIM(MID(SUBSTITUTE(K99,";",REPT(" ",99)),1,99)),FIND(":",TRIM(MID(SUBSTITUTE(K99,";",REPT(" ",99)),1,99)))+1,999))+1,999),FIND(":",MID(MID(TRIM(MID(SUBSTITUTE(K99,";",REPT(" ",99)),1,99)),FIND(":",TRIM(MID(SUBSTITUTE(K99,";",REPT(" ",99)),1,99)))+1,999),FIND(":",MID(TRIM(MID(SUBSTITUTE(K99,";",REPT(" ",99)),1,99)),FIND(":",TRIM(MID(SUBSTITUTE(K99,";",REPT(" ",99)),1,99)))+1,999))+1,999))-1)),IF(TRIM(MID(SUBSTITUTE(K99,";",REPT(" ",99)),100,99))="","",IFERROR(VLOOKUP(--LEFT(MID(TRIM(MID(SUBSTITUTE(K99,";",REPT(" ",99)),100,99)),FIND(":",TRIM(MID(SUBSTITUTE(K99,";",REPT(" ",99)),100,99)))+1,999),FIND(":",MID(TRIM(MID(SUBSTITUTE(K99,";",REPT(" ",99)),100,99)),FIND(":",TRIM(MID(SUBSTITUTE(K99,";",REPT(" ",99)),100,99)))+1,999))-1),_Lookup!$A:$B,2,FALSE),"?")&amp;"×"&amp;LEFT(MID(MID(TRIM(MID(SUBSTITUTE(K99,";",REPT(" ",99)),100,99)),FIND(":",TRIM(MID(SUBSTITUTE(K99,";",REPT(" ",99)),100,99)))+1,999),FIND(":",MID(TRIM(MID(SUBSTITUTE(K99,";",REPT(" ",99)),100,99)),FIND(":",TRIM(MID(SUBSTITUTE(K99,";",REPT(" ",99)),100,99)))+1,999))+1,999),FIND(":",MID(MID(TRIM(MID(SUBSTITUTE(K99,";",REPT(" ",99)),100,99)),FIND(":",TRIM(MID(SUBSTITUTE(K99,";",REPT(" ",99)),100,99)))+1,999),FIND(":",MID(TRIM(MID(SUBSTITUTE(K99,";",REPT(" ",99)),100,99)),FIND(":",TRIM(MID(SUBSTITUTE(K99,";",REPT(" ",99)),100,99)))+1,999))+1,999))-1)),IF(TRIM(MID(SUBSTITUTE(K99,";",REPT(" ",99)),199,99))="","",IFERROR(VLOOKUP(--LEFT(MID(TRIM(MID(SUBSTITUTE(K99,";",REPT(" ",99)),199,99)),FIND(":",TRIM(MID(SUBSTITUTE(K99,";",REPT(" ",99)),199,99)))+1,999),FIND(":",MID(TRIM(MID(SUBSTITUTE(K99,";",REPT(" ",99)),199,99)),FIND(":",TRIM(MID(SUBSTITUTE(K99,";",REPT(" ",99)),199,99)))+1,999))-1),_Lookup!$A:$B,2,FALSE),"?")&amp;"×"&amp;LEFT(MID(MID(TRIM(MID(SUBSTITUTE(K99,";",REPT(" ",99)),199,99)),FIND(":",TRIM(MID(SUBSTITUTE(K99,";",REPT(" ",99)),199,99)))+1,999),FIND(":",MID(TRIM(MID(SUBSTITUTE(K99,";",REPT(" ",99)),199,99)),FIND(":",TRIM(MID(SUBSTITUTE(K99,";",REPT(" ",99)),199,99)))+1,999))+1,999),FIND(":",MID(MID(TRIM(MID(SUBSTITUTE(K99,";",REPT(" ",99)),199,99)),FIND(":",TRIM(MID(SUBSTITUTE(K99,";",REPT(" ",99)),199,99)))+1,999),FIND(":",MID(TRIM(MID(SUBSTITUTE(K99,";",REPT(" ",99)),199,99)),FIND(":",TRIM(MID(SUBSTITUTE(K99,";",REPT(" ",99)),199,99)))+1,999))+1,999))-1)),IF(TRIM(MID(SUBSTITUTE(K99,";",REPT(" ",99)),298,99))="","",IFERROR(VLOOKUP(--LEFT(MID(TRIM(MID(SUBSTITUTE(K99,";",REPT(" ",99)),298,99)),FIND(":",TRIM(MID(SUBSTITUTE(K99,";",REPT(" ",99)),298,99)))+1,999),FIND(":",MID(TRIM(MID(SUBSTITUTE(K99,";",REPT(" ",99)),298,99)),FIND(":",TRIM(MID(SUBSTITUTE(K99,";",REPT(" ",99)),298,99)))+1,999))-1),_Lookup!$A:$B,2,FALSE),"?")&amp;"×"&amp;LEFT(MID(MID(TRIM(MID(SUBSTITUTE(K99,";",REPT(" ",99)),298,99)),FIND(":",TRIM(MID(SUBSTITUTE(K99,";",REPT(" ",99)),298,99)))+1,999),FIND(":",MID(TRIM(MID(SUBSTITUTE(K99,";",REPT(" ",99)),298,99)),FIND(":",TRIM(MID(SUBSTITUTE(K99,";",REPT(" ",99)),298,99)))+1,999))+1,999),FIND(":",MID(MID(TRIM(MID(SUBSTITUTE(K99,";",REPT(" ",99)),298,99)),FIND(":",TRIM(MID(SUBSTITUTE(K99,";",REPT(" ",99)),298,99)))+1,999),FIND(":",MID(TRIM(MID(SUBSTITUTE(K99,";",REPT(" ",99)),298,99)),FIND(":",TRIM(MID(SUBSTITUTE(K99,";",REPT(" ",99)),298,99)))+1,999))+1,999))-1)),IF(TRIM(MID(SUBSTITUTE(K99,";",REPT(" ",99)),397,99))="","",IFERROR(VLOOKUP(--LEFT(MID(TRIM(MID(SUBSTITUTE(K99,";",REPT(" ",99)),397,99)),FIND(":",TRIM(MID(SUBSTITUTE(K99,";",REPT(" ",99)),397,99)))+1,999),FIND(":",MID(TRIM(MID(SUBSTITUTE(K99,";",REPT(" ",99)),397,99)),FIND(":",TRIM(MID(SUBSTITUTE(K99,";",REPT(" ",99)),397,99)))+1,999))-1),_Lookup!$A:$B,2,FALSE),"?")&amp;"×"&amp;LEFT(MID(MID(TRIM(MID(SUBSTITUTE(K99,";",REPT(" ",99)),397,99)),FIND(":",TRIM(MID(SUBSTITUTE(K99,";",REPT(" ",99)),397,99)))+1,999),FIND(":",MID(TRIM(MID(SUBSTITUTE(K99,";",REPT(" ",99)),397,99)),FIND(":",TRIM(MID(SUBSTITUTE(K99,";",REPT(" ",99)),397,99)))+1,999))+1,999),FIND(":",MID(MID(TRIM(MID(SUBSTITUTE(K99,";",REPT(" ",99)),397,99)),FIND(":",TRIM(MID(SUBSTITUTE(K99,";",REPT(" ",99)),397,99)))+1,999),FIND(":",MID(TRIM(MID(SUBSTITUTE(K99,";",REPT(" ",99)),397,99)),FIND(":",TRIM(MID(SUBSTITUTE(K99,";",REPT(" ",99)),397,99)))+1,999))+1,999))-1))))</f>
        <v/>
      </c>
    </row>
    <row r="100">
      <c r="D100" s="11">
        <f>IFERROR(VLOOKUP(C100,ItemData_Fish!$A:$B,2,FALSE),"")</f>
        <v/>
      </c>
      <c r="L100" s="11">
        <f>IF(K100="","",TEXTJOIN("; ",TRUE,IF(TRIM(MID(SUBSTITUTE(K100,";",REPT(" ",99)),1,99))="","",IFERROR(VLOOKUP(--LEFT(MID(TRIM(MID(SUBSTITUTE(K100,";",REPT(" ",99)),1,99)),FIND(":",TRIM(MID(SUBSTITUTE(K100,";",REPT(" ",99)),1,99)))+1,999),FIND(":",MID(TRIM(MID(SUBSTITUTE(K100,";",REPT(" ",99)),1,99)),FIND(":",TRIM(MID(SUBSTITUTE(K100,";",REPT(" ",99)),1,99)))+1,999))-1),_Lookup!$A:$B,2,FALSE),"?")&amp;"×"&amp;LEFT(MID(MID(TRIM(MID(SUBSTITUTE(K100,";",REPT(" ",99)),1,99)),FIND(":",TRIM(MID(SUBSTITUTE(K100,";",REPT(" ",99)),1,99)))+1,999),FIND(":",MID(TRIM(MID(SUBSTITUTE(K100,";",REPT(" ",99)),1,99)),FIND(":",TRIM(MID(SUBSTITUTE(K100,";",REPT(" ",99)),1,99)))+1,999))+1,999),FIND(":",MID(MID(TRIM(MID(SUBSTITUTE(K100,";",REPT(" ",99)),1,99)),FIND(":",TRIM(MID(SUBSTITUTE(K100,";",REPT(" ",99)),1,99)))+1,999),FIND(":",MID(TRIM(MID(SUBSTITUTE(K100,";",REPT(" ",99)),1,99)),FIND(":",TRIM(MID(SUBSTITUTE(K100,";",REPT(" ",99)),1,99)))+1,999))+1,999))-1)),IF(TRIM(MID(SUBSTITUTE(K100,";",REPT(" ",99)),100,99))="","",IFERROR(VLOOKUP(--LEFT(MID(TRIM(MID(SUBSTITUTE(K100,";",REPT(" ",99)),100,99)),FIND(":",TRIM(MID(SUBSTITUTE(K100,";",REPT(" ",99)),100,99)))+1,999),FIND(":",MID(TRIM(MID(SUBSTITUTE(K100,";",REPT(" ",99)),100,99)),FIND(":",TRIM(MID(SUBSTITUTE(K100,";",REPT(" ",99)),100,99)))+1,999))-1),_Lookup!$A:$B,2,FALSE),"?")&amp;"×"&amp;LEFT(MID(MID(TRIM(MID(SUBSTITUTE(K100,";",REPT(" ",99)),100,99)),FIND(":",TRIM(MID(SUBSTITUTE(K100,";",REPT(" ",99)),100,99)))+1,999),FIND(":",MID(TRIM(MID(SUBSTITUTE(K100,";",REPT(" ",99)),100,99)),FIND(":",TRIM(MID(SUBSTITUTE(K100,";",REPT(" ",99)),100,99)))+1,999))+1,999),FIND(":",MID(MID(TRIM(MID(SUBSTITUTE(K100,";",REPT(" ",99)),100,99)),FIND(":",TRIM(MID(SUBSTITUTE(K100,";",REPT(" ",99)),100,99)))+1,999),FIND(":",MID(TRIM(MID(SUBSTITUTE(K100,";",REPT(" ",99)),100,99)),FIND(":",TRIM(MID(SUBSTITUTE(K100,";",REPT(" ",99)),100,99)))+1,999))+1,999))-1)),IF(TRIM(MID(SUBSTITUTE(K100,";",REPT(" ",99)),199,99))="","",IFERROR(VLOOKUP(--LEFT(MID(TRIM(MID(SUBSTITUTE(K100,";",REPT(" ",99)),199,99)),FIND(":",TRIM(MID(SUBSTITUTE(K100,";",REPT(" ",99)),199,99)))+1,999),FIND(":",MID(TRIM(MID(SUBSTITUTE(K100,";",REPT(" ",99)),199,99)),FIND(":",TRIM(MID(SUBSTITUTE(K100,";",REPT(" ",99)),199,99)))+1,999))-1),_Lookup!$A:$B,2,FALSE),"?")&amp;"×"&amp;LEFT(MID(MID(TRIM(MID(SUBSTITUTE(K100,";",REPT(" ",99)),199,99)),FIND(":",TRIM(MID(SUBSTITUTE(K100,";",REPT(" ",99)),199,99)))+1,999),FIND(":",MID(TRIM(MID(SUBSTITUTE(K100,";",REPT(" ",99)),199,99)),FIND(":",TRIM(MID(SUBSTITUTE(K100,";",REPT(" ",99)),199,99)))+1,999))+1,999),FIND(":",MID(MID(TRIM(MID(SUBSTITUTE(K100,";",REPT(" ",99)),199,99)),FIND(":",TRIM(MID(SUBSTITUTE(K100,";",REPT(" ",99)),199,99)))+1,999),FIND(":",MID(TRIM(MID(SUBSTITUTE(K100,";",REPT(" ",99)),199,99)),FIND(":",TRIM(MID(SUBSTITUTE(K100,";",REPT(" ",99)),199,99)))+1,999))+1,999))-1)),IF(TRIM(MID(SUBSTITUTE(K100,";",REPT(" ",99)),298,99))="","",IFERROR(VLOOKUP(--LEFT(MID(TRIM(MID(SUBSTITUTE(K100,";",REPT(" ",99)),298,99)),FIND(":",TRIM(MID(SUBSTITUTE(K100,";",REPT(" ",99)),298,99)))+1,999),FIND(":",MID(TRIM(MID(SUBSTITUTE(K100,";",REPT(" ",99)),298,99)),FIND(":",TRIM(MID(SUBSTITUTE(K100,";",REPT(" ",99)),298,99)))+1,999))-1),_Lookup!$A:$B,2,FALSE),"?")&amp;"×"&amp;LEFT(MID(MID(TRIM(MID(SUBSTITUTE(K100,";",REPT(" ",99)),298,99)),FIND(":",TRIM(MID(SUBSTITUTE(K100,";",REPT(" ",99)),298,99)))+1,999),FIND(":",MID(TRIM(MID(SUBSTITUTE(K100,";",REPT(" ",99)),298,99)),FIND(":",TRIM(MID(SUBSTITUTE(K100,";",REPT(" ",99)),298,99)))+1,999))+1,999),FIND(":",MID(MID(TRIM(MID(SUBSTITUTE(K100,";",REPT(" ",99)),298,99)),FIND(":",TRIM(MID(SUBSTITUTE(K100,";",REPT(" ",99)),298,99)))+1,999),FIND(":",MID(TRIM(MID(SUBSTITUTE(K100,";",REPT(" ",99)),298,99)),FIND(":",TRIM(MID(SUBSTITUTE(K100,";",REPT(" ",99)),298,99)))+1,999))+1,999))-1)),IF(TRIM(MID(SUBSTITUTE(K100,";",REPT(" ",99)),397,99))="","",IFERROR(VLOOKUP(--LEFT(MID(TRIM(MID(SUBSTITUTE(K100,";",REPT(" ",99)),397,99)),FIND(":",TRIM(MID(SUBSTITUTE(K100,";",REPT(" ",99)),397,99)))+1,999),FIND(":",MID(TRIM(MID(SUBSTITUTE(K100,";",REPT(" ",99)),397,99)),FIND(":",TRIM(MID(SUBSTITUTE(K100,";",REPT(" ",99)),397,99)))+1,999))-1),_Lookup!$A:$B,2,FALSE),"?")&amp;"×"&amp;LEFT(MID(MID(TRIM(MID(SUBSTITUTE(K100,";",REPT(" ",99)),397,99)),FIND(":",TRIM(MID(SUBSTITUTE(K100,";",REPT(" ",99)),397,99)))+1,999),FIND(":",MID(TRIM(MID(SUBSTITUTE(K100,";",REPT(" ",99)),397,99)),FIND(":",TRIM(MID(SUBSTITUTE(K100,";",REPT(" ",99)),397,99)))+1,999))+1,999),FIND(":",MID(MID(TRIM(MID(SUBSTITUTE(K100,";",REPT(" ",99)),397,99)),FIND(":",TRIM(MID(SUBSTITUTE(K100,";",REPT(" ",99)),397,99)))+1,999),FIND(":",MID(TRIM(MID(SUBSTITUTE(K100,";",REPT(" ",99)),397,99)),FIND(":",TRIM(MID(SUBSTITUTE(K100,";",REPT(" ",99)),397,99)))+1,999))+1,999))-1))))</f>
        <v/>
      </c>
    </row>
    <row r="101">
      <c r="D101" s="11">
        <f>IFERROR(VLOOKUP(C101,ItemData_Fish!$A:$B,2,FALSE),"")</f>
        <v/>
      </c>
      <c r="L101" s="11">
        <f>IF(K101="","",TEXTJOIN("; ",TRUE,IF(TRIM(MID(SUBSTITUTE(K101,";",REPT(" ",99)),1,99))="","",IFERROR(VLOOKUP(--LEFT(MID(TRIM(MID(SUBSTITUTE(K101,";",REPT(" ",99)),1,99)),FIND(":",TRIM(MID(SUBSTITUTE(K101,";",REPT(" ",99)),1,99)))+1,999),FIND(":",MID(TRIM(MID(SUBSTITUTE(K101,";",REPT(" ",99)),1,99)),FIND(":",TRIM(MID(SUBSTITUTE(K101,";",REPT(" ",99)),1,99)))+1,999))-1),_Lookup!$A:$B,2,FALSE),"?")&amp;"×"&amp;LEFT(MID(MID(TRIM(MID(SUBSTITUTE(K101,";",REPT(" ",99)),1,99)),FIND(":",TRIM(MID(SUBSTITUTE(K101,";",REPT(" ",99)),1,99)))+1,999),FIND(":",MID(TRIM(MID(SUBSTITUTE(K101,";",REPT(" ",99)),1,99)),FIND(":",TRIM(MID(SUBSTITUTE(K101,";",REPT(" ",99)),1,99)))+1,999))+1,999),FIND(":",MID(MID(TRIM(MID(SUBSTITUTE(K101,";",REPT(" ",99)),1,99)),FIND(":",TRIM(MID(SUBSTITUTE(K101,";",REPT(" ",99)),1,99)))+1,999),FIND(":",MID(TRIM(MID(SUBSTITUTE(K101,";",REPT(" ",99)),1,99)),FIND(":",TRIM(MID(SUBSTITUTE(K101,";",REPT(" ",99)),1,99)))+1,999))+1,999))-1)),IF(TRIM(MID(SUBSTITUTE(K101,";",REPT(" ",99)),100,99))="","",IFERROR(VLOOKUP(--LEFT(MID(TRIM(MID(SUBSTITUTE(K101,";",REPT(" ",99)),100,99)),FIND(":",TRIM(MID(SUBSTITUTE(K101,";",REPT(" ",99)),100,99)))+1,999),FIND(":",MID(TRIM(MID(SUBSTITUTE(K101,";",REPT(" ",99)),100,99)),FIND(":",TRIM(MID(SUBSTITUTE(K101,";",REPT(" ",99)),100,99)))+1,999))-1),_Lookup!$A:$B,2,FALSE),"?")&amp;"×"&amp;LEFT(MID(MID(TRIM(MID(SUBSTITUTE(K101,";",REPT(" ",99)),100,99)),FIND(":",TRIM(MID(SUBSTITUTE(K101,";",REPT(" ",99)),100,99)))+1,999),FIND(":",MID(TRIM(MID(SUBSTITUTE(K101,";",REPT(" ",99)),100,99)),FIND(":",TRIM(MID(SUBSTITUTE(K101,";",REPT(" ",99)),100,99)))+1,999))+1,999),FIND(":",MID(MID(TRIM(MID(SUBSTITUTE(K101,";",REPT(" ",99)),100,99)),FIND(":",TRIM(MID(SUBSTITUTE(K101,";",REPT(" ",99)),100,99)))+1,999),FIND(":",MID(TRIM(MID(SUBSTITUTE(K101,";",REPT(" ",99)),100,99)),FIND(":",TRIM(MID(SUBSTITUTE(K101,";",REPT(" ",99)),100,99)))+1,999))+1,999))-1)),IF(TRIM(MID(SUBSTITUTE(K101,";",REPT(" ",99)),199,99))="","",IFERROR(VLOOKUP(--LEFT(MID(TRIM(MID(SUBSTITUTE(K101,";",REPT(" ",99)),199,99)),FIND(":",TRIM(MID(SUBSTITUTE(K101,";",REPT(" ",99)),199,99)))+1,999),FIND(":",MID(TRIM(MID(SUBSTITUTE(K101,";",REPT(" ",99)),199,99)),FIND(":",TRIM(MID(SUBSTITUTE(K101,";",REPT(" ",99)),199,99)))+1,999))-1),_Lookup!$A:$B,2,FALSE),"?")&amp;"×"&amp;LEFT(MID(MID(TRIM(MID(SUBSTITUTE(K101,";",REPT(" ",99)),199,99)),FIND(":",TRIM(MID(SUBSTITUTE(K101,";",REPT(" ",99)),199,99)))+1,999),FIND(":",MID(TRIM(MID(SUBSTITUTE(K101,";",REPT(" ",99)),199,99)),FIND(":",TRIM(MID(SUBSTITUTE(K101,";",REPT(" ",99)),199,99)))+1,999))+1,999),FIND(":",MID(MID(TRIM(MID(SUBSTITUTE(K101,";",REPT(" ",99)),199,99)),FIND(":",TRIM(MID(SUBSTITUTE(K101,";",REPT(" ",99)),199,99)))+1,999),FIND(":",MID(TRIM(MID(SUBSTITUTE(K101,";",REPT(" ",99)),199,99)),FIND(":",TRIM(MID(SUBSTITUTE(K101,";",REPT(" ",99)),199,99)))+1,999))+1,999))-1)),IF(TRIM(MID(SUBSTITUTE(K101,";",REPT(" ",99)),298,99))="","",IFERROR(VLOOKUP(--LEFT(MID(TRIM(MID(SUBSTITUTE(K101,";",REPT(" ",99)),298,99)),FIND(":",TRIM(MID(SUBSTITUTE(K101,";",REPT(" ",99)),298,99)))+1,999),FIND(":",MID(TRIM(MID(SUBSTITUTE(K101,";",REPT(" ",99)),298,99)),FIND(":",TRIM(MID(SUBSTITUTE(K101,";",REPT(" ",99)),298,99)))+1,999))-1),_Lookup!$A:$B,2,FALSE),"?")&amp;"×"&amp;LEFT(MID(MID(TRIM(MID(SUBSTITUTE(K101,";",REPT(" ",99)),298,99)),FIND(":",TRIM(MID(SUBSTITUTE(K101,";",REPT(" ",99)),298,99)))+1,999),FIND(":",MID(TRIM(MID(SUBSTITUTE(K101,";",REPT(" ",99)),298,99)),FIND(":",TRIM(MID(SUBSTITUTE(K101,";",REPT(" ",99)),298,99)))+1,999))+1,999),FIND(":",MID(MID(TRIM(MID(SUBSTITUTE(K101,";",REPT(" ",99)),298,99)),FIND(":",TRIM(MID(SUBSTITUTE(K101,";",REPT(" ",99)),298,99)))+1,999),FIND(":",MID(TRIM(MID(SUBSTITUTE(K101,";",REPT(" ",99)),298,99)),FIND(":",TRIM(MID(SUBSTITUTE(K101,";",REPT(" ",99)),298,99)))+1,999))+1,999))-1)),IF(TRIM(MID(SUBSTITUTE(K101,";",REPT(" ",99)),397,99))="","",IFERROR(VLOOKUP(--LEFT(MID(TRIM(MID(SUBSTITUTE(K101,";",REPT(" ",99)),397,99)),FIND(":",TRIM(MID(SUBSTITUTE(K101,";",REPT(" ",99)),397,99)))+1,999),FIND(":",MID(TRIM(MID(SUBSTITUTE(K101,";",REPT(" ",99)),397,99)),FIND(":",TRIM(MID(SUBSTITUTE(K101,";",REPT(" ",99)),397,99)))+1,999))-1),_Lookup!$A:$B,2,FALSE),"?")&amp;"×"&amp;LEFT(MID(MID(TRIM(MID(SUBSTITUTE(K101,";",REPT(" ",99)),397,99)),FIND(":",TRIM(MID(SUBSTITUTE(K101,";",REPT(" ",99)),397,99)))+1,999),FIND(":",MID(TRIM(MID(SUBSTITUTE(K101,";",REPT(" ",99)),397,99)),FIND(":",TRIM(MID(SUBSTITUTE(K101,";",REPT(" ",99)),397,99)))+1,999))+1,999),FIND(":",MID(MID(TRIM(MID(SUBSTITUTE(K101,";",REPT(" ",99)),397,99)),FIND(":",TRIM(MID(SUBSTITUTE(K101,";",REPT(" ",99)),397,99)))+1,999),FIND(":",MID(TRIM(MID(SUBSTITUTE(K101,";",REPT(" ",99)),397,99)),FIND(":",TRIM(MID(SUBSTITUTE(K101,";",REPT(" ",99)),397,99)))+1,999))+1,999))-1))))</f>
        <v/>
      </c>
    </row>
    <row r="102">
      <c r="D102" s="11">
        <f>IFERROR(VLOOKUP(C102,ItemData_Fish!$A:$B,2,FALSE),"")</f>
        <v/>
      </c>
      <c r="L102" s="11">
        <f>IF(K102="","",TEXTJOIN("; ",TRUE,IF(TRIM(MID(SUBSTITUTE(K102,";",REPT(" ",99)),1,99))="","",IFERROR(VLOOKUP(--LEFT(MID(TRIM(MID(SUBSTITUTE(K102,";",REPT(" ",99)),1,99)),FIND(":",TRIM(MID(SUBSTITUTE(K102,";",REPT(" ",99)),1,99)))+1,999),FIND(":",MID(TRIM(MID(SUBSTITUTE(K102,";",REPT(" ",99)),1,99)),FIND(":",TRIM(MID(SUBSTITUTE(K102,";",REPT(" ",99)),1,99)))+1,999))-1),_Lookup!$A:$B,2,FALSE),"?")&amp;"×"&amp;LEFT(MID(MID(TRIM(MID(SUBSTITUTE(K102,";",REPT(" ",99)),1,99)),FIND(":",TRIM(MID(SUBSTITUTE(K102,";",REPT(" ",99)),1,99)))+1,999),FIND(":",MID(TRIM(MID(SUBSTITUTE(K102,";",REPT(" ",99)),1,99)),FIND(":",TRIM(MID(SUBSTITUTE(K102,";",REPT(" ",99)),1,99)))+1,999))+1,999),FIND(":",MID(MID(TRIM(MID(SUBSTITUTE(K102,";",REPT(" ",99)),1,99)),FIND(":",TRIM(MID(SUBSTITUTE(K102,";",REPT(" ",99)),1,99)))+1,999),FIND(":",MID(TRIM(MID(SUBSTITUTE(K102,";",REPT(" ",99)),1,99)),FIND(":",TRIM(MID(SUBSTITUTE(K102,";",REPT(" ",99)),1,99)))+1,999))+1,999))-1)),IF(TRIM(MID(SUBSTITUTE(K102,";",REPT(" ",99)),100,99))="","",IFERROR(VLOOKUP(--LEFT(MID(TRIM(MID(SUBSTITUTE(K102,";",REPT(" ",99)),100,99)),FIND(":",TRIM(MID(SUBSTITUTE(K102,";",REPT(" ",99)),100,99)))+1,999),FIND(":",MID(TRIM(MID(SUBSTITUTE(K102,";",REPT(" ",99)),100,99)),FIND(":",TRIM(MID(SUBSTITUTE(K102,";",REPT(" ",99)),100,99)))+1,999))-1),_Lookup!$A:$B,2,FALSE),"?")&amp;"×"&amp;LEFT(MID(MID(TRIM(MID(SUBSTITUTE(K102,";",REPT(" ",99)),100,99)),FIND(":",TRIM(MID(SUBSTITUTE(K102,";",REPT(" ",99)),100,99)))+1,999),FIND(":",MID(TRIM(MID(SUBSTITUTE(K102,";",REPT(" ",99)),100,99)),FIND(":",TRIM(MID(SUBSTITUTE(K102,";",REPT(" ",99)),100,99)))+1,999))+1,999),FIND(":",MID(MID(TRIM(MID(SUBSTITUTE(K102,";",REPT(" ",99)),100,99)),FIND(":",TRIM(MID(SUBSTITUTE(K102,";",REPT(" ",99)),100,99)))+1,999),FIND(":",MID(TRIM(MID(SUBSTITUTE(K102,";",REPT(" ",99)),100,99)),FIND(":",TRIM(MID(SUBSTITUTE(K102,";",REPT(" ",99)),100,99)))+1,999))+1,999))-1)),IF(TRIM(MID(SUBSTITUTE(K102,";",REPT(" ",99)),199,99))="","",IFERROR(VLOOKUP(--LEFT(MID(TRIM(MID(SUBSTITUTE(K102,";",REPT(" ",99)),199,99)),FIND(":",TRIM(MID(SUBSTITUTE(K102,";",REPT(" ",99)),199,99)))+1,999),FIND(":",MID(TRIM(MID(SUBSTITUTE(K102,";",REPT(" ",99)),199,99)),FIND(":",TRIM(MID(SUBSTITUTE(K102,";",REPT(" ",99)),199,99)))+1,999))-1),_Lookup!$A:$B,2,FALSE),"?")&amp;"×"&amp;LEFT(MID(MID(TRIM(MID(SUBSTITUTE(K102,";",REPT(" ",99)),199,99)),FIND(":",TRIM(MID(SUBSTITUTE(K102,";",REPT(" ",99)),199,99)))+1,999),FIND(":",MID(TRIM(MID(SUBSTITUTE(K102,";",REPT(" ",99)),199,99)),FIND(":",TRIM(MID(SUBSTITUTE(K102,";",REPT(" ",99)),199,99)))+1,999))+1,999),FIND(":",MID(MID(TRIM(MID(SUBSTITUTE(K102,";",REPT(" ",99)),199,99)),FIND(":",TRIM(MID(SUBSTITUTE(K102,";",REPT(" ",99)),199,99)))+1,999),FIND(":",MID(TRIM(MID(SUBSTITUTE(K102,";",REPT(" ",99)),199,99)),FIND(":",TRIM(MID(SUBSTITUTE(K102,";",REPT(" ",99)),199,99)))+1,999))+1,999))-1)),IF(TRIM(MID(SUBSTITUTE(K102,";",REPT(" ",99)),298,99))="","",IFERROR(VLOOKUP(--LEFT(MID(TRIM(MID(SUBSTITUTE(K102,";",REPT(" ",99)),298,99)),FIND(":",TRIM(MID(SUBSTITUTE(K102,";",REPT(" ",99)),298,99)))+1,999),FIND(":",MID(TRIM(MID(SUBSTITUTE(K102,";",REPT(" ",99)),298,99)),FIND(":",TRIM(MID(SUBSTITUTE(K102,";",REPT(" ",99)),298,99)))+1,999))-1),_Lookup!$A:$B,2,FALSE),"?")&amp;"×"&amp;LEFT(MID(MID(TRIM(MID(SUBSTITUTE(K102,";",REPT(" ",99)),298,99)),FIND(":",TRIM(MID(SUBSTITUTE(K102,";",REPT(" ",99)),298,99)))+1,999),FIND(":",MID(TRIM(MID(SUBSTITUTE(K102,";",REPT(" ",99)),298,99)),FIND(":",TRIM(MID(SUBSTITUTE(K102,";",REPT(" ",99)),298,99)))+1,999))+1,999),FIND(":",MID(MID(TRIM(MID(SUBSTITUTE(K102,";",REPT(" ",99)),298,99)),FIND(":",TRIM(MID(SUBSTITUTE(K102,";",REPT(" ",99)),298,99)))+1,999),FIND(":",MID(TRIM(MID(SUBSTITUTE(K102,";",REPT(" ",99)),298,99)),FIND(":",TRIM(MID(SUBSTITUTE(K102,";",REPT(" ",99)),298,99)))+1,999))+1,999))-1)),IF(TRIM(MID(SUBSTITUTE(K102,";",REPT(" ",99)),397,99))="","",IFERROR(VLOOKUP(--LEFT(MID(TRIM(MID(SUBSTITUTE(K102,";",REPT(" ",99)),397,99)),FIND(":",TRIM(MID(SUBSTITUTE(K102,";",REPT(" ",99)),397,99)))+1,999),FIND(":",MID(TRIM(MID(SUBSTITUTE(K102,";",REPT(" ",99)),397,99)),FIND(":",TRIM(MID(SUBSTITUTE(K102,";",REPT(" ",99)),397,99)))+1,999))-1),_Lookup!$A:$B,2,FALSE),"?")&amp;"×"&amp;LEFT(MID(MID(TRIM(MID(SUBSTITUTE(K102,";",REPT(" ",99)),397,99)),FIND(":",TRIM(MID(SUBSTITUTE(K102,";",REPT(" ",99)),397,99)))+1,999),FIND(":",MID(TRIM(MID(SUBSTITUTE(K102,";",REPT(" ",99)),397,99)),FIND(":",TRIM(MID(SUBSTITUTE(K102,";",REPT(" ",99)),397,99)))+1,999))+1,999),FIND(":",MID(MID(TRIM(MID(SUBSTITUTE(K102,";",REPT(" ",99)),397,99)),FIND(":",TRIM(MID(SUBSTITUTE(K102,";",REPT(" ",99)),397,99)))+1,999),FIND(":",MID(TRIM(MID(SUBSTITUTE(K102,";",REPT(" ",99)),397,99)),FIND(":",TRIM(MID(SUBSTITUTE(K102,";",REPT(" ",99)),397,99)))+1,999))+1,999))-1))))</f>
        <v/>
      </c>
    </row>
    <row r="103">
      <c r="D103" s="11">
        <f>IFERROR(VLOOKUP(C103,ItemData_Fish!$A:$B,2,FALSE),"")</f>
        <v/>
      </c>
      <c r="L103" s="11">
        <f>IF(K103="","",TEXTJOIN("; ",TRUE,IF(TRIM(MID(SUBSTITUTE(K103,";",REPT(" ",99)),1,99))="","",IFERROR(VLOOKUP(--LEFT(MID(TRIM(MID(SUBSTITUTE(K103,";",REPT(" ",99)),1,99)),FIND(":",TRIM(MID(SUBSTITUTE(K103,";",REPT(" ",99)),1,99)))+1,999),FIND(":",MID(TRIM(MID(SUBSTITUTE(K103,";",REPT(" ",99)),1,99)),FIND(":",TRIM(MID(SUBSTITUTE(K103,";",REPT(" ",99)),1,99)))+1,999))-1),_Lookup!$A:$B,2,FALSE),"?")&amp;"×"&amp;LEFT(MID(MID(TRIM(MID(SUBSTITUTE(K103,";",REPT(" ",99)),1,99)),FIND(":",TRIM(MID(SUBSTITUTE(K103,";",REPT(" ",99)),1,99)))+1,999),FIND(":",MID(TRIM(MID(SUBSTITUTE(K103,";",REPT(" ",99)),1,99)),FIND(":",TRIM(MID(SUBSTITUTE(K103,";",REPT(" ",99)),1,99)))+1,999))+1,999),FIND(":",MID(MID(TRIM(MID(SUBSTITUTE(K103,";",REPT(" ",99)),1,99)),FIND(":",TRIM(MID(SUBSTITUTE(K103,";",REPT(" ",99)),1,99)))+1,999),FIND(":",MID(TRIM(MID(SUBSTITUTE(K103,";",REPT(" ",99)),1,99)),FIND(":",TRIM(MID(SUBSTITUTE(K103,";",REPT(" ",99)),1,99)))+1,999))+1,999))-1)),IF(TRIM(MID(SUBSTITUTE(K103,";",REPT(" ",99)),100,99))="","",IFERROR(VLOOKUP(--LEFT(MID(TRIM(MID(SUBSTITUTE(K103,";",REPT(" ",99)),100,99)),FIND(":",TRIM(MID(SUBSTITUTE(K103,";",REPT(" ",99)),100,99)))+1,999),FIND(":",MID(TRIM(MID(SUBSTITUTE(K103,";",REPT(" ",99)),100,99)),FIND(":",TRIM(MID(SUBSTITUTE(K103,";",REPT(" ",99)),100,99)))+1,999))-1),_Lookup!$A:$B,2,FALSE),"?")&amp;"×"&amp;LEFT(MID(MID(TRIM(MID(SUBSTITUTE(K103,";",REPT(" ",99)),100,99)),FIND(":",TRIM(MID(SUBSTITUTE(K103,";",REPT(" ",99)),100,99)))+1,999),FIND(":",MID(TRIM(MID(SUBSTITUTE(K103,";",REPT(" ",99)),100,99)),FIND(":",TRIM(MID(SUBSTITUTE(K103,";",REPT(" ",99)),100,99)))+1,999))+1,999),FIND(":",MID(MID(TRIM(MID(SUBSTITUTE(K103,";",REPT(" ",99)),100,99)),FIND(":",TRIM(MID(SUBSTITUTE(K103,";",REPT(" ",99)),100,99)))+1,999),FIND(":",MID(TRIM(MID(SUBSTITUTE(K103,";",REPT(" ",99)),100,99)),FIND(":",TRIM(MID(SUBSTITUTE(K103,";",REPT(" ",99)),100,99)))+1,999))+1,999))-1)),IF(TRIM(MID(SUBSTITUTE(K103,";",REPT(" ",99)),199,99))="","",IFERROR(VLOOKUP(--LEFT(MID(TRIM(MID(SUBSTITUTE(K103,";",REPT(" ",99)),199,99)),FIND(":",TRIM(MID(SUBSTITUTE(K103,";",REPT(" ",99)),199,99)))+1,999),FIND(":",MID(TRIM(MID(SUBSTITUTE(K103,";",REPT(" ",99)),199,99)),FIND(":",TRIM(MID(SUBSTITUTE(K103,";",REPT(" ",99)),199,99)))+1,999))-1),_Lookup!$A:$B,2,FALSE),"?")&amp;"×"&amp;LEFT(MID(MID(TRIM(MID(SUBSTITUTE(K103,";",REPT(" ",99)),199,99)),FIND(":",TRIM(MID(SUBSTITUTE(K103,";",REPT(" ",99)),199,99)))+1,999),FIND(":",MID(TRIM(MID(SUBSTITUTE(K103,";",REPT(" ",99)),199,99)),FIND(":",TRIM(MID(SUBSTITUTE(K103,";",REPT(" ",99)),199,99)))+1,999))+1,999),FIND(":",MID(MID(TRIM(MID(SUBSTITUTE(K103,";",REPT(" ",99)),199,99)),FIND(":",TRIM(MID(SUBSTITUTE(K103,";",REPT(" ",99)),199,99)))+1,999),FIND(":",MID(TRIM(MID(SUBSTITUTE(K103,";",REPT(" ",99)),199,99)),FIND(":",TRIM(MID(SUBSTITUTE(K103,";",REPT(" ",99)),199,99)))+1,999))+1,999))-1)),IF(TRIM(MID(SUBSTITUTE(K103,";",REPT(" ",99)),298,99))="","",IFERROR(VLOOKUP(--LEFT(MID(TRIM(MID(SUBSTITUTE(K103,";",REPT(" ",99)),298,99)),FIND(":",TRIM(MID(SUBSTITUTE(K103,";",REPT(" ",99)),298,99)))+1,999),FIND(":",MID(TRIM(MID(SUBSTITUTE(K103,";",REPT(" ",99)),298,99)),FIND(":",TRIM(MID(SUBSTITUTE(K103,";",REPT(" ",99)),298,99)))+1,999))-1),_Lookup!$A:$B,2,FALSE),"?")&amp;"×"&amp;LEFT(MID(MID(TRIM(MID(SUBSTITUTE(K103,";",REPT(" ",99)),298,99)),FIND(":",TRIM(MID(SUBSTITUTE(K103,";",REPT(" ",99)),298,99)))+1,999),FIND(":",MID(TRIM(MID(SUBSTITUTE(K103,";",REPT(" ",99)),298,99)),FIND(":",TRIM(MID(SUBSTITUTE(K103,";",REPT(" ",99)),298,99)))+1,999))+1,999),FIND(":",MID(MID(TRIM(MID(SUBSTITUTE(K103,";",REPT(" ",99)),298,99)),FIND(":",TRIM(MID(SUBSTITUTE(K103,";",REPT(" ",99)),298,99)))+1,999),FIND(":",MID(TRIM(MID(SUBSTITUTE(K103,";",REPT(" ",99)),298,99)),FIND(":",TRIM(MID(SUBSTITUTE(K103,";",REPT(" ",99)),298,99)))+1,999))+1,999))-1)),IF(TRIM(MID(SUBSTITUTE(K103,";",REPT(" ",99)),397,99))="","",IFERROR(VLOOKUP(--LEFT(MID(TRIM(MID(SUBSTITUTE(K103,";",REPT(" ",99)),397,99)),FIND(":",TRIM(MID(SUBSTITUTE(K103,";",REPT(" ",99)),397,99)))+1,999),FIND(":",MID(TRIM(MID(SUBSTITUTE(K103,";",REPT(" ",99)),397,99)),FIND(":",TRIM(MID(SUBSTITUTE(K103,";",REPT(" ",99)),397,99)))+1,999))-1),_Lookup!$A:$B,2,FALSE),"?")&amp;"×"&amp;LEFT(MID(MID(TRIM(MID(SUBSTITUTE(K103,";",REPT(" ",99)),397,99)),FIND(":",TRIM(MID(SUBSTITUTE(K103,";",REPT(" ",99)),397,99)))+1,999),FIND(":",MID(TRIM(MID(SUBSTITUTE(K103,";",REPT(" ",99)),397,99)),FIND(":",TRIM(MID(SUBSTITUTE(K103,";",REPT(" ",99)),397,99)))+1,999))+1,999),FIND(":",MID(MID(TRIM(MID(SUBSTITUTE(K103,";",REPT(" ",99)),397,99)),FIND(":",TRIM(MID(SUBSTITUTE(K103,";",REPT(" ",99)),397,99)))+1,999),FIND(":",MID(TRIM(MID(SUBSTITUTE(K103,";",REPT(" ",99)),397,99)),FIND(":",TRIM(MID(SUBSTITUTE(K103,";",REPT(" ",99)),397,99)))+1,999))+1,999))-1))))</f>
        <v/>
      </c>
    </row>
    <row r="104">
      <c r="D104" s="11">
        <f>IFERROR(VLOOKUP(C104,ItemData_Fish!$A:$B,2,FALSE),"")</f>
        <v/>
      </c>
      <c r="L104" s="11">
        <f>IF(K104="","",TEXTJOIN("; ",TRUE,IF(TRIM(MID(SUBSTITUTE(K104,";",REPT(" ",99)),1,99))="","",IFERROR(VLOOKUP(--LEFT(MID(TRIM(MID(SUBSTITUTE(K104,";",REPT(" ",99)),1,99)),FIND(":",TRIM(MID(SUBSTITUTE(K104,";",REPT(" ",99)),1,99)))+1,999),FIND(":",MID(TRIM(MID(SUBSTITUTE(K104,";",REPT(" ",99)),1,99)),FIND(":",TRIM(MID(SUBSTITUTE(K104,";",REPT(" ",99)),1,99)))+1,999))-1),_Lookup!$A:$B,2,FALSE),"?")&amp;"×"&amp;LEFT(MID(MID(TRIM(MID(SUBSTITUTE(K104,";",REPT(" ",99)),1,99)),FIND(":",TRIM(MID(SUBSTITUTE(K104,";",REPT(" ",99)),1,99)))+1,999),FIND(":",MID(TRIM(MID(SUBSTITUTE(K104,";",REPT(" ",99)),1,99)),FIND(":",TRIM(MID(SUBSTITUTE(K104,";",REPT(" ",99)),1,99)))+1,999))+1,999),FIND(":",MID(MID(TRIM(MID(SUBSTITUTE(K104,";",REPT(" ",99)),1,99)),FIND(":",TRIM(MID(SUBSTITUTE(K104,";",REPT(" ",99)),1,99)))+1,999),FIND(":",MID(TRIM(MID(SUBSTITUTE(K104,";",REPT(" ",99)),1,99)),FIND(":",TRIM(MID(SUBSTITUTE(K104,";",REPT(" ",99)),1,99)))+1,999))+1,999))-1)),IF(TRIM(MID(SUBSTITUTE(K104,";",REPT(" ",99)),100,99))="","",IFERROR(VLOOKUP(--LEFT(MID(TRIM(MID(SUBSTITUTE(K104,";",REPT(" ",99)),100,99)),FIND(":",TRIM(MID(SUBSTITUTE(K104,";",REPT(" ",99)),100,99)))+1,999),FIND(":",MID(TRIM(MID(SUBSTITUTE(K104,";",REPT(" ",99)),100,99)),FIND(":",TRIM(MID(SUBSTITUTE(K104,";",REPT(" ",99)),100,99)))+1,999))-1),_Lookup!$A:$B,2,FALSE),"?")&amp;"×"&amp;LEFT(MID(MID(TRIM(MID(SUBSTITUTE(K104,";",REPT(" ",99)),100,99)),FIND(":",TRIM(MID(SUBSTITUTE(K104,";",REPT(" ",99)),100,99)))+1,999),FIND(":",MID(TRIM(MID(SUBSTITUTE(K104,";",REPT(" ",99)),100,99)),FIND(":",TRIM(MID(SUBSTITUTE(K104,";",REPT(" ",99)),100,99)))+1,999))+1,999),FIND(":",MID(MID(TRIM(MID(SUBSTITUTE(K104,";",REPT(" ",99)),100,99)),FIND(":",TRIM(MID(SUBSTITUTE(K104,";",REPT(" ",99)),100,99)))+1,999),FIND(":",MID(TRIM(MID(SUBSTITUTE(K104,";",REPT(" ",99)),100,99)),FIND(":",TRIM(MID(SUBSTITUTE(K104,";",REPT(" ",99)),100,99)))+1,999))+1,999))-1)),IF(TRIM(MID(SUBSTITUTE(K104,";",REPT(" ",99)),199,99))="","",IFERROR(VLOOKUP(--LEFT(MID(TRIM(MID(SUBSTITUTE(K104,";",REPT(" ",99)),199,99)),FIND(":",TRIM(MID(SUBSTITUTE(K104,";",REPT(" ",99)),199,99)))+1,999),FIND(":",MID(TRIM(MID(SUBSTITUTE(K104,";",REPT(" ",99)),199,99)),FIND(":",TRIM(MID(SUBSTITUTE(K104,";",REPT(" ",99)),199,99)))+1,999))-1),_Lookup!$A:$B,2,FALSE),"?")&amp;"×"&amp;LEFT(MID(MID(TRIM(MID(SUBSTITUTE(K104,";",REPT(" ",99)),199,99)),FIND(":",TRIM(MID(SUBSTITUTE(K104,";",REPT(" ",99)),199,99)))+1,999),FIND(":",MID(TRIM(MID(SUBSTITUTE(K104,";",REPT(" ",99)),199,99)),FIND(":",TRIM(MID(SUBSTITUTE(K104,";",REPT(" ",99)),199,99)))+1,999))+1,999),FIND(":",MID(MID(TRIM(MID(SUBSTITUTE(K104,";",REPT(" ",99)),199,99)),FIND(":",TRIM(MID(SUBSTITUTE(K104,";",REPT(" ",99)),199,99)))+1,999),FIND(":",MID(TRIM(MID(SUBSTITUTE(K104,";",REPT(" ",99)),199,99)),FIND(":",TRIM(MID(SUBSTITUTE(K104,";",REPT(" ",99)),199,99)))+1,999))+1,999))-1)),IF(TRIM(MID(SUBSTITUTE(K104,";",REPT(" ",99)),298,99))="","",IFERROR(VLOOKUP(--LEFT(MID(TRIM(MID(SUBSTITUTE(K104,";",REPT(" ",99)),298,99)),FIND(":",TRIM(MID(SUBSTITUTE(K104,";",REPT(" ",99)),298,99)))+1,999),FIND(":",MID(TRIM(MID(SUBSTITUTE(K104,";",REPT(" ",99)),298,99)),FIND(":",TRIM(MID(SUBSTITUTE(K104,";",REPT(" ",99)),298,99)))+1,999))-1),_Lookup!$A:$B,2,FALSE),"?")&amp;"×"&amp;LEFT(MID(MID(TRIM(MID(SUBSTITUTE(K104,";",REPT(" ",99)),298,99)),FIND(":",TRIM(MID(SUBSTITUTE(K104,";",REPT(" ",99)),298,99)))+1,999),FIND(":",MID(TRIM(MID(SUBSTITUTE(K104,";",REPT(" ",99)),298,99)),FIND(":",TRIM(MID(SUBSTITUTE(K104,";",REPT(" ",99)),298,99)))+1,999))+1,999),FIND(":",MID(MID(TRIM(MID(SUBSTITUTE(K104,";",REPT(" ",99)),298,99)),FIND(":",TRIM(MID(SUBSTITUTE(K104,";",REPT(" ",99)),298,99)))+1,999),FIND(":",MID(TRIM(MID(SUBSTITUTE(K104,";",REPT(" ",99)),298,99)),FIND(":",TRIM(MID(SUBSTITUTE(K104,";",REPT(" ",99)),298,99)))+1,999))+1,999))-1)),IF(TRIM(MID(SUBSTITUTE(K104,";",REPT(" ",99)),397,99))="","",IFERROR(VLOOKUP(--LEFT(MID(TRIM(MID(SUBSTITUTE(K104,";",REPT(" ",99)),397,99)),FIND(":",TRIM(MID(SUBSTITUTE(K104,";",REPT(" ",99)),397,99)))+1,999),FIND(":",MID(TRIM(MID(SUBSTITUTE(K104,";",REPT(" ",99)),397,99)),FIND(":",TRIM(MID(SUBSTITUTE(K104,";",REPT(" ",99)),397,99)))+1,999))-1),_Lookup!$A:$B,2,FALSE),"?")&amp;"×"&amp;LEFT(MID(MID(TRIM(MID(SUBSTITUTE(K104,";",REPT(" ",99)),397,99)),FIND(":",TRIM(MID(SUBSTITUTE(K104,";",REPT(" ",99)),397,99)))+1,999),FIND(":",MID(TRIM(MID(SUBSTITUTE(K104,";",REPT(" ",99)),397,99)),FIND(":",TRIM(MID(SUBSTITUTE(K104,";",REPT(" ",99)),397,99)))+1,999))+1,999),FIND(":",MID(MID(TRIM(MID(SUBSTITUTE(K104,";",REPT(" ",99)),397,99)),FIND(":",TRIM(MID(SUBSTITUTE(K104,";",REPT(" ",99)),397,99)))+1,999),FIND(":",MID(TRIM(MID(SUBSTITUTE(K104,";",REPT(" ",99)),397,99)),FIND(":",TRIM(MID(SUBSTITUTE(K104,";",REPT(" ",99)),397,99)))+1,999))+1,999))-1))))</f>
        <v/>
      </c>
    </row>
    <row r="105">
      <c r="D105" s="11">
        <f>IFERROR(VLOOKUP(C105,ItemData_Fish!$A:$B,2,FALSE),"")</f>
        <v/>
      </c>
      <c r="L105" s="11">
        <f>IF(K105="","",TEXTJOIN("; ",TRUE,IF(TRIM(MID(SUBSTITUTE(K105,";",REPT(" ",99)),1,99))="","",IFERROR(VLOOKUP(--LEFT(MID(TRIM(MID(SUBSTITUTE(K105,";",REPT(" ",99)),1,99)),FIND(":",TRIM(MID(SUBSTITUTE(K105,";",REPT(" ",99)),1,99)))+1,999),FIND(":",MID(TRIM(MID(SUBSTITUTE(K105,";",REPT(" ",99)),1,99)),FIND(":",TRIM(MID(SUBSTITUTE(K105,";",REPT(" ",99)),1,99)))+1,999))-1),_Lookup!$A:$B,2,FALSE),"?")&amp;"×"&amp;LEFT(MID(MID(TRIM(MID(SUBSTITUTE(K105,";",REPT(" ",99)),1,99)),FIND(":",TRIM(MID(SUBSTITUTE(K105,";",REPT(" ",99)),1,99)))+1,999),FIND(":",MID(TRIM(MID(SUBSTITUTE(K105,";",REPT(" ",99)),1,99)),FIND(":",TRIM(MID(SUBSTITUTE(K105,";",REPT(" ",99)),1,99)))+1,999))+1,999),FIND(":",MID(MID(TRIM(MID(SUBSTITUTE(K105,";",REPT(" ",99)),1,99)),FIND(":",TRIM(MID(SUBSTITUTE(K105,";",REPT(" ",99)),1,99)))+1,999),FIND(":",MID(TRIM(MID(SUBSTITUTE(K105,";",REPT(" ",99)),1,99)),FIND(":",TRIM(MID(SUBSTITUTE(K105,";",REPT(" ",99)),1,99)))+1,999))+1,999))-1)),IF(TRIM(MID(SUBSTITUTE(K105,";",REPT(" ",99)),100,99))="","",IFERROR(VLOOKUP(--LEFT(MID(TRIM(MID(SUBSTITUTE(K105,";",REPT(" ",99)),100,99)),FIND(":",TRIM(MID(SUBSTITUTE(K105,";",REPT(" ",99)),100,99)))+1,999),FIND(":",MID(TRIM(MID(SUBSTITUTE(K105,";",REPT(" ",99)),100,99)),FIND(":",TRIM(MID(SUBSTITUTE(K105,";",REPT(" ",99)),100,99)))+1,999))-1),_Lookup!$A:$B,2,FALSE),"?")&amp;"×"&amp;LEFT(MID(MID(TRIM(MID(SUBSTITUTE(K105,";",REPT(" ",99)),100,99)),FIND(":",TRIM(MID(SUBSTITUTE(K105,";",REPT(" ",99)),100,99)))+1,999),FIND(":",MID(TRIM(MID(SUBSTITUTE(K105,";",REPT(" ",99)),100,99)),FIND(":",TRIM(MID(SUBSTITUTE(K105,";",REPT(" ",99)),100,99)))+1,999))+1,999),FIND(":",MID(MID(TRIM(MID(SUBSTITUTE(K105,";",REPT(" ",99)),100,99)),FIND(":",TRIM(MID(SUBSTITUTE(K105,";",REPT(" ",99)),100,99)))+1,999),FIND(":",MID(TRIM(MID(SUBSTITUTE(K105,";",REPT(" ",99)),100,99)),FIND(":",TRIM(MID(SUBSTITUTE(K105,";",REPT(" ",99)),100,99)))+1,999))+1,999))-1)),IF(TRIM(MID(SUBSTITUTE(K105,";",REPT(" ",99)),199,99))="","",IFERROR(VLOOKUP(--LEFT(MID(TRIM(MID(SUBSTITUTE(K105,";",REPT(" ",99)),199,99)),FIND(":",TRIM(MID(SUBSTITUTE(K105,";",REPT(" ",99)),199,99)))+1,999),FIND(":",MID(TRIM(MID(SUBSTITUTE(K105,";",REPT(" ",99)),199,99)),FIND(":",TRIM(MID(SUBSTITUTE(K105,";",REPT(" ",99)),199,99)))+1,999))-1),_Lookup!$A:$B,2,FALSE),"?")&amp;"×"&amp;LEFT(MID(MID(TRIM(MID(SUBSTITUTE(K105,";",REPT(" ",99)),199,99)),FIND(":",TRIM(MID(SUBSTITUTE(K105,";",REPT(" ",99)),199,99)))+1,999),FIND(":",MID(TRIM(MID(SUBSTITUTE(K105,";",REPT(" ",99)),199,99)),FIND(":",TRIM(MID(SUBSTITUTE(K105,";",REPT(" ",99)),199,99)))+1,999))+1,999),FIND(":",MID(MID(TRIM(MID(SUBSTITUTE(K105,";",REPT(" ",99)),199,99)),FIND(":",TRIM(MID(SUBSTITUTE(K105,";",REPT(" ",99)),199,99)))+1,999),FIND(":",MID(TRIM(MID(SUBSTITUTE(K105,";",REPT(" ",99)),199,99)),FIND(":",TRIM(MID(SUBSTITUTE(K105,";",REPT(" ",99)),199,99)))+1,999))+1,999))-1)),IF(TRIM(MID(SUBSTITUTE(K105,";",REPT(" ",99)),298,99))="","",IFERROR(VLOOKUP(--LEFT(MID(TRIM(MID(SUBSTITUTE(K105,";",REPT(" ",99)),298,99)),FIND(":",TRIM(MID(SUBSTITUTE(K105,";",REPT(" ",99)),298,99)))+1,999),FIND(":",MID(TRIM(MID(SUBSTITUTE(K105,";",REPT(" ",99)),298,99)),FIND(":",TRIM(MID(SUBSTITUTE(K105,";",REPT(" ",99)),298,99)))+1,999))-1),_Lookup!$A:$B,2,FALSE),"?")&amp;"×"&amp;LEFT(MID(MID(TRIM(MID(SUBSTITUTE(K105,";",REPT(" ",99)),298,99)),FIND(":",TRIM(MID(SUBSTITUTE(K105,";",REPT(" ",99)),298,99)))+1,999),FIND(":",MID(TRIM(MID(SUBSTITUTE(K105,";",REPT(" ",99)),298,99)),FIND(":",TRIM(MID(SUBSTITUTE(K105,";",REPT(" ",99)),298,99)))+1,999))+1,999),FIND(":",MID(MID(TRIM(MID(SUBSTITUTE(K105,";",REPT(" ",99)),298,99)),FIND(":",TRIM(MID(SUBSTITUTE(K105,";",REPT(" ",99)),298,99)))+1,999),FIND(":",MID(TRIM(MID(SUBSTITUTE(K105,";",REPT(" ",99)),298,99)),FIND(":",TRIM(MID(SUBSTITUTE(K105,";",REPT(" ",99)),298,99)))+1,999))+1,999))-1)),IF(TRIM(MID(SUBSTITUTE(K105,";",REPT(" ",99)),397,99))="","",IFERROR(VLOOKUP(--LEFT(MID(TRIM(MID(SUBSTITUTE(K105,";",REPT(" ",99)),397,99)),FIND(":",TRIM(MID(SUBSTITUTE(K105,";",REPT(" ",99)),397,99)))+1,999),FIND(":",MID(TRIM(MID(SUBSTITUTE(K105,";",REPT(" ",99)),397,99)),FIND(":",TRIM(MID(SUBSTITUTE(K105,";",REPT(" ",99)),397,99)))+1,999))-1),_Lookup!$A:$B,2,FALSE),"?")&amp;"×"&amp;LEFT(MID(MID(TRIM(MID(SUBSTITUTE(K105,";",REPT(" ",99)),397,99)),FIND(":",TRIM(MID(SUBSTITUTE(K105,";",REPT(" ",99)),397,99)))+1,999),FIND(":",MID(TRIM(MID(SUBSTITUTE(K105,";",REPT(" ",99)),397,99)),FIND(":",TRIM(MID(SUBSTITUTE(K105,";",REPT(" ",99)),397,99)))+1,999))+1,999),FIND(":",MID(MID(TRIM(MID(SUBSTITUTE(K105,";",REPT(" ",99)),397,99)),FIND(":",TRIM(MID(SUBSTITUTE(K105,";",REPT(" ",99)),397,99)))+1,999),FIND(":",MID(TRIM(MID(SUBSTITUTE(K105,";",REPT(" ",99)),397,99)),FIND(":",TRIM(MID(SUBSTITUTE(K105,";",REPT(" ",99)),397,99)))+1,999))+1,999))-1))))</f>
        <v/>
      </c>
    </row>
    <row r="106">
      <c r="D106" s="11">
        <f>IFERROR(VLOOKUP(C106,ItemData_Fish!$A:$B,2,FALSE),"")</f>
        <v/>
      </c>
      <c r="L106" s="11">
        <f>IF(K106="","",TEXTJOIN("; ",TRUE,IF(TRIM(MID(SUBSTITUTE(K106,";",REPT(" ",99)),1,99))="","",IFERROR(VLOOKUP(--LEFT(MID(TRIM(MID(SUBSTITUTE(K106,";",REPT(" ",99)),1,99)),FIND(":",TRIM(MID(SUBSTITUTE(K106,";",REPT(" ",99)),1,99)))+1,999),FIND(":",MID(TRIM(MID(SUBSTITUTE(K106,";",REPT(" ",99)),1,99)),FIND(":",TRIM(MID(SUBSTITUTE(K106,";",REPT(" ",99)),1,99)))+1,999))-1),_Lookup!$A:$B,2,FALSE),"?")&amp;"×"&amp;LEFT(MID(MID(TRIM(MID(SUBSTITUTE(K106,";",REPT(" ",99)),1,99)),FIND(":",TRIM(MID(SUBSTITUTE(K106,";",REPT(" ",99)),1,99)))+1,999),FIND(":",MID(TRIM(MID(SUBSTITUTE(K106,";",REPT(" ",99)),1,99)),FIND(":",TRIM(MID(SUBSTITUTE(K106,";",REPT(" ",99)),1,99)))+1,999))+1,999),FIND(":",MID(MID(TRIM(MID(SUBSTITUTE(K106,";",REPT(" ",99)),1,99)),FIND(":",TRIM(MID(SUBSTITUTE(K106,";",REPT(" ",99)),1,99)))+1,999),FIND(":",MID(TRIM(MID(SUBSTITUTE(K106,";",REPT(" ",99)),1,99)),FIND(":",TRIM(MID(SUBSTITUTE(K106,";",REPT(" ",99)),1,99)))+1,999))+1,999))-1)),IF(TRIM(MID(SUBSTITUTE(K106,";",REPT(" ",99)),100,99))="","",IFERROR(VLOOKUP(--LEFT(MID(TRIM(MID(SUBSTITUTE(K106,";",REPT(" ",99)),100,99)),FIND(":",TRIM(MID(SUBSTITUTE(K106,";",REPT(" ",99)),100,99)))+1,999),FIND(":",MID(TRIM(MID(SUBSTITUTE(K106,";",REPT(" ",99)),100,99)),FIND(":",TRIM(MID(SUBSTITUTE(K106,";",REPT(" ",99)),100,99)))+1,999))-1),_Lookup!$A:$B,2,FALSE),"?")&amp;"×"&amp;LEFT(MID(MID(TRIM(MID(SUBSTITUTE(K106,";",REPT(" ",99)),100,99)),FIND(":",TRIM(MID(SUBSTITUTE(K106,";",REPT(" ",99)),100,99)))+1,999),FIND(":",MID(TRIM(MID(SUBSTITUTE(K106,";",REPT(" ",99)),100,99)),FIND(":",TRIM(MID(SUBSTITUTE(K106,";",REPT(" ",99)),100,99)))+1,999))+1,999),FIND(":",MID(MID(TRIM(MID(SUBSTITUTE(K106,";",REPT(" ",99)),100,99)),FIND(":",TRIM(MID(SUBSTITUTE(K106,";",REPT(" ",99)),100,99)))+1,999),FIND(":",MID(TRIM(MID(SUBSTITUTE(K106,";",REPT(" ",99)),100,99)),FIND(":",TRIM(MID(SUBSTITUTE(K106,";",REPT(" ",99)),100,99)))+1,999))+1,999))-1)),IF(TRIM(MID(SUBSTITUTE(K106,";",REPT(" ",99)),199,99))="","",IFERROR(VLOOKUP(--LEFT(MID(TRIM(MID(SUBSTITUTE(K106,";",REPT(" ",99)),199,99)),FIND(":",TRIM(MID(SUBSTITUTE(K106,";",REPT(" ",99)),199,99)))+1,999),FIND(":",MID(TRIM(MID(SUBSTITUTE(K106,";",REPT(" ",99)),199,99)),FIND(":",TRIM(MID(SUBSTITUTE(K106,";",REPT(" ",99)),199,99)))+1,999))-1),_Lookup!$A:$B,2,FALSE),"?")&amp;"×"&amp;LEFT(MID(MID(TRIM(MID(SUBSTITUTE(K106,";",REPT(" ",99)),199,99)),FIND(":",TRIM(MID(SUBSTITUTE(K106,";",REPT(" ",99)),199,99)))+1,999),FIND(":",MID(TRIM(MID(SUBSTITUTE(K106,";",REPT(" ",99)),199,99)),FIND(":",TRIM(MID(SUBSTITUTE(K106,";",REPT(" ",99)),199,99)))+1,999))+1,999),FIND(":",MID(MID(TRIM(MID(SUBSTITUTE(K106,";",REPT(" ",99)),199,99)),FIND(":",TRIM(MID(SUBSTITUTE(K106,";",REPT(" ",99)),199,99)))+1,999),FIND(":",MID(TRIM(MID(SUBSTITUTE(K106,";",REPT(" ",99)),199,99)),FIND(":",TRIM(MID(SUBSTITUTE(K106,";",REPT(" ",99)),199,99)))+1,999))+1,999))-1)),IF(TRIM(MID(SUBSTITUTE(K106,";",REPT(" ",99)),298,99))="","",IFERROR(VLOOKUP(--LEFT(MID(TRIM(MID(SUBSTITUTE(K106,";",REPT(" ",99)),298,99)),FIND(":",TRIM(MID(SUBSTITUTE(K106,";",REPT(" ",99)),298,99)))+1,999),FIND(":",MID(TRIM(MID(SUBSTITUTE(K106,";",REPT(" ",99)),298,99)),FIND(":",TRIM(MID(SUBSTITUTE(K106,";",REPT(" ",99)),298,99)))+1,999))-1),_Lookup!$A:$B,2,FALSE),"?")&amp;"×"&amp;LEFT(MID(MID(TRIM(MID(SUBSTITUTE(K106,";",REPT(" ",99)),298,99)),FIND(":",TRIM(MID(SUBSTITUTE(K106,";",REPT(" ",99)),298,99)))+1,999),FIND(":",MID(TRIM(MID(SUBSTITUTE(K106,";",REPT(" ",99)),298,99)),FIND(":",TRIM(MID(SUBSTITUTE(K106,";",REPT(" ",99)),298,99)))+1,999))+1,999),FIND(":",MID(MID(TRIM(MID(SUBSTITUTE(K106,";",REPT(" ",99)),298,99)),FIND(":",TRIM(MID(SUBSTITUTE(K106,";",REPT(" ",99)),298,99)))+1,999),FIND(":",MID(TRIM(MID(SUBSTITUTE(K106,";",REPT(" ",99)),298,99)),FIND(":",TRIM(MID(SUBSTITUTE(K106,";",REPT(" ",99)),298,99)))+1,999))+1,999))-1)),IF(TRIM(MID(SUBSTITUTE(K106,";",REPT(" ",99)),397,99))="","",IFERROR(VLOOKUP(--LEFT(MID(TRIM(MID(SUBSTITUTE(K106,";",REPT(" ",99)),397,99)),FIND(":",TRIM(MID(SUBSTITUTE(K106,";",REPT(" ",99)),397,99)))+1,999),FIND(":",MID(TRIM(MID(SUBSTITUTE(K106,";",REPT(" ",99)),397,99)),FIND(":",TRIM(MID(SUBSTITUTE(K106,";",REPT(" ",99)),397,99)))+1,999))-1),_Lookup!$A:$B,2,FALSE),"?")&amp;"×"&amp;LEFT(MID(MID(TRIM(MID(SUBSTITUTE(K106,";",REPT(" ",99)),397,99)),FIND(":",TRIM(MID(SUBSTITUTE(K106,";",REPT(" ",99)),397,99)))+1,999),FIND(":",MID(TRIM(MID(SUBSTITUTE(K106,";",REPT(" ",99)),397,99)),FIND(":",TRIM(MID(SUBSTITUTE(K106,";",REPT(" ",99)),397,99)))+1,999))+1,999),FIND(":",MID(MID(TRIM(MID(SUBSTITUTE(K106,";",REPT(" ",99)),397,99)),FIND(":",TRIM(MID(SUBSTITUTE(K106,";",REPT(" ",99)),397,99)))+1,999),FIND(":",MID(TRIM(MID(SUBSTITUTE(K106,";",REPT(" ",99)),397,99)),FIND(":",TRIM(MID(SUBSTITUTE(K106,";",REPT(" ",99)),397,99)))+1,999))+1,999))-1))))</f>
        <v/>
      </c>
    </row>
    <row r="107">
      <c r="D107" s="11">
        <f>IFERROR(VLOOKUP(C107,ItemData_Fish!$A:$B,2,FALSE),"")</f>
        <v/>
      </c>
      <c r="L107" s="11">
        <f>IF(K107="","",TEXTJOIN("; ",TRUE,IF(TRIM(MID(SUBSTITUTE(K107,";",REPT(" ",99)),1,99))="","",IFERROR(VLOOKUP(--LEFT(MID(TRIM(MID(SUBSTITUTE(K107,";",REPT(" ",99)),1,99)),FIND(":",TRIM(MID(SUBSTITUTE(K107,";",REPT(" ",99)),1,99)))+1,999),FIND(":",MID(TRIM(MID(SUBSTITUTE(K107,";",REPT(" ",99)),1,99)),FIND(":",TRIM(MID(SUBSTITUTE(K107,";",REPT(" ",99)),1,99)))+1,999))-1),_Lookup!$A:$B,2,FALSE),"?")&amp;"×"&amp;LEFT(MID(MID(TRIM(MID(SUBSTITUTE(K107,";",REPT(" ",99)),1,99)),FIND(":",TRIM(MID(SUBSTITUTE(K107,";",REPT(" ",99)),1,99)))+1,999),FIND(":",MID(TRIM(MID(SUBSTITUTE(K107,";",REPT(" ",99)),1,99)),FIND(":",TRIM(MID(SUBSTITUTE(K107,";",REPT(" ",99)),1,99)))+1,999))+1,999),FIND(":",MID(MID(TRIM(MID(SUBSTITUTE(K107,";",REPT(" ",99)),1,99)),FIND(":",TRIM(MID(SUBSTITUTE(K107,";",REPT(" ",99)),1,99)))+1,999),FIND(":",MID(TRIM(MID(SUBSTITUTE(K107,";",REPT(" ",99)),1,99)),FIND(":",TRIM(MID(SUBSTITUTE(K107,";",REPT(" ",99)),1,99)))+1,999))+1,999))-1)),IF(TRIM(MID(SUBSTITUTE(K107,";",REPT(" ",99)),100,99))="","",IFERROR(VLOOKUP(--LEFT(MID(TRIM(MID(SUBSTITUTE(K107,";",REPT(" ",99)),100,99)),FIND(":",TRIM(MID(SUBSTITUTE(K107,";",REPT(" ",99)),100,99)))+1,999),FIND(":",MID(TRIM(MID(SUBSTITUTE(K107,";",REPT(" ",99)),100,99)),FIND(":",TRIM(MID(SUBSTITUTE(K107,";",REPT(" ",99)),100,99)))+1,999))-1),_Lookup!$A:$B,2,FALSE),"?")&amp;"×"&amp;LEFT(MID(MID(TRIM(MID(SUBSTITUTE(K107,";",REPT(" ",99)),100,99)),FIND(":",TRIM(MID(SUBSTITUTE(K107,";",REPT(" ",99)),100,99)))+1,999),FIND(":",MID(TRIM(MID(SUBSTITUTE(K107,";",REPT(" ",99)),100,99)),FIND(":",TRIM(MID(SUBSTITUTE(K107,";",REPT(" ",99)),100,99)))+1,999))+1,999),FIND(":",MID(MID(TRIM(MID(SUBSTITUTE(K107,";",REPT(" ",99)),100,99)),FIND(":",TRIM(MID(SUBSTITUTE(K107,";",REPT(" ",99)),100,99)))+1,999),FIND(":",MID(TRIM(MID(SUBSTITUTE(K107,";",REPT(" ",99)),100,99)),FIND(":",TRIM(MID(SUBSTITUTE(K107,";",REPT(" ",99)),100,99)))+1,999))+1,999))-1)),IF(TRIM(MID(SUBSTITUTE(K107,";",REPT(" ",99)),199,99))="","",IFERROR(VLOOKUP(--LEFT(MID(TRIM(MID(SUBSTITUTE(K107,";",REPT(" ",99)),199,99)),FIND(":",TRIM(MID(SUBSTITUTE(K107,";",REPT(" ",99)),199,99)))+1,999),FIND(":",MID(TRIM(MID(SUBSTITUTE(K107,";",REPT(" ",99)),199,99)),FIND(":",TRIM(MID(SUBSTITUTE(K107,";",REPT(" ",99)),199,99)))+1,999))-1),_Lookup!$A:$B,2,FALSE),"?")&amp;"×"&amp;LEFT(MID(MID(TRIM(MID(SUBSTITUTE(K107,";",REPT(" ",99)),199,99)),FIND(":",TRIM(MID(SUBSTITUTE(K107,";",REPT(" ",99)),199,99)))+1,999),FIND(":",MID(TRIM(MID(SUBSTITUTE(K107,";",REPT(" ",99)),199,99)),FIND(":",TRIM(MID(SUBSTITUTE(K107,";",REPT(" ",99)),199,99)))+1,999))+1,999),FIND(":",MID(MID(TRIM(MID(SUBSTITUTE(K107,";",REPT(" ",99)),199,99)),FIND(":",TRIM(MID(SUBSTITUTE(K107,";",REPT(" ",99)),199,99)))+1,999),FIND(":",MID(TRIM(MID(SUBSTITUTE(K107,";",REPT(" ",99)),199,99)),FIND(":",TRIM(MID(SUBSTITUTE(K107,";",REPT(" ",99)),199,99)))+1,999))+1,999))-1)),IF(TRIM(MID(SUBSTITUTE(K107,";",REPT(" ",99)),298,99))="","",IFERROR(VLOOKUP(--LEFT(MID(TRIM(MID(SUBSTITUTE(K107,";",REPT(" ",99)),298,99)),FIND(":",TRIM(MID(SUBSTITUTE(K107,";",REPT(" ",99)),298,99)))+1,999),FIND(":",MID(TRIM(MID(SUBSTITUTE(K107,";",REPT(" ",99)),298,99)),FIND(":",TRIM(MID(SUBSTITUTE(K107,";",REPT(" ",99)),298,99)))+1,999))-1),_Lookup!$A:$B,2,FALSE),"?")&amp;"×"&amp;LEFT(MID(MID(TRIM(MID(SUBSTITUTE(K107,";",REPT(" ",99)),298,99)),FIND(":",TRIM(MID(SUBSTITUTE(K107,";",REPT(" ",99)),298,99)))+1,999),FIND(":",MID(TRIM(MID(SUBSTITUTE(K107,";",REPT(" ",99)),298,99)),FIND(":",TRIM(MID(SUBSTITUTE(K107,";",REPT(" ",99)),298,99)))+1,999))+1,999),FIND(":",MID(MID(TRIM(MID(SUBSTITUTE(K107,";",REPT(" ",99)),298,99)),FIND(":",TRIM(MID(SUBSTITUTE(K107,";",REPT(" ",99)),298,99)))+1,999),FIND(":",MID(TRIM(MID(SUBSTITUTE(K107,";",REPT(" ",99)),298,99)),FIND(":",TRIM(MID(SUBSTITUTE(K107,";",REPT(" ",99)),298,99)))+1,999))+1,999))-1)),IF(TRIM(MID(SUBSTITUTE(K107,";",REPT(" ",99)),397,99))="","",IFERROR(VLOOKUP(--LEFT(MID(TRIM(MID(SUBSTITUTE(K107,";",REPT(" ",99)),397,99)),FIND(":",TRIM(MID(SUBSTITUTE(K107,";",REPT(" ",99)),397,99)))+1,999),FIND(":",MID(TRIM(MID(SUBSTITUTE(K107,";",REPT(" ",99)),397,99)),FIND(":",TRIM(MID(SUBSTITUTE(K107,";",REPT(" ",99)),397,99)))+1,999))-1),_Lookup!$A:$B,2,FALSE),"?")&amp;"×"&amp;LEFT(MID(MID(TRIM(MID(SUBSTITUTE(K107,";",REPT(" ",99)),397,99)),FIND(":",TRIM(MID(SUBSTITUTE(K107,";",REPT(" ",99)),397,99)))+1,999),FIND(":",MID(TRIM(MID(SUBSTITUTE(K107,";",REPT(" ",99)),397,99)),FIND(":",TRIM(MID(SUBSTITUTE(K107,";",REPT(" ",99)),397,99)))+1,999))+1,999),FIND(":",MID(MID(TRIM(MID(SUBSTITUTE(K107,";",REPT(" ",99)),397,99)),FIND(":",TRIM(MID(SUBSTITUTE(K107,";",REPT(" ",99)),397,99)))+1,999),FIND(":",MID(TRIM(MID(SUBSTITUTE(K107,";",REPT(" ",99)),397,99)),FIND(":",TRIM(MID(SUBSTITUTE(K107,";",REPT(" ",99)),397,99)))+1,999))+1,999))-1))))</f>
        <v/>
      </c>
    </row>
    <row r="108">
      <c r="D108" s="11">
        <f>IFERROR(VLOOKUP(C108,ItemData_Fish!$A:$B,2,FALSE),"")</f>
        <v/>
      </c>
      <c r="L108" s="11">
        <f>IF(K108="","",TEXTJOIN("; ",TRUE,IF(TRIM(MID(SUBSTITUTE(K108,";",REPT(" ",99)),1,99))="","",IFERROR(VLOOKUP(--LEFT(MID(TRIM(MID(SUBSTITUTE(K108,";",REPT(" ",99)),1,99)),FIND(":",TRIM(MID(SUBSTITUTE(K108,";",REPT(" ",99)),1,99)))+1,999),FIND(":",MID(TRIM(MID(SUBSTITUTE(K108,";",REPT(" ",99)),1,99)),FIND(":",TRIM(MID(SUBSTITUTE(K108,";",REPT(" ",99)),1,99)))+1,999))-1),_Lookup!$A:$B,2,FALSE),"?")&amp;"×"&amp;LEFT(MID(MID(TRIM(MID(SUBSTITUTE(K108,";",REPT(" ",99)),1,99)),FIND(":",TRIM(MID(SUBSTITUTE(K108,";",REPT(" ",99)),1,99)))+1,999),FIND(":",MID(TRIM(MID(SUBSTITUTE(K108,";",REPT(" ",99)),1,99)),FIND(":",TRIM(MID(SUBSTITUTE(K108,";",REPT(" ",99)),1,99)))+1,999))+1,999),FIND(":",MID(MID(TRIM(MID(SUBSTITUTE(K108,";",REPT(" ",99)),1,99)),FIND(":",TRIM(MID(SUBSTITUTE(K108,";",REPT(" ",99)),1,99)))+1,999),FIND(":",MID(TRIM(MID(SUBSTITUTE(K108,";",REPT(" ",99)),1,99)),FIND(":",TRIM(MID(SUBSTITUTE(K108,";",REPT(" ",99)),1,99)))+1,999))+1,999))-1)),IF(TRIM(MID(SUBSTITUTE(K108,";",REPT(" ",99)),100,99))="","",IFERROR(VLOOKUP(--LEFT(MID(TRIM(MID(SUBSTITUTE(K108,";",REPT(" ",99)),100,99)),FIND(":",TRIM(MID(SUBSTITUTE(K108,";",REPT(" ",99)),100,99)))+1,999),FIND(":",MID(TRIM(MID(SUBSTITUTE(K108,";",REPT(" ",99)),100,99)),FIND(":",TRIM(MID(SUBSTITUTE(K108,";",REPT(" ",99)),100,99)))+1,999))-1),_Lookup!$A:$B,2,FALSE),"?")&amp;"×"&amp;LEFT(MID(MID(TRIM(MID(SUBSTITUTE(K108,";",REPT(" ",99)),100,99)),FIND(":",TRIM(MID(SUBSTITUTE(K108,";",REPT(" ",99)),100,99)))+1,999),FIND(":",MID(TRIM(MID(SUBSTITUTE(K108,";",REPT(" ",99)),100,99)),FIND(":",TRIM(MID(SUBSTITUTE(K108,";",REPT(" ",99)),100,99)))+1,999))+1,999),FIND(":",MID(MID(TRIM(MID(SUBSTITUTE(K108,";",REPT(" ",99)),100,99)),FIND(":",TRIM(MID(SUBSTITUTE(K108,";",REPT(" ",99)),100,99)))+1,999),FIND(":",MID(TRIM(MID(SUBSTITUTE(K108,";",REPT(" ",99)),100,99)),FIND(":",TRIM(MID(SUBSTITUTE(K108,";",REPT(" ",99)),100,99)))+1,999))+1,999))-1)),IF(TRIM(MID(SUBSTITUTE(K108,";",REPT(" ",99)),199,99))="","",IFERROR(VLOOKUP(--LEFT(MID(TRIM(MID(SUBSTITUTE(K108,";",REPT(" ",99)),199,99)),FIND(":",TRIM(MID(SUBSTITUTE(K108,";",REPT(" ",99)),199,99)))+1,999),FIND(":",MID(TRIM(MID(SUBSTITUTE(K108,";",REPT(" ",99)),199,99)),FIND(":",TRIM(MID(SUBSTITUTE(K108,";",REPT(" ",99)),199,99)))+1,999))-1),_Lookup!$A:$B,2,FALSE),"?")&amp;"×"&amp;LEFT(MID(MID(TRIM(MID(SUBSTITUTE(K108,";",REPT(" ",99)),199,99)),FIND(":",TRIM(MID(SUBSTITUTE(K108,";",REPT(" ",99)),199,99)))+1,999),FIND(":",MID(TRIM(MID(SUBSTITUTE(K108,";",REPT(" ",99)),199,99)),FIND(":",TRIM(MID(SUBSTITUTE(K108,";",REPT(" ",99)),199,99)))+1,999))+1,999),FIND(":",MID(MID(TRIM(MID(SUBSTITUTE(K108,";",REPT(" ",99)),199,99)),FIND(":",TRIM(MID(SUBSTITUTE(K108,";",REPT(" ",99)),199,99)))+1,999),FIND(":",MID(TRIM(MID(SUBSTITUTE(K108,";",REPT(" ",99)),199,99)),FIND(":",TRIM(MID(SUBSTITUTE(K108,";",REPT(" ",99)),199,99)))+1,999))+1,999))-1)),IF(TRIM(MID(SUBSTITUTE(K108,";",REPT(" ",99)),298,99))="","",IFERROR(VLOOKUP(--LEFT(MID(TRIM(MID(SUBSTITUTE(K108,";",REPT(" ",99)),298,99)),FIND(":",TRIM(MID(SUBSTITUTE(K108,";",REPT(" ",99)),298,99)))+1,999),FIND(":",MID(TRIM(MID(SUBSTITUTE(K108,";",REPT(" ",99)),298,99)),FIND(":",TRIM(MID(SUBSTITUTE(K108,";",REPT(" ",99)),298,99)))+1,999))-1),_Lookup!$A:$B,2,FALSE),"?")&amp;"×"&amp;LEFT(MID(MID(TRIM(MID(SUBSTITUTE(K108,";",REPT(" ",99)),298,99)),FIND(":",TRIM(MID(SUBSTITUTE(K108,";",REPT(" ",99)),298,99)))+1,999),FIND(":",MID(TRIM(MID(SUBSTITUTE(K108,";",REPT(" ",99)),298,99)),FIND(":",TRIM(MID(SUBSTITUTE(K108,";",REPT(" ",99)),298,99)))+1,999))+1,999),FIND(":",MID(MID(TRIM(MID(SUBSTITUTE(K108,";",REPT(" ",99)),298,99)),FIND(":",TRIM(MID(SUBSTITUTE(K108,";",REPT(" ",99)),298,99)))+1,999),FIND(":",MID(TRIM(MID(SUBSTITUTE(K108,";",REPT(" ",99)),298,99)),FIND(":",TRIM(MID(SUBSTITUTE(K108,";",REPT(" ",99)),298,99)))+1,999))+1,999))-1)),IF(TRIM(MID(SUBSTITUTE(K108,";",REPT(" ",99)),397,99))="","",IFERROR(VLOOKUP(--LEFT(MID(TRIM(MID(SUBSTITUTE(K108,";",REPT(" ",99)),397,99)),FIND(":",TRIM(MID(SUBSTITUTE(K108,";",REPT(" ",99)),397,99)))+1,999),FIND(":",MID(TRIM(MID(SUBSTITUTE(K108,";",REPT(" ",99)),397,99)),FIND(":",TRIM(MID(SUBSTITUTE(K108,";",REPT(" ",99)),397,99)))+1,999))-1),_Lookup!$A:$B,2,FALSE),"?")&amp;"×"&amp;LEFT(MID(MID(TRIM(MID(SUBSTITUTE(K108,";",REPT(" ",99)),397,99)),FIND(":",TRIM(MID(SUBSTITUTE(K108,";",REPT(" ",99)),397,99)))+1,999),FIND(":",MID(TRIM(MID(SUBSTITUTE(K108,";",REPT(" ",99)),397,99)),FIND(":",TRIM(MID(SUBSTITUTE(K108,";",REPT(" ",99)),397,99)))+1,999))+1,999),FIND(":",MID(MID(TRIM(MID(SUBSTITUTE(K108,";",REPT(" ",99)),397,99)),FIND(":",TRIM(MID(SUBSTITUTE(K108,";",REPT(" ",99)),397,99)))+1,999),FIND(":",MID(TRIM(MID(SUBSTITUTE(K108,";",REPT(" ",99)),397,99)),FIND(":",TRIM(MID(SUBSTITUTE(K108,";",REPT(" ",99)),397,99)))+1,999))+1,999))-1))))</f>
        <v/>
      </c>
    </row>
    <row r="109">
      <c r="D109" s="11">
        <f>IFERROR(VLOOKUP(C109,ItemData_Fish!$A:$B,2,FALSE),"")</f>
        <v/>
      </c>
      <c r="L109" s="11">
        <f>IF(K109="","",TEXTJOIN("; ",TRUE,IF(TRIM(MID(SUBSTITUTE(K109,";",REPT(" ",99)),1,99))="","",IFERROR(VLOOKUP(--LEFT(MID(TRIM(MID(SUBSTITUTE(K109,";",REPT(" ",99)),1,99)),FIND(":",TRIM(MID(SUBSTITUTE(K109,";",REPT(" ",99)),1,99)))+1,999),FIND(":",MID(TRIM(MID(SUBSTITUTE(K109,";",REPT(" ",99)),1,99)),FIND(":",TRIM(MID(SUBSTITUTE(K109,";",REPT(" ",99)),1,99)))+1,999))-1),_Lookup!$A:$B,2,FALSE),"?")&amp;"×"&amp;LEFT(MID(MID(TRIM(MID(SUBSTITUTE(K109,";",REPT(" ",99)),1,99)),FIND(":",TRIM(MID(SUBSTITUTE(K109,";",REPT(" ",99)),1,99)))+1,999),FIND(":",MID(TRIM(MID(SUBSTITUTE(K109,";",REPT(" ",99)),1,99)),FIND(":",TRIM(MID(SUBSTITUTE(K109,";",REPT(" ",99)),1,99)))+1,999))+1,999),FIND(":",MID(MID(TRIM(MID(SUBSTITUTE(K109,";",REPT(" ",99)),1,99)),FIND(":",TRIM(MID(SUBSTITUTE(K109,";",REPT(" ",99)),1,99)))+1,999),FIND(":",MID(TRIM(MID(SUBSTITUTE(K109,";",REPT(" ",99)),1,99)),FIND(":",TRIM(MID(SUBSTITUTE(K109,";",REPT(" ",99)),1,99)))+1,999))+1,999))-1)),IF(TRIM(MID(SUBSTITUTE(K109,";",REPT(" ",99)),100,99))="","",IFERROR(VLOOKUP(--LEFT(MID(TRIM(MID(SUBSTITUTE(K109,";",REPT(" ",99)),100,99)),FIND(":",TRIM(MID(SUBSTITUTE(K109,";",REPT(" ",99)),100,99)))+1,999),FIND(":",MID(TRIM(MID(SUBSTITUTE(K109,";",REPT(" ",99)),100,99)),FIND(":",TRIM(MID(SUBSTITUTE(K109,";",REPT(" ",99)),100,99)))+1,999))-1),_Lookup!$A:$B,2,FALSE),"?")&amp;"×"&amp;LEFT(MID(MID(TRIM(MID(SUBSTITUTE(K109,";",REPT(" ",99)),100,99)),FIND(":",TRIM(MID(SUBSTITUTE(K109,";",REPT(" ",99)),100,99)))+1,999),FIND(":",MID(TRIM(MID(SUBSTITUTE(K109,";",REPT(" ",99)),100,99)),FIND(":",TRIM(MID(SUBSTITUTE(K109,";",REPT(" ",99)),100,99)))+1,999))+1,999),FIND(":",MID(MID(TRIM(MID(SUBSTITUTE(K109,";",REPT(" ",99)),100,99)),FIND(":",TRIM(MID(SUBSTITUTE(K109,";",REPT(" ",99)),100,99)))+1,999),FIND(":",MID(TRIM(MID(SUBSTITUTE(K109,";",REPT(" ",99)),100,99)),FIND(":",TRIM(MID(SUBSTITUTE(K109,";",REPT(" ",99)),100,99)))+1,999))+1,999))-1)),IF(TRIM(MID(SUBSTITUTE(K109,";",REPT(" ",99)),199,99))="","",IFERROR(VLOOKUP(--LEFT(MID(TRIM(MID(SUBSTITUTE(K109,";",REPT(" ",99)),199,99)),FIND(":",TRIM(MID(SUBSTITUTE(K109,";",REPT(" ",99)),199,99)))+1,999),FIND(":",MID(TRIM(MID(SUBSTITUTE(K109,";",REPT(" ",99)),199,99)),FIND(":",TRIM(MID(SUBSTITUTE(K109,";",REPT(" ",99)),199,99)))+1,999))-1),_Lookup!$A:$B,2,FALSE),"?")&amp;"×"&amp;LEFT(MID(MID(TRIM(MID(SUBSTITUTE(K109,";",REPT(" ",99)),199,99)),FIND(":",TRIM(MID(SUBSTITUTE(K109,";",REPT(" ",99)),199,99)))+1,999),FIND(":",MID(TRIM(MID(SUBSTITUTE(K109,";",REPT(" ",99)),199,99)),FIND(":",TRIM(MID(SUBSTITUTE(K109,";",REPT(" ",99)),199,99)))+1,999))+1,999),FIND(":",MID(MID(TRIM(MID(SUBSTITUTE(K109,";",REPT(" ",99)),199,99)),FIND(":",TRIM(MID(SUBSTITUTE(K109,";",REPT(" ",99)),199,99)))+1,999),FIND(":",MID(TRIM(MID(SUBSTITUTE(K109,";",REPT(" ",99)),199,99)),FIND(":",TRIM(MID(SUBSTITUTE(K109,";",REPT(" ",99)),199,99)))+1,999))+1,999))-1)),IF(TRIM(MID(SUBSTITUTE(K109,";",REPT(" ",99)),298,99))="","",IFERROR(VLOOKUP(--LEFT(MID(TRIM(MID(SUBSTITUTE(K109,";",REPT(" ",99)),298,99)),FIND(":",TRIM(MID(SUBSTITUTE(K109,";",REPT(" ",99)),298,99)))+1,999),FIND(":",MID(TRIM(MID(SUBSTITUTE(K109,";",REPT(" ",99)),298,99)),FIND(":",TRIM(MID(SUBSTITUTE(K109,";",REPT(" ",99)),298,99)))+1,999))-1),_Lookup!$A:$B,2,FALSE),"?")&amp;"×"&amp;LEFT(MID(MID(TRIM(MID(SUBSTITUTE(K109,";",REPT(" ",99)),298,99)),FIND(":",TRIM(MID(SUBSTITUTE(K109,";",REPT(" ",99)),298,99)))+1,999),FIND(":",MID(TRIM(MID(SUBSTITUTE(K109,";",REPT(" ",99)),298,99)),FIND(":",TRIM(MID(SUBSTITUTE(K109,";",REPT(" ",99)),298,99)))+1,999))+1,999),FIND(":",MID(MID(TRIM(MID(SUBSTITUTE(K109,";",REPT(" ",99)),298,99)),FIND(":",TRIM(MID(SUBSTITUTE(K109,";",REPT(" ",99)),298,99)))+1,999),FIND(":",MID(TRIM(MID(SUBSTITUTE(K109,";",REPT(" ",99)),298,99)),FIND(":",TRIM(MID(SUBSTITUTE(K109,";",REPT(" ",99)),298,99)))+1,999))+1,999))-1)),IF(TRIM(MID(SUBSTITUTE(K109,";",REPT(" ",99)),397,99))="","",IFERROR(VLOOKUP(--LEFT(MID(TRIM(MID(SUBSTITUTE(K109,";",REPT(" ",99)),397,99)),FIND(":",TRIM(MID(SUBSTITUTE(K109,";",REPT(" ",99)),397,99)))+1,999),FIND(":",MID(TRIM(MID(SUBSTITUTE(K109,";",REPT(" ",99)),397,99)),FIND(":",TRIM(MID(SUBSTITUTE(K109,";",REPT(" ",99)),397,99)))+1,999))-1),_Lookup!$A:$B,2,FALSE),"?")&amp;"×"&amp;LEFT(MID(MID(TRIM(MID(SUBSTITUTE(K109,";",REPT(" ",99)),397,99)),FIND(":",TRIM(MID(SUBSTITUTE(K109,";",REPT(" ",99)),397,99)))+1,999),FIND(":",MID(TRIM(MID(SUBSTITUTE(K109,";",REPT(" ",99)),397,99)),FIND(":",TRIM(MID(SUBSTITUTE(K109,";",REPT(" ",99)),397,99)))+1,999))+1,999),FIND(":",MID(MID(TRIM(MID(SUBSTITUTE(K109,";",REPT(" ",99)),397,99)),FIND(":",TRIM(MID(SUBSTITUTE(K109,";",REPT(" ",99)),397,99)))+1,999),FIND(":",MID(TRIM(MID(SUBSTITUTE(K109,";",REPT(" ",99)),397,99)),FIND(":",TRIM(MID(SUBSTITUTE(K109,";",REPT(" ",99)),397,99)))+1,999))+1,999))-1))))</f>
        <v/>
      </c>
    </row>
    <row r="110">
      <c r="D110" s="11">
        <f>IFERROR(VLOOKUP(C110,ItemData_Fish!$A:$B,2,FALSE),"")</f>
        <v/>
      </c>
      <c r="L110" s="11">
        <f>IF(K110="","",TEXTJOIN("; ",TRUE,IF(TRIM(MID(SUBSTITUTE(K110,";",REPT(" ",99)),1,99))="","",IFERROR(VLOOKUP(--LEFT(MID(TRIM(MID(SUBSTITUTE(K110,";",REPT(" ",99)),1,99)),FIND(":",TRIM(MID(SUBSTITUTE(K110,";",REPT(" ",99)),1,99)))+1,999),FIND(":",MID(TRIM(MID(SUBSTITUTE(K110,";",REPT(" ",99)),1,99)),FIND(":",TRIM(MID(SUBSTITUTE(K110,";",REPT(" ",99)),1,99)))+1,999))-1),_Lookup!$A:$B,2,FALSE),"?")&amp;"×"&amp;LEFT(MID(MID(TRIM(MID(SUBSTITUTE(K110,";",REPT(" ",99)),1,99)),FIND(":",TRIM(MID(SUBSTITUTE(K110,";",REPT(" ",99)),1,99)))+1,999),FIND(":",MID(TRIM(MID(SUBSTITUTE(K110,";",REPT(" ",99)),1,99)),FIND(":",TRIM(MID(SUBSTITUTE(K110,";",REPT(" ",99)),1,99)))+1,999))+1,999),FIND(":",MID(MID(TRIM(MID(SUBSTITUTE(K110,";",REPT(" ",99)),1,99)),FIND(":",TRIM(MID(SUBSTITUTE(K110,";",REPT(" ",99)),1,99)))+1,999),FIND(":",MID(TRIM(MID(SUBSTITUTE(K110,";",REPT(" ",99)),1,99)),FIND(":",TRIM(MID(SUBSTITUTE(K110,";",REPT(" ",99)),1,99)))+1,999))+1,999))-1)),IF(TRIM(MID(SUBSTITUTE(K110,";",REPT(" ",99)),100,99))="","",IFERROR(VLOOKUP(--LEFT(MID(TRIM(MID(SUBSTITUTE(K110,";",REPT(" ",99)),100,99)),FIND(":",TRIM(MID(SUBSTITUTE(K110,";",REPT(" ",99)),100,99)))+1,999),FIND(":",MID(TRIM(MID(SUBSTITUTE(K110,";",REPT(" ",99)),100,99)),FIND(":",TRIM(MID(SUBSTITUTE(K110,";",REPT(" ",99)),100,99)))+1,999))-1),_Lookup!$A:$B,2,FALSE),"?")&amp;"×"&amp;LEFT(MID(MID(TRIM(MID(SUBSTITUTE(K110,";",REPT(" ",99)),100,99)),FIND(":",TRIM(MID(SUBSTITUTE(K110,";",REPT(" ",99)),100,99)))+1,999),FIND(":",MID(TRIM(MID(SUBSTITUTE(K110,";",REPT(" ",99)),100,99)),FIND(":",TRIM(MID(SUBSTITUTE(K110,";",REPT(" ",99)),100,99)))+1,999))+1,999),FIND(":",MID(MID(TRIM(MID(SUBSTITUTE(K110,";",REPT(" ",99)),100,99)),FIND(":",TRIM(MID(SUBSTITUTE(K110,";",REPT(" ",99)),100,99)))+1,999),FIND(":",MID(TRIM(MID(SUBSTITUTE(K110,";",REPT(" ",99)),100,99)),FIND(":",TRIM(MID(SUBSTITUTE(K110,";",REPT(" ",99)),100,99)))+1,999))+1,999))-1)),IF(TRIM(MID(SUBSTITUTE(K110,";",REPT(" ",99)),199,99))="","",IFERROR(VLOOKUP(--LEFT(MID(TRIM(MID(SUBSTITUTE(K110,";",REPT(" ",99)),199,99)),FIND(":",TRIM(MID(SUBSTITUTE(K110,";",REPT(" ",99)),199,99)))+1,999),FIND(":",MID(TRIM(MID(SUBSTITUTE(K110,";",REPT(" ",99)),199,99)),FIND(":",TRIM(MID(SUBSTITUTE(K110,";",REPT(" ",99)),199,99)))+1,999))-1),_Lookup!$A:$B,2,FALSE),"?")&amp;"×"&amp;LEFT(MID(MID(TRIM(MID(SUBSTITUTE(K110,";",REPT(" ",99)),199,99)),FIND(":",TRIM(MID(SUBSTITUTE(K110,";",REPT(" ",99)),199,99)))+1,999),FIND(":",MID(TRIM(MID(SUBSTITUTE(K110,";",REPT(" ",99)),199,99)),FIND(":",TRIM(MID(SUBSTITUTE(K110,";",REPT(" ",99)),199,99)))+1,999))+1,999),FIND(":",MID(MID(TRIM(MID(SUBSTITUTE(K110,";",REPT(" ",99)),199,99)),FIND(":",TRIM(MID(SUBSTITUTE(K110,";",REPT(" ",99)),199,99)))+1,999),FIND(":",MID(TRIM(MID(SUBSTITUTE(K110,";",REPT(" ",99)),199,99)),FIND(":",TRIM(MID(SUBSTITUTE(K110,";",REPT(" ",99)),199,99)))+1,999))+1,999))-1)),IF(TRIM(MID(SUBSTITUTE(K110,";",REPT(" ",99)),298,99))="","",IFERROR(VLOOKUP(--LEFT(MID(TRIM(MID(SUBSTITUTE(K110,";",REPT(" ",99)),298,99)),FIND(":",TRIM(MID(SUBSTITUTE(K110,";",REPT(" ",99)),298,99)))+1,999),FIND(":",MID(TRIM(MID(SUBSTITUTE(K110,";",REPT(" ",99)),298,99)),FIND(":",TRIM(MID(SUBSTITUTE(K110,";",REPT(" ",99)),298,99)))+1,999))-1),_Lookup!$A:$B,2,FALSE),"?")&amp;"×"&amp;LEFT(MID(MID(TRIM(MID(SUBSTITUTE(K110,";",REPT(" ",99)),298,99)),FIND(":",TRIM(MID(SUBSTITUTE(K110,";",REPT(" ",99)),298,99)))+1,999),FIND(":",MID(TRIM(MID(SUBSTITUTE(K110,";",REPT(" ",99)),298,99)),FIND(":",TRIM(MID(SUBSTITUTE(K110,";",REPT(" ",99)),298,99)))+1,999))+1,999),FIND(":",MID(MID(TRIM(MID(SUBSTITUTE(K110,";",REPT(" ",99)),298,99)),FIND(":",TRIM(MID(SUBSTITUTE(K110,";",REPT(" ",99)),298,99)))+1,999),FIND(":",MID(TRIM(MID(SUBSTITUTE(K110,";",REPT(" ",99)),298,99)),FIND(":",TRIM(MID(SUBSTITUTE(K110,";",REPT(" ",99)),298,99)))+1,999))+1,999))-1)),IF(TRIM(MID(SUBSTITUTE(K110,";",REPT(" ",99)),397,99))="","",IFERROR(VLOOKUP(--LEFT(MID(TRIM(MID(SUBSTITUTE(K110,";",REPT(" ",99)),397,99)),FIND(":",TRIM(MID(SUBSTITUTE(K110,";",REPT(" ",99)),397,99)))+1,999),FIND(":",MID(TRIM(MID(SUBSTITUTE(K110,";",REPT(" ",99)),397,99)),FIND(":",TRIM(MID(SUBSTITUTE(K110,";",REPT(" ",99)),397,99)))+1,999))-1),_Lookup!$A:$B,2,FALSE),"?")&amp;"×"&amp;LEFT(MID(MID(TRIM(MID(SUBSTITUTE(K110,";",REPT(" ",99)),397,99)),FIND(":",TRIM(MID(SUBSTITUTE(K110,";",REPT(" ",99)),397,99)))+1,999),FIND(":",MID(TRIM(MID(SUBSTITUTE(K110,";",REPT(" ",99)),397,99)),FIND(":",TRIM(MID(SUBSTITUTE(K110,";",REPT(" ",99)),397,99)))+1,999))+1,999),FIND(":",MID(MID(TRIM(MID(SUBSTITUTE(K110,";",REPT(" ",99)),397,99)),FIND(":",TRIM(MID(SUBSTITUTE(K110,";",REPT(" ",99)),397,99)))+1,999),FIND(":",MID(TRIM(MID(SUBSTITUTE(K110,";",REPT(" ",99)),397,99)),FIND(":",TRIM(MID(SUBSTITUTE(K110,";",REPT(" ",99)),397,99)))+1,999))+1,999))-1))))</f>
        <v/>
      </c>
    </row>
    <row r="111">
      <c r="D111" s="11">
        <f>IFERROR(VLOOKUP(C111,ItemData_Fish!$A:$B,2,FALSE),"")</f>
        <v/>
      </c>
      <c r="L111" s="11">
        <f>IF(K111="","",TEXTJOIN("; ",TRUE,IF(TRIM(MID(SUBSTITUTE(K111,";",REPT(" ",99)),1,99))="","",IFERROR(VLOOKUP(--LEFT(MID(TRIM(MID(SUBSTITUTE(K111,";",REPT(" ",99)),1,99)),FIND(":",TRIM(MID(SUBSTITUTE(K111,";",REPT(" ",99)),1,99)))+1,999),FIND(":",MID(TRIM(MID(SUBSTITUTE(K111,";",REPT(" ",99)),1,99)),FIND(":",TRIM(MID(SUBSTITUTE(K111,";",REPT(" ",99)),1,99)))+1,999))-1),_Lookup!$A:$B,2,FALSE),"?")&amp;"×"&amp;LEFT(MID(MID(TRIM(MID(SUBSTITUTE(K111,";",REPT(" ",99)),1,99)),FIND(":",TRIM(MID(SUBSTITUTE(K111,";",REPT(" ",99)),1,99)))+1,999),FIND(":",MID(TRIM(MID(SUBSTITUTE(K111,";",REPT(" ",99)),1,99)),FIND(":",TRIM(MID(SUBSTITUTE(K111,";",REPT(" ",99)),1,99)))+1,999))+1,999),FIND(":",MID(MID(TRIM(MID(SUBSTITUTE(K111,";",REPT(" ",99)),1,99)),FIND(":",TRIM(MID(SUBSTITUTE(K111,";",REPT(" ",99)),1,99)))+1,999),FIND(":",MID(TRIM(MID(SUBSTITUTE(K111,";",REPT(" ",99)),1,99)),FIND(":",TRIM(MID(SUBSTITUTE(K111,";",REPT(" ",99)),1,99)))+1,999))+1,999))-1)),IF(TRIM(MID(SUBSTITUTE(K111,";",REPT(" ",99)),100,99))="","",IFERROR(VLOOKUP(--LEFT(MID(TRIM(MID(SUBSTITUTE(K111,";",REPT(" ",99)),100,99)),FIND(":",TRIM(MID(SUBSTITUTE(K111,";",REPT(" ",99)),100,99)))+1,999),FIND(":",MID(TRIM(MID(SUBSTITUTE(K111,";",REPT(" ",99)),100,99)),FIND(":",TRIM(MID(SUBSTITUTE(K111,";",REPT(" ",99)),100,99)))+1,999))-1),_Lookup!$A:$B,2,FALSE),"?")&amp;"×"&amp;LEFT(MID(MID(TRIM(MID(SUBSTITUTE(K111,";",REPT(" ",99)),100,99)),FIND(":",TRIM(MID(SUBSTITUTE(K111,";",REPT(" ",99)),100,99)))+1,999),FIND(":",MID(TRIM(MID(SUBSTITUTE(K111,";",REPT(" ",99)),100,99)),FIND(":",TRIM(MID(SUBSTITUTE(K111,";",REPT(" ",99)),100,99)))+1,999))+1,999),FIND(":",MID(MID(TRIM(MID(SUBSTITUTE(K111,";",REPT(" ",99)),100,99)),FIND(":",TRIM(MID(SUBSTITUTE(K111,";",REPT(" ",99)),100,99)))+1,999),FIND(":",MID(TRIM(MID(SUBSTITUTE(K111,";",REPT(" ",99)),100,99)),FIND(":",TRIM(MID(SUBSTITUTE(K111,";",REPT(" ",99)),100,99)))+1,999))+1,999))-1)),IF(TRIM(MID(SUBSTITUTE(K111,";",REPT(" ",99)),199,99))="","",IFERROR(VLOOKUP(--LEFT(MID(TRIM(MID(SUBSTITUTE(K111,";",REPT(" ",99)),199,99)),FIND(":",TRIM(MID(SUBSTITUTE(K111,";",REPT(" ",99)),199,99)))+1,999),FIND(":",MID(TRIM(MID(SUBSTITUTE(K111,";",REPT(" ",99)),199,99)),FIND(":",TRIM(MID(SUBSTITUTE(K111,";",REPT(" ",99)),199,99)))+1,999))-1),_Lookup!$A:$B,2,FALSE),"?")&amp;"×"&amp;LEFT(MID(MID(TRIM(MID(SUBSTITUTE(K111,";",REPT(" ",99)),199,99)),FIND(":",TRIM(MID(SUBSTITUTE(K111,";",REPT(" ",99)),199,99)))+1,999),FIND(":",MID(TRIM(MID(SUBSTITUTE(K111,";",REPT(" ",99)),199,99)),FIND(":",TRIM(MID(SUBSTITUTE(K111,";",REPT(" ",99)),199,99)))+1,999))+1,999),FIND(":",MID(MID(TRIM(MID(SUBSTITUTE(K111,";",REPT(" ",99)),199,99)),FIND(":",TRIM(MID(SUBSTITUTE(K111,";",REPT(" ",99)),199,99)))+1,999),FIND(":",MID(TRIM(MID(SUBSTITUTE(K111,";",REPT(" ",99)),199,99)),FIND(":",TRIM(MID(SUBSTITUTE(K111,";",REPT(" ",99)),199,99)))+1,999))+1,999))-1)),IF(TRIM(MID(SUBSTITUTE(K111,";",REPT(" ",99)),298,99))="","",IFERROR(VLOOKUP(--LEFT(MID(TRIM(MID(SUBSTITUTE(K111,";",REPT(" ",99)),298,99)),FIND(":",TRIM(MID(SUBSTITUTE(K111,";",REPT(" ",99)),298,99)))+1,999),FIND(":",MID(TRIM(MID(SUBSTITUTE(K111,";",REPT(" ",99)),298,99)),FIND(":",TRIM(MID(SUBSTITUTE(K111,";",REPT(" ",99)),298,99)))+1,999))-1),_Lookup!$A:$B,2,FALSE),"?")&amp;"×"&amp;LEFT(MID(MID(TRIM(MID(SUBSTITUTE(K111,";",REPT(" ",99)),298,99)),FIND(":",TRIM(MID(SUBSTITUTE(K111,";",REPT(" ",99)),298,99)))+1,999),FIND(":",MID(TRIM(MID(SUBSTITUTE(K111,";",REPT(" ",99)),298,99)),FIND(":",TRIM(MID(SUBSTITUTE(K111,";",REPT(" ",99)),298,99)))+1,999))+1,999),FIND(":",MID(MID(TRIM(MID(SUBSTITUTE(K111,";",REPT(" ",99)),298,99)),FIND(":",TRIM(MID(SUBSTITUTE(K111,";",REPT(" ",99)),298,99)))+1,999),FIND(":",MID(TRIM(MID(SUBSTITUTE(K111,";",REPT(" ",99)),298,99)),FIND(":",TRIM(MID(SUBSTITUTE(K111,";",REPT(" ",99)),298,99)))+1,999))+1,999))-1)),IF(TRIM(MID(SUBSTITUTE(K111,";",REPT(" ",99)),397,99))="","",IFERROR(VLOOKUP(--LEFT(MID(TRIM(MID(SUBSTITUTE(K111,";",REPT(" ",99)),397,99)),FIND(":",TRIM(MID(SUBSTITUTE(K111,";",REPT(" ",99)),397,99)))+1,999),FIND(":",MID(TRIM(MID(SUBSTITUTE(K111,";",REPT(" ",99)),397,99)),FIND(":",TRIM(MID(SUBSTITUTE(K111,";",REPT(" ",99)),397,99)))+1,999))-1),_Lookup!$A:$B,2,FALSE),"?")&amp;"×"&amp;LEFT(MID(MID(TRIM(MID(SUBSTITUTE(K111,";",REPT(" ",99)),397,99)),FIND(":",TRIM(MID(SUBSTITUTE(K111,";",REPT(" ",99)),397,99)))+1,999),FIND(":",MID(TRIM(MID(SUBSTITUTE(K111,";",REPT(" ",99)),397,99)),FIND(":",TRIM(MID(SUBSTITUTE(K111,";",REPT(" ",99)),397,99)))+1,999))+1,999),FIND(":",MID(MID(TRIM(MID(SUBSTITUTE(K111,";",REPT(" ",99)),397,99)),FIND(":",TRIM(MID(SUBSTITUTE(K111,";",REPT(" ",99)),397,99)))+1,999),FIND(":",MID(TRIM(MID(SUBSTITUTE(K111,";",REPT(" ",99)),397,99)),FIND(":",TRIM(MID(SUBSTITUTE(K111,";",REPT(" ",99)),397,99)))+1,999))+1,999))-1))))</f>
        <v/>
      </c>
    </row>
    <row r="112">
      <c r="D112" s="11">
        <f>IFERROR(VLOOKUP(C112,ItemData_Fish!$A:$B,2,FALSE),"")</f>
        <v/>
      </c>
      <c r="L112" s="11">
        <f>IF(K112="","",TEXTJOIN("; ",TRUE,IF(TRIM(MID(SUBSTITUTE(K112,";",REPT(" ",99)),1,99))="","",IFERROR(VLOOKUP(--LEFT(MID(TRIM(MID(SUBSTITUTE(K112,";",REPT(" ",99)),1,99)),FIND(":",TRIM(MID(SUBSTITUTE(K112,";",REPT(" ",99)),1,99)))+1,999),FIND(":",MID(TRIM(MID(SUBSTITUTE(K112,";",REPT(" ",99)),1,99)),FIND(":",TRIM(MID(SUBSTITUTE(K112,";",REPT(" ",99)),1,99)))+1,999))-1),_Lookup!$A:$B,2,FALSE),"?")&amp;"×"&amp;LEFT(MID(MID(TRIM(MID(SUBSTITUTE(K112,";",REPT(" ",99)),1,99)),FIND(":",TRIM(MID(SUBSTITUTE(K112,";",REPT(" ",99)),1,99)))+1,999),FIND(":",MID(TRIM(MID(SUBSTITUTE(K112,";",REPT(" ",99)),1,99)),FIND(":",TRIM(MID(SUBSTITUTE(K112,";",REPT(" ",99)),1,99)))+1,999))+1,999),FIND(":",MID(MID(TRIM(MID(SUBSTITUTE(K112,";",REPT(" ",99)),1,99)),FIND(":",TRIM(MID(SUBSTITUTE(K112,";",REPT(" ",99)),1,99)))+1,999),FIND(":",MID(TRIM(MID(SUBSTITUTE(K112,";",REPT(" ",99)),1,99)),FIND(":",TRIM(MID(SUBSTITUTE(K112,";",REPT(" ",99)),1,99)))+1,999))+1,999))-1)),IF(TRIM(MID(SUBSTITUTE(K112,";",REPT(" ",99)),100,99))="","",IFERROR(VLOOKUP(--LEFT(MID(TRIM(MID(SUBSTITUTE(K112,";",REPT(" ",99)),100,99)),FIND(":",TRIM(MID(SUBSTITUTE(K112,";",REPT(" ",99)),100,99)))+1,999),FIND(":",MID(TRIM(MID(SUBSTITUTE(K112,";",REPT(" ",99)),100,99)),FIND(":",TRIM(MID(SUBSTITUTE(K112,";",REPT(" ",99)),100,99)))+1,999))-1),_Lookup!$A:$B,2,FALSE),"?")&amp;"×"&amp;LEFT(MID(MID(TRIM(MID(SUBSTITUTE(K112,";",REPT(" ",99)),100,99)),FIND(":",TRIM(MID(SUBSTITUTE(K112,";",REPT(" ",99)),100,99)))+1,999),FIND(":",MID(TRIM(MID(SUBSTITUTE(K112,";",REPT(" ",99)),100,99)),FIND(":",TRIM(MID(SUBSTITUTE(K112,";",REPT(" ",99)),100,99)))+1,999))+1,999),FIND(":",MID(MID(TRIM(MID(SUBSTITUTE(K112,";",REPT(" ",99)),100,99)),FIND(":",TRIM(MID(SUBSTITUTE(K112,";",REPT(" ",99)),100,99)))+1,999),FIND(":",MID(TRIM(MID(SUBSTITUTE(K112,";",REPT(" ",99)),100,99)),FIND(":",TRIM(MID(SUBSTITUTE(K112,";",REPT(" ",99)),100,99)))+1,999))+1,999))-1)),IF(TRIM(MID(SUBSTITUTE(K112,";",REPT(" ",99)),199,99))="","",IFERROR(VLOOKUP(--LEFT(MID(TRIM(MID(SUBSTITUTE(K112,";",REPT(" ",99)),199,99)),FIND(":",TRIM(MID(SUBSTITUTE(K112,";",REPT(" ",99)),199,99)))+1,999),FIND(":",MID(TRIM(MID(SUBSTITUTE(K112,";",REPT(" ",99)),199,99)),FIND(":",TRIM(MID(SUBSTITUTE(K112,";",REPT(" ",99)),199,99)))+1,999))-1),_Lookup!$A:$B,2,FALSE),"?")&amp;"×"&amp;LEFT(MID(MID(TRIM(MID(SUBSTITUTE(K112,";",REPT(" ",99)),199,99)),FIND(":",TRIM(MID(SUBSTITUTE(K112,";",REPT(" ",99)),199,99)))+1,999),FIND(":",MID(TRIM(MID(SUBSTITUTE(K112,";",REPT(" ",99)),199,99)),FIND(":",TRIM(MID(SUBSTITUTE(K112,";",REPT(" ",99)),199,99)))+1,999))+1,999),FIND(":",MID(MID(TRIM(MID(SUBSTITUTE(K112,";",REPT(" ",99)),199,99)),FIND(":",TRIM(MID(SUBSTITUTE(K112,";",REPT(" ",99)),199,99)))+1,999),FIND(":",MID(TRIM(MID(SUBSTITUTE(K112,";",REPT(" ",99)),199,99)),FIND(":",TRIM(MID(SUBSTITUTE(K112,";",REPT(" ",99)),199,99)))+1,999))+1,999))-1)),IF(TRIM(MID(SUBSTITUTE(K112,";",REPT(" ",99)),298,99))="","",IFERROR(VLOOKUP(--LEFT(MID(TRIM(MID(SUBSTITUTE(K112,";",REPT(" ",99)),298,99)),FIND(":",TRIM(MID(SUBSTITUTE(K112,";",REPT(" ",99)),298,99)))+1,999),FIND(":",MID(TRIM(MID(SUBSTITUTE(K112,";",REPT(" ",99)),298,99)),FIND(":",TRIM(MID(SUBSTITUTE(K112,";",REPT(" ",99)),298,99)))+1,999))-1),_Lookup!$A:$B,2,FALSE),"?")&amp;"×"&amp;LEFT(MID(MID(TRIM(MID(SUBSTITUTE(K112,";",REPT(" ",99)),298,99)),FIND(":",TRIM(MID(SUBSTITUTE(K112,";",REPT(" ",99)),298,99)))+1,999),FIND(":",MID(TRIM(MID(SUBSTITUTE(K112,";",REPT(" ",99)),298,99)),FIND(":",TRIM(MID(SUBSTITUTE(K112,";",REPT(" ",99)),298,99)))+1,999))+1,999),FIND(":",MID(MID(TRIM(MID(SUBSTITUTE(K112,";",REPT(" ",99)),298,99)),FIND(":",TRIM(MID(SUBSTITUTE(K112,";",REPT(" ",99)),298,99)))+1,999),FIND(":",MID(TRIM(MID(SUBSTITUTE(K112,";",REPT(" ",99)),298,99)),FIND(":",TRIM(MID(SUBSTITUTE(K112,";",REPT(" ",99)),298,99)))+1,999))+1,999))-1)),IF(TRIM(MID(SUBSTITUTE(K112,";",REPT(" ",99)),397,99))="","",IFERROR(VLOOKUP(--LEFT(MID(TRIM(MID(SUBSTITUTE(K112,";",REPT(" ",99)),397,99)),FIND(":",TRIM(MID(SUBSTITUTE(K112,";",REPT(" ",99)),397,99)))+1,999),FIND(":",MID(TRIM(MID(SUBSTITUTE(K112,";",REPT(" ",99)),397,99)),FIND(":",TRIM(MID(SUBSTITUTE(K112,";",REPT(" ",99)),397,99)))+1,999))-1),_Lookup!$A:$B,2,FALSE),"?")&amp;"×"&amp;LEFT(MID(MID(TRIM(MID(SUBSTITUTE(K112,";",REPT(" ",99)),397,99)),FIND(":",TRIM(MID(SUBSTITUTE(K112,";",REPT(" ",99)),397,99)))+1,999),FIND(":",MID(TRIM(MID(SUBSTITUTE(K112,";",REPT(" ",99)),397,99)),FIND(":",TRIM(MID(SUBSTITUTE(K112,";",REPT(" ",99)),397,99)))+1,999))+1,999),FIND(":",MID(MID(TRIM(MID(SUBSTITUTE(K112,";",REPT(" ",99)),397,99)),FIND(":",TRIM(MID(SUBSTITUTE(K112,";",REPT(" ",99)),397,99)))+1,999),FIND(":",MID(TRIM(MID(SUBSTITUTE(K112,";",REPT(" ",99)),397,99)),FIND(":",TRIM(MID(SUBSTITUTE(K112,";",REPT(" ",99)),397,99)))+1,999))+1,999))-1))))</f>
        <v/>
      </c>
    </row>
    <row r="113">
      <c r="D113" s="11">
        <f>IFERROR(VLOOKUP(C113,ItemData_Fish!$A:$B,2,FALSE),"")</f>
        <v/>
      </c>
      <c r="L113" s="11">
        <f>IF(K113="","",TEXTJOIN("; ",TRUE,IF(TRIM(MID(SUBSTITUTE(K113,";",REPT(" ",99)),1,99))="","",IFERROR(VLOOKUP(--LEFT(MID(TRIM(MID(SUBSTITUTE(K113,";",REPT(" ",99)),1,99)),FIND(":",TRIM(MID(SUBSTITUTE(K113,";",REPT(" ",99)),1,99)))+1,999),FIND(":",MID(TRIM(MID(SUBSTITUTE(K113,";",REPT(" ",99)),1,99)),FIND(":",TRIM(MID(SUBSTITUTE(K113,";",REPT(" ",99)),1,99)))+1,999))-1),_Lookup!$A:$B,2,FALSE),"?")&amp;"×"&amp;LEFT(MID(MID(TRIM(MID(SUBSTITUTE(K113,";",REPT(" ",99)),1,99)),FIND(":",TRIM(MID(SUBSTITUTE(K113,";",REPT(" ",99)),1,99)))+1,999),FIND(":",MID(TRIM(MID(SUBSTITUTE(K113,";",REPT(" ",99)),1,99)),FIND(":",TRIM(MID(SUBSTITUTE(K113,";",REPT(" ",99)),1,99)))+1,999))+1,999),FIND(":",MID(MID(TRIM(MID(SUBSTITUTE(K113,";",REPT(" ",99)),1,99)),FIND(":",TRIM(MID(SUBSTITUTE(K113,";",REPT(" ",99)),1,99)))+1,999),FIND(":",MID(TRIM(MID(SUBSTITUTE(K113,";",REPT(" ",99)),1,99)),FIND(":",TRIM(MID(SUBSTITUTE(K113,";",REPT(" ",99)),1,99)))+1,999))+1,999))-1)),IF(TRIM(MID(SUBSTITUTE(K113,";",REPT(" ",99)),100,99))="","",IFERROR(VLOOKUP(--LEFT(MID(TRIM(MID(SUBSTITUTE(K113,";",REPT(" ",99)),100,99)),FIND(":",TRIM(MID(SUBSTITUTE(K113,";",REPT(" ",99)),100,99)))+1,999),FIND(":",MID(TRIM(MID(SUBSTITUTE(K113,";",REPT(" ",99)),100,99)),FIND(":",TRIM(MID(SUBSTITUTE(K113,";",REPT(" ",99)),100,99)))+1,999))-1),_Lookup!$A:$B,2,FALSE),"?")&amp;"×"&amp;LEFT(MID(MID(TRIM(MID(SUBSTITUTE(K113,";",REPT(" ",99)),100,99)),FIND(":",TRIM(MID(SUBSTITUTE(K113,";",REPT(" ",99)),100,99)))+1,999),FIND(":",MID(TRIM(MID(SUBSTITUTE(K113,";",REPT(" ",99)),100,99)),FIND(":",TRIM(MID(SUBSTITUTE(K113,";",REPT(" ",99)),100,99)))+1,999))+1,999),FIND(":",MID(MID(TRIM(MID(SUBSTITUTE(K113,";",REPT(" ",99)),100,99)),FIND(":",TRIM(MID(SUBSTITUTE(K113,";",REPT(" ",99)),100,99)))+1,999),FIND(":",MID(TRIM(MID(SUBSTITUTE(K113,";",REPT(" ",99)),100,99)),FIND(":",TRIM(MID(SUBSTITUTE(K113,";",REPT(" ",99)),100,99)))+1,999))+1,999))-1)),IF(TRIM(MID(SUBSTITUTE(K113,";",REPT(" ",99)),199,99))="","",IFERROR(VLOOKUP(--LEFT(MID(TRIM(MID(SUBSTITUTE(K113,";",REPT(" ",99)),199,99)),FIND(":",TRIM(MID(SUBSTITUTE(K113,";",REPT(" ",99)),199,99)))+1,999),FIND(":",MID(TRIM(MID(SUBSTITUTE(K113,";",REPT(" ",99)),199,99)),FIND(":",TRIM(MID(SUBSTITUTE(K113,";",REPT(" ",99)),199,99)))+1,999))-1),_Lookup!$A:$B,2,FALSE),"?")&amp;"×"&amp;LEFT(MID(MID(TRIM(MID(SUBSTITUTE(K113,";",REPT(" ",99)),199,99)),FIND(":",TRIM(MID(SUBSTITUTE(K113,";",REPT(" ",99)),199,99)))+1,999),FIND(":",MID(TRIM(MID(SUBSTITUTE(K113,";",REPT(" ",99)),199,99)),FIND(":",TRIM(MID(SUBSTITUTE(K113,";",REPT(" ",99)),199,99)))+1,999))+1,999),FIND(":",MID(MID(TRIM(MID(SUBSTITUTE(K113,";",REPT(" ",99)),199,99)),FIND(":",TRIM(MID(SUBSTITUTE(K113,";",REPT(" ",99)),199,99)))+1,999),FIND(":",MID(TRIM(MID(SUBSTITUTE(K113,";",REPT(" ",99)),199,99)),FIND(":",TRIM(MID(SUBSTITUTE(K113,";",REPT(" ",99)),199,99)))+1,999))+1,999))-1)),IF(TRIM(MID(SUBSTITUTE(K113,";",REPT(" ",99)),298,99))="","",IFERROR(VLOOKUP(--LEFT(MID(TRIM(MID(SUBSTITUTE(K113,";",REPT(" ",99)),298,99)),FIND(":",TRIM(MID(SUBSTITUTE(K113,";",REPT(" ",99)),298,99)))+1,999),FIND(":",MID(TRIM(MID(SUBSTITUTE(K113,";",REPT(" ",99)),298,99)),FIND(":",TRIM(MID(SUBSTITUTE(K113,";",REPT(" ",99)),298,99)))+1,999))-1),_Lookup!$A:$B,2,FALSE),"?")&amp;"×"&amp;LEFT(MID(MID(TRIM(MID(SUBSTITUTE(K113,";",REPT(" ",99)),298,99)),FIND(":",TRIM(MID(SUBSTITUTE(K113,";",REPT(" ",99)),298,99)))+1,999),FIND(":",MID(TRIM(MID(SUBSTITUTE(K113,";",REPT(" ",99)),298,99)),FIND(":",TRIM(MID(SUBSTITUTE(K113,";",REPT(" ",99)),298,99)))+1,999))+1,999),FIND(":",MID(MID(TRIM(MID(SUBSTITUTE(K113,";",REPT(" ",99)),298,99)),FIND(":",TRIM(MID(SUBSTITUTE(K113,";",REPT(" ",99)),298,99)))+1,999),FIND(":",MID(TRIM(MID(SUBSTITUTE(K113,";",REPT(" ",99)),298,99)),FIND(":",TRIM(MID(SUBSTITUTE(K113,";",REPT(" ",99)),298,99)))+1,999))+1,999))-1)),IF(TRIM(MID(SUBSTITUTE(K113,";",REPT(" ",99)),397,99))="","",IFERROR(VLOOKUP(--LEFT(MID(TRIM(MID(SUBSTITUTE(K113,";",REPT(" ",99)),397,99)),FIND(":",TRIM(MID(SUBSTITUTE(K113,";",REPT(" ",99)),397,99)))+1,999),FIND(":",MID(TRIM(MID(SUBSTITUTE(K113,";",REPT(" ",99)),397,99)),FIND(":",TRIM(MID(SUBSTITUTE(K113,";",REPT(" ",99)),397,99)))+1,999))-1),_Lookup!$A:$B,2,FALSE),"?")&amp;"×"&amp;LEFT(MID(MID(TRIM(MID(SUBSTITUTE(K113,";",REPT(" ",99)),397,99)),FIND(":",TRIM(MID(SUBSTITUTE(K113,";",REPT(" ",99)),397,99)))+1,999),FIND(":",MID(TRIM(MID(SUBSTITUTE(K113,";",REPT(" ",99)),397,99)),FIND(":",TRIM(MID(SUBSTITUTE(K113,";",REPT(" ",99)),397,99)))+1,999))+1,999),FIND(":",MID(MID(TRIM(MID(SUBSTITUTE(K113,";",REPT(" ",99)),397,99)),FIND(":",TRIM(MID(SUBSTITUTE(K113,";",REPT(" ",99)),397,99)))+1,999),FIND(":",MID(TRIM(MID(SUBSTITUTE(K113,";",REPT(" ",99)),397,99)),FIND(":",TRIM(MID(SUBSTITUTE(K113,";",REPT(" ",99)),397,99)))+1,999))+1,999))-1))))</f>
        <v/>
      </c>
    </row>
    <row r="114">
      <c r="D114" s="11">
        <f>IFERROR(VLOOKUP(C114,ItemData_Fish!$A:$B,2,FALSE),"")</f>
        <v/>
      </c>
      <c r="L114" s="11">
        <f>IF(K114="","",TEXTJOIN("; ",TRUE,IF(TRIM(MID(SUBSTITUTE(K114,";",REPT(" ",99)),1,99))="","",IFERROR(VLOOKUP(--LEFT(MID(TRIM(MID(SUBSTITUTE(K114,";",REPT(" ",99)),1,99)),FIND(":",TRIM(MID(SUBSTITUTE(K114,";",REPT(" ",99)),1,99)))+1,999),FIND(":",MID(TRIM(MID(SUBSTITUTE(K114,";",REPT(" ",99)),1,99)),FIND(":",TRIM(MID(SUBSTITUTE(K114,";",REPT(" ",99)),1,99)))+1,999))-1),_Lookup!$A:$B,2,FALSE),"?")&amp;"×"&amp;LEFT(MID(MID(TRIM(MID(SUBSTITUTE(K114,";",REPT(" ",99)),1,99)),FIND(":",TRIM(MID(SUBSTITUTE(K114,";",REPT(" ",99)),1,99)))+1,999),FIND(":",MID(TRIM(MID(SUBSTITUTE(K114,";",REPT(" ",99)),1,99)),FIND(":",TRIM(MID(SUBSTITUTE(K114,";",REPT(" ",99)),1,99)))+1,999))+1,999),FIND(":",MID(MID(TRIM(MID(SUBSTITUTE(K114,";",REPT(" ",99)),1,99)),FIND(":",TRIM(MID(SUBSTITUTE(K114,";",REPT(" ",99)),1,99)))+1,999),FIND(":",MID(TRIM(MID(SUBSTITUTE(K114,";",REPT(" ",99)),1,99)),FIND(":",TRIM(MID(SUBSTITUTE(K114,";",REPT(" ",99)),1,99)))+1,999))+1,999))-1)),IF(TRIM(MID(SUBSTITUTE(K114,";",REPT(" ",99)),100,99))="","",IFERROR(VLOOKUP(--LEFT(MID(TRIM(MID(SUBSTITUTE(K114,";",REPT(" ",99)),100,99)),FIND(":",TRIM(MID(SUBSTITUTE(K114,";",REPT(" ",99)),100,99)))+1,999),FIND(":",MID(TRIM(MID(SUBSTITUTE(K114,";",REPT(" ",99)),100,99)),FIND(":",TRIM(MID(SUBSTITUTE(K114,";",REPT(" ",99)),100,99)))+1,999))-1),_Lookup!$A:$B,2,FALSE),"?")&amp;"×"&amp;LEFT(MID(MID(TRIM(MID(SUBSTITUTE(K114,";",REPT(" ",99)),100,99)),FIND(":",TRIM(MID(SUBSTITUTE(K114,";",REPT(" ",99)),100,99)))+1,999),FIND(":",MID(TRIM(MID(SUBSTITUTE(K114,";",REPT(" ",99)),100,99)),FIND(":",TRIM(MID(SUBSTITUTE(K114,";",REPT(" ",99)),100,99)))+1,999))+1,999),FIND(":",MID(MID(TRIM(MID(SUBSTITUTE(K114,";",REPT(" ",99)),100,99)),FIND(":",TRIM(MID(SUBSTITUTE(K114,";",REPT(" ",99)),100,99)))+1,999),FIND(":",MID(TRIM(MID(SUBSTITUTE(K114,";",REPT(" ",99)),100,99)),FIND(":",TRIM(MID(SUBSTITUTE(K114,";",REPT(" ",99)),100,99)))+1,999))+1,999))-1)),IF(TRIM(MID(SUBSTITUTE(K114,";",REPT(" ",99)),199,99))="","",IFERROR(VLOOKUP(--LEFT(MID(TRIM(MID(SUBSTITUTE(K114,";",REPT(" ",99)),199,99)),FIND(":",TRIM(MID(SUBSTITUTE(K114,";",REPT(" ",99)),199,99)))+1,999),FIND(":",MID(TRIM(MID(SUBSTITUTE(K114,";",REPT(" ",99)),199,99)),FIND(":",TRIM(MID(SUBSTITUTE(K114,";",REPT(" ",99)),199,99)))+1,999))-1),_Lookup!$A:$B,2,FALSE),"?")&amp;"×"&amp;LEFT(MID(MID(TRIM(MID(SUBSTITUTE(K114,";",REPT(" ",99)),199,99)),FIND(":",TRIM(MID(SUBSTITUTE(K114,";",REPT(" ",99)),199,99)))+1,999),FIND(":",MID(TRIM(MID(SUBSTITUTE(K114,";",REPT(" ",99)),199,99)),FIND(":",TRIM(MID(SUBSTITUTE(K114,";",REPT(" ",99)),199,99)))+1,999))+1,999),FIND(":",MID(MID(TRIM(MID(SUBSTITUTE(K114,";",REPT(" ",99)),199,99)),FIND(":",TRIM(MID(SUBSTITUTE(K114,";",REPT(" ",99)),199,99)))+1,999),FIND(":",MID(TRIM(MID(SUBSTITUTE(K114,";",REPT(" ",99)),199,99)),FIND(":",TRIM(MID(SUBSTITUTE(K114,";",REPT(" ",99)),199,99)))+1,999))+1,999))-1)),IF(TRIM(MID(SUBSTITUTE(K114,";",REPT(" ",99)),298,99))="","",IFERROR(VLOOKUP(--LEFT(MID(TRIM(MID(SUBSTITUTE(K114,";",REPT(" ",99)),298,99)),FIND(":",TRIM(MID(SUBSTITUTE(K114,";",REPT(" ",99)),298,99)))+1,999),FIND(":",MID(TRIM(MID(SUBSTITUTE(K114,";",REPT(" ",99)),298,99)),FIND(":",TRIM(MID(SUBSTITUTE(K114,";",REPT(" ",99)),298,99)))+1,999))-1),_Lookup!$A:$B,2,FALSE),"?")&amp;"×"&amp;LEFT(MID(MID(TRIM(MID(SUBSTITUTE(K114,";",REPT(" ",99)),298,99)),FIND(":",TRIM(MID(SUBSTITUTE(K114,";",REPT(" ",99)),298,99)))+1,999),FIND(":",MID(TRIM(MID(SUBSTITUTE(K114,";",REPT(" ",99)),298,99)),FIND(":",TRIM(MID(SUBSTITUTE(K114,";",REPT(" ",99)),298,99)))+1,999))+1,999),FIND(":",MID(MID(TRIM(MID(SUBSTITUTE(K114,";",REPT(" ",99)),298,99)),FIND(":",TRIM(MID(SUBSTITUTE(K114,";",REPT(" ",99)),298,99)))+1,999),FIND(":",MID(TRIM(MID(SUBSTITUTE(K114,";",REPT(" ",99)),298,99)),FIND(":",TRIM(MID(SUBSTITUTE(K114,";",REPT(" ",99)),298,99)))+1,999))+1,999))-1)),IF(TRIM(MID(SUBSTITUTE(K114,";",REPT(" ",99)),397,99))="","",IFERROR(VLOOKUP(--LEFT(MID(TRIM(MID(SUBSTITUTE(K114,";",REPT(" ",99)),397,99)),FIND(":",TRIM(MID(SUBSTITUTE(K114,";",REPT(" ",99)),397,99)))+1,999),FIND(":",MID(TRIM(MID(SUBSTITUTE(K114,";",REPT(" ",99)),397,99)),FIND(":",TRIM(MID(SUBSTITUTE(K114,";",REPT(" ",99)),397,99)))+1,999))-1),_Lookup!$A:$B,2,FALSE),"?")&amp;"×"&amp;LEFT(MID(MID(TRIM(MID(SUBSTITUTE(K114,";",REPT(" ",99)),397,99)),FIND(":",TRIM(MID(SUBSTITUTE(K114,";",REPT(" ",99)),397,99)))+1,999),FIND(":",MID(TRIM(MID(SUBSTITUTE(K114,";",REPT(" ",99)),397,99)),FIND(":",TRIM(MID(SUBSTITUTE(K114,";",REPT(" ",99)),397,99)))+1,999))+1,999),FIND(":",MID(MID(TRIM(MID(SUBSTITUTE(K114,";",REPT(" ",99)),397,99)),FIND(":",TRIM(MID(SUBSTITUTE(K114,";",REPT(" ",99)),397,99)))+1,999),FIND(":",MID(TRIM(MID(SUBSTITUTE(K114,";",REPT(" ",99)),397,99)),FIND(":",TRIM(MID(SUBSTITUTE(K114,";",REPT(" ",99)),397,99)))+1,999))+1,999))-1))))</f>
        <v/>
      </c>
    </row>
    <row r="115">
      <c r="D115" s="11">
        <f>IFERROR(VLOOKUP(C115,ItemData_Fish!$A:$B,2,FALSE),"")</f>
        <v/>
      </c>
      <c r="L115" s="11">
        <f>IF(K115="","",TEXTJOIN("; ",TRUE,IF(TRIM(MID(SUBSTITUTE(K115,";",REPT(" ",99)),1,99))="","",IFERROR(VLOOKUP(--LEFT(MID(TRIM(MID(SUBSTITUTE(K115,";",REPT(" ",99)),1,99)),FIND(":",TRIM(MID(SUBSTITUTE(K115,";",REPT(" ",99)),1,99)))+1,999),FIND(":",MID(TRIM(MID(SUBSTITUTE(K115,";",REPT(" ",99)),1,99)),FIND(":",TRIM(MID(SUBSTITUTE(K115,";",REPT(" ",99)),1,99)))+1,999))-1),_Lookup!$A:$B,2,FALSE),"?")&amp;"×"&amp;LEFT(MID(MID(TRIM(MID(SUBSTITUTE(K115,";",REPT(" ",99)),1,99)),FIND(":",TRIM(MID(SUBSTITUTE(K115,";",REPT(" ",99)),1,99)))+1,999),FIND(":",MID(TRIM(MID(SUBSTITUTE(K115,";",REPT(" ",99)),1,99)),FIND(":",TRIM(MID(SUBSTITUTE(K115,";",REPT(" ",99)),1,99)))+1,999))+1,999),FIND(":",MID(MID(TRIM(MID(SUBSTITUTE(K115,";",REPT(" ",99)),1,99)),FIND(":",TRIM(MID(SUBSTITUTE(K115,";",REPT(" ",99)),1,99)))+1,999),FIND(":",MID(TRIM(MID(SUBSTITUTE(K115,";",REPT(" ",99)),1,99)),FIND(":",TRIM(MID(SUBSTITUTE(K115,";",REPT(" ",99)),1,99)))+1,999))+1,999))-1)),IF(TRIM(MID(SUBSTITUTE(K115,";",REPT(" ",99)),100,99))="","",IFERROR(VLOOKUP(--LEFT(MID(TRIM(MID(SUBSTITUTE(K115,";",REPT(" ",99)),100,99)),FIND(":",TRIM(MID(SUBSTITUTE(K115,";",REPT(" ",99)),100,99)))+1,999),FIND(":",MID(TRIM(MID(SUBSTITUTE(K115,";",REPT(" ",99)),100,99)),FIND(":",TRIM(MID(SUBSTITUTE(K115,";",REPT(" ",99)),100,99)))+1,999))-1),_Lookup!$A:$B,2,FALSE),"?")&amp;"×"&amp;LEFT(MID(MID(TRIM(MID(SUBSTITUTE(K115,";",REPT(" ",99)),100,99)),FIND(":",TRIM(MID(SUBSTITUTE(K115,";",REPT(" ",99)),100,99)))+1,999),FIND(":",MID(TRIM(MID(SUBSTITUTE(K115,";",REPT(" ",99)),100,99)),FIND(":",TRIM(MID(SUBSTITUTE(K115,";",REPT(" ",99)),100,99)))+1,999))+1,999),FIND(":",MID(MID(TRIM(MID(SUBSTITUTE(K115,";",REPT(" ",99)),100,99)),FIND(":",TRIM(MID(SUBSTITUTE(K115,";",REPT(" ",99)),100,99)))+1,999),FIND(":",MID(TRIM(MID(SUBSTITUTE(K115,";",REPT(" ",99)),100,99)),FIND(":",TRIM(MID(SUBSTITUTE(K115,";",REPT(" ",99)),100,99)))+1,999))+1,999))-1)),IF(TRIM(MID(SUBSTITUTE(K115,";",REPT(" ",99)),199,99))="","",IFERROR(VLOOKUP(--LEFT(MID(TRIM(MID(SUBSTITUTE(K115,";",REPT(" ",99)),199,99)),FIND(":",TRIM(MID(SUBSTITUTE(K115,";",REPT(" ",99)),199,99)))+1,999),FIND(":",MID(TRIM(MID(SUBSTITUTE(K115,";",REPT(" ",99)),199,99)),FIND(":",TRIM(MID(SUBSTITUTE(K115,";",REPT(" ",99)),199,99)))+1,999))-1),_Lookup!$A:$B,2,FALSE),"?")&amp;"×"&amp;LEFT(MID(MID(TRIM(MID(SUBSTITUTE(K115,";",REPT(" ",99)),199,99)),FIND(":",TRIM(MID(SUBSTITUTE(K115,";",REPT(" ",99)),199,99)))+1,999),FIND(":",MID(TRIM(MID(SUBSTITUTE(K115,";",REPT(" ",99)),199,99)),FIND(":",TRIM(MID(SUBSTITUTE(K115,";",REPT(" ",99)),199,99)))+1,999))+1,999),FIND(":",MID(MID(TRIM(MID(SUBSTITUTE(K115,";",REPT(" ",99)),199,99)),FIND(":",TRIM(MID(SUBSTITUTE(K115,";",REPT(" ",99)),199,99)))+1,999),FIND(":",MID(TRIM(MID(SUBSTITUTE(K115,";",REPT(" ",99)),199,99)),FIND(":",TRIM(MID(SUBSTITUTE(K115,";",REPT(" ",99)),199,99)))+1,999))+1,999))-1)),IF(TRIM(MID(SUBSTITUTE(K115,";",REPT(" ",99)),298,99))="","",IFERROR(VLOOKUP(--LEFT(MID(TRIM(MID(SUBSTITUTE(K115,";",REPT(" ",99)),298,99)),FIND(":",TRIM(MID(SUBSTITUTE(K115,";",REPT(" ",99)),298,99)))+1,999),FIND(":",MID(TRIM(MID(SUBSTITUTE(K115,";",REPT(" ",99)),298,99)),FIND(":",TRIM(MID(SUBSTITUTE(K115,";",REPT(" ",99)),298,99)))+1,999))-1),_Lookup!$A:$B,2,FALSE),"?")&amp;"×"&amp;LEFT(MID(MID(TRIM(MID(SUBSTITUTE(K115,";",REPT(" ",99)),298,99)),FIND(":",TRIM(MID(SUBSTITUTE(K115,";",REPT(" ",99)),298,99)))+1,999),FIND(":",MID(TRIM(MID(SUBSTITUTE(K115,";",REPT(" ",99)),298,99)),FIND(":",TRIM(MID(SUBSTITUTE(K115,";",REPT(" ",99)),298,99)))+1,999))+1,999),FIND(":",MID(MID(TRIM(MID(SUBSTITUTE(K115,";",REPT(" ",99)),298,99)),FIND(":",TRIM(MID(SUBSTITUTE(K115,";",REPT(" ",99)),298,99)))+1,999),FIND(":",MID(TRIM(MID(SUBSTITUTE(K115,";",REPT(" ",99)),298,99)),FIND(":",TRIM(MID(SUBSTITUTE(K115,";",REPT(" ",99)),298,99)))+1,999))+1,999))-1)),IF(TRIM(MID(SUBSTITUTE(K115,";",REPT(" ",99)),397,99))="","",IFERROR(VLOOKUP(--LEFT(MID(TRIM(MID(SUBSTITUTE(K115,";",REPT(" ",99)),397,99)),FIND(":",TRIM(MID(SUBSTITUTE(K115,";",REPT(" ",99)),397,99)))+1,999),FIND(":",MID(TRIM(MID(SUBSTITUTE(K115,";",REPT(" ",99)),397,99)),FIND(":",TRIM(MID(SUBSTITUTE(K115,";",REPT(" ",99)),397,99)))+1,999))-1),_Lookup!$A:$B,2,FALSE),"?")&amp;"×"&amp;LEFT(MID(MID(TRIM(MID(SUBSTITUTE(K115,";",REPT(" ",99)),397,99)),FIND(":",TRIM(MID(SUBSTITUTE(K115,";",REPT(" ",99)),397,99)))+1,999),FIND(":",MID(TRIM(MID(SUBSTITUTE(K115,";",REPT(" ",99)),397,99)),FIND(":",TRIM(MID(SUBSTITUTE(K115,";",REPT(" ",99)),397,99)))+1,999))+1,999),FIND(":",MID(MID(TRIM(MID(SUBSTITUTE(K115,";",REPT(" ",99)),397,99)),FIND(":",TRIM(MID(SUBSTITUTE(K115,";",REPT(" ",99)),397,99)))+1,999),FIND(":",MID(TRIM(MID(SUBSTITUTE(K115,";",REPT(" ",99)),397,99)),FIND(":",TRIM(MID(SUBSTITUTE(K115,";",REPT(" ",99)),397,99)))+1,999))+1,999))-1))))</f>
        <v/>
      </c>
    </row>
    <row r="116">
      <c r="D116" s="11">
        <f>IFERROR(VLOOKUP(C116,ItemData_Fish!$A:$B,2,FALSE),"")</f>
        <v/>
      </c>
      <c r="L116" s="11">
        <f>IF(K116="","",TEXTJOIN("; ",TRUE,IF(TRIM(MID(SUBSTITUTE(K116,";",REPT(" ",99)),1,99))="","",IFERROR(VLOOKUP(--LEFT(MID(TRIM(MID(SUBSTITUTE(K116,";",REPT(" ",99)),1,99)),FIND(":",TRIM(MID(SUBSTITUTE(K116,";",REPT(" ",99)),1,99)))+1,999),FIND(":",MID(TRIM(MID(SUBSTITUTE(K116,";",REPT(" ",99)),1,99)),FIND(":",TRIM(MID(SUBSTITUTE(K116,";",REPT(" ",99)),1,99)))+1,999))-1),_Lookup!$A:$B,2,FALSE),"?")&amp;"×"&amp;LEFT(MID(MID(TRIM(MID(SUBSTITUTE(K116,";",REPT(" ",99)),1,99)),FIND(":",TRIM(MID(SUBSTITUTE(K116,";",REPT(" ",99)),1,99)))+1,999),FIND(":",MID(TRIM(MID(SUBSTITUTE(K116,";",REPT(" ",99)),1,99)),FIND(":",TRIM(MID(SUBSTITUTE(K116,";",REPT(" ",99)),1,99)))+1,999))+1,999),FIND(":",MID(MID(TRIM(MID(SUBSTITUTE(K116,";",REPT(" ",99)),1,99)),FIND(":",TRIM(MID(SUBSTITUTE(K116,";",REPT(" ",99)),1,99)))+1,999),FIND(":",MID(TRIM(MID(SUBSTITUTE(K116,";",REPT(" ",99)),1,99)),FIND(":",TRIM(MID(SUBSTITUTE(K116,";",REPT(" ",99)),1,99)))+1,999))+1,999))-1)),IF(TRIM(MID(SUBSTITUTE(K116,";",REPT(" ",99)),100,99))="","",IFERROR(VLOOKUP(--LEFT(MID(TRIM(MID(SUBSTITUTE(K116,";",REPT(" ",99)),100,99)),FIND(":",TRIM(MID(SUBSTITUTE(K116,";",REPT(" ",99)),100,99)))+1,999),FIND(":",MID(TRIM(MID(SUBSTITUTE(K116,";",REPT(" ",99)),100,99)),FIND(":",TRIM(MID(SUBSTITUTE(K116,";",REPT(" ",99)),100,99)))+1,999))-1),_Lookup!$A:$B,2,FALSE),"?")&amp;"×"&amp;LEFT(MID(MID(TRIM(MID(SUBSTITUTE(K116,";",REPT(" ",99)),100,99)),FIND(":",TRIM(MID(SUBSTITUTE(K116,";",REPT(" ",99)),100,99)))+1,999),FIND(":",MID(TRIM(MID(SUBSTITUTE(K116,";",REPT(" ",99)),100,99)),FIND(":",TRIM(MID(SUBSTITUTE(K116,";",REPT(" ",99)),100,99)))+1,999))+1,999),FIND(":",MID(MID(TRIM(MID(SUBSTITUTE(K116,";",REPT(" ",99)),100,99)),FIND(":",TRIM(MID(SUBSTITUTE(K116,";",REPT(" ",99)),100,99)))+1,999),FIND(":",MID(TRIM(MID(SUBSTITUTE(K116,";",REPT(" ",99)),100,99)),FIND(":",TRIM(MID(SUBSTITUTE(K116,";",REPT(" ",99)),100,99)))+1,999))+1,999))-1)),IF(TRIM(MID(SUBSTITUTE(K116,";",REPT(" ",99)),199,99))="","",IFERROR(VLOOKUP(--LEFT(MID(TRIM(MID(SUBSTITUTE(K116,";",REPT(" ",99)),199,99)),FIND(":",TRIM(MID(SUBSTITUTE(K116,";",REPT(" ",99)),199,99)))+1,999),FIND(":",MID(TRIM(MID(SUBSTITUTE(K116,";",REPT(" ",99)),199,99)),FIND(":",TRIM(MID(SUBSTITUTE(K116,";",REPT(" ",99)),199,99)))+1,999))-1),_Lookup!$A:$B,2,FALSE),"?")&amp;"×"&amp;LEFT(MID(MID(TRIM(MID(SUBSTITUTE(K116,";",REPT(" ",99)),199,99)),FIND(":",TRIM(MID(SUBSTITUTE(K116,";",REPT(" ",99)),199,99)))+1,999),FIND(":",MID(TRIM(MID(SUBSTITUTE(K116,";",REPT(" ",99)),199,99)),FIND(":",TRIM(MID(SUBSTITUTE(K116,";",REPT(" ",99)),199,99)))+1,999))+1,999),FIND(":",MID(MID(TRIM(MID(SUBSTITUTE(K116,";",REPT(" ",99)),199,99)),FIND(":",TRIM(MID(SUBSTITUTE(K116,";",REPT(" ",99)),199,99)))+1,999),FIND(":",MID(TRIM(MID(SUBSTITUTE(K116,";",REPT(" ",99)),199,99)),FIND(":",TRIM(MID(SUBSTITUTE(K116,";",REPT(" ",99)),199,99)))+1,999))+1,999))-1)),IF(TRIM(MID(SUBSTITUTE(K116,";",REPT(" ",99)),298,99))="","",IFERROR(VLOOKUP(--LEFT(MID(TRIM(MID(SUBSTITUTE(K116,";",REPT(" ",99)),298,99)),FIND(":",TRIM(MID(SUBSTITUTE(K116,";",REPT(" ",99)),298,99)))+1,999),FIND(":",MID(TRIM(MID(SUBSTITUTE(K116,";",REPT(" ",99)),298,99)),FIND(":",TRIM(MID(SUBSTITUTE(K116,";",REPT(" ",99)),298,99)))+1,999))-1),_Lookup!$A:$B,2,FALSE),"?")&amp;"×"&amp;LEFT(MID(MID(TRIM(MID(SUBSTITUTE(K116,";",REPT(" ",99)),298,99)),FIND(":",TRIM(MID(SUBSTITUTE(K116,";",REPT(" ",99)),298,99)))+1,999),FIND(":",MID(TRIM(MID(SUBSTITUTE(K116,";",REPT(" ",99)),298,99)),FIND(":",TRIM(MID(SUBSTITUTE(K116,";",REPT(" ",99)),298,99)))+1,999))+1,999),FIND(":",MID(MID(TRIM(MID(SUBSTITUTE(K116,";",REPT(" ",99)),298,99)),FIND(":",TRIM(MID(SUBSTITUTE(K116,";",REPT(" ",99)),298,99)))+1,999),FIND(":",MID(TRIM(MID(SUBSTITUTE(K116,";",REPT(" ",99)),298,99)),FIND(":",TRIM(MID(SUBSTITUTE(K116,";",REPT(" ",99)),298,99)))+1,999))+1,999))-1)),IF(TRIM(MID(SUBSTITUTE(K116,";",REPT(" ",99)),397,99))="","",IFERROR(VLOOKUP(--LEFT(MID(TRIM(MID(SUBSTITUTE(K116,";",REPT(" ",99)),397,99)),FIND(":",TRIM(MID(SUBSTITUTE(K116,";",REPT(" ",99)),397,99)))+1,999),FIND(":",MID(TRIM(MID(SUBSTITUTE(K116,";",REPT(" ",99)),397,99)),FIND(":",TRIM(MID(SUBSTITUTE(K116,";",REPT(" ",99)),397,99)))+1,999))-1),_Lookup!$A:$B,2,FALSE),"?")&amp;"×"&amp;LEFT(MID(MID(TRIM(MID(SUBSTITUTE(K116,";",REPT(" ",99)),397,99)),FIND(":",TRIM(MID(SUBSTITUTE(K116,";",REPT(" ",99)),397,99)))+1,999),FIND(":",MID(TRIM(MID(SUBSTITUTE(K116,";",REPT(" ",99)),397,99)),FIND(":",TRIM(MID(SUBSTITUTE(K116,";",REPT(" ",99)),397,99)))+1,999))+1,999),FIND(":",MID(MID(TRIM(MID(SUBSTITUTE(K116,";",REPT(" ",99)),397,99)),FIND(":",TRIM(MID(SUBSTITUTE(K116,";",REPT(" ",99)),397,99)))+1,999),FIND(":",MID(TRIM(MID(SUBSTITUTE(K116,";",REPT(" ",99)),397,99)),FIND(":",TRIM(MID(SUBSTITUTE(K116,";",REPT(" ",99)),397,99)))+1,999))+1,999))-1))))</f>
        <v/>
      </c>
    </row>
    <row r="117">
      <c r="D117" s="11">
        <f>IFERROR(VLOOKUP(C117,ItemData_Fish!$A:$B,2,FALSE),"")</f>
        <v/>
      </c>
      <c r="L117" s="11">
        <f>IF(K117="","",TEXTJOIN("; ",TRUE,IF(TRIM(MID(SUBSTITUTE(K117,";",REPT(" ",99)),1,99))="","",IFERROR(VLOOKUP(--LEFT(MID(TRIM(MID(SUBSTITUTE(K117,";",REPT(" ",99)),1,99)),FIND(":",TRIM(MID(SUBSTITUTE(K117,";",REPT(" ",99)),1,99)))+1,999),FIND(":",MID(TRIM(MID(SUBSTITUTE(K117,";",REPT(" ",99)),1,99)),FIND(":",TRIM(MID(SUBSTITUTE(K117,";",REPT(" ",99)),1,99)))+1,999))-1),_Lookup!$A:$B,2,FALSE),"?")&amp;"×"&amp;LEFT(MID(MID(TRIM(MID(SUBSTITUTE(K117,";",REPT(" ",99)),1,99)),FIND(":",TRIM(MID(SUBSTITUTE(K117,";",REPT(" ",99)),1,99)))+1,999),FIND(":",MID(TRIM(MID(SUBSTITUTE(K117,";",REPT(" ",99)),1,99)),FIND(":",TRIM(MID(SUBSTITUTE(K117,";",REPT(" ",99)),1,99)))+1,999))+1,999),FIND(":",MID(MID(TRIM(MID(SUBSTITUTE(K117,";",REPT(" ",99)),1,99)),FIND(":",TRIM(MID(SUBSTITUTE(K117,";",REPT(" ",99)),1,99)))+1,999),FIND(":",MID(TRIM(MID(SUBSTITUTE(K117,";",REPT(" ",99)),1,99)),FIND(":",TRIM(MID(SUBSTITUTE(K117,";",REPT(" ",99)),1,99)))+1,999))+1,999))-1)),IF(TRIM(MID(SUBSTITUTE(K117,";",REPT(" ",99)),100,99))="","",IFERROR(VLOOKUP(--LEFT(MID(TRIM(MID(SUBSTITUTE(K117,";",REPT(" ",99)),100,99)),FIND(":",TRIM(MID(SUBSTITUTE(K117,";",REPT(" ",99)),100,99)))+1,999),FIND(":",MID(TRIM(MID(SUBSTITUTE(K117,";",REPT(" ",99)),100,99)),FIND(":",TRIM(MID(SUBSTITUTE(K117,";",REPT(" ",99)),100,99)))+1,999))-1),_Lookup!$A:$B,2,FALSE),"?")&amp;"×"&amp;LEFT(MID(MID(TRIM(MID(SUBSTITUTE(K117,";",REPT(" ",99)),100,99)),FIND(":",TRIM(MID(SUBSTITUTE(K117,";",REPT(" ",99)),100,99)))+1,999),FIND(":",MID(TRIM(MID(SUBSTITUTE(K117,";",REPT(" ",99)),100,99)),FIND(":",TRIM(MID(SUBSTITUTE(K117,";",REPT(" ",99)),100,99)))+1,999))+1,999),FIND(":",MID(MID(TRIM(MID(SUBSTITUTE(K117,";",REPT(" ",99)),100,99)),FIND(":",TRIM(MID(SUBSTITUTE(K117,";",REPT(" ",99)),100,99)))+1,999),FIND(":",MID(TRIM(MID(SUBSTITUTE(K117,";",REPT(" ",99)),100,99)),FIND(":",TRIM(MID(SUBSTITUTE(K117,";",REPT(" ",99)),100,99)))+1,999))+1,999))-1)),IF(TRIM(MID(SUBSTITUTE(K117,";",REPT(" ",99)),199,99))="","",IFERROR(VLOOKUP(--LEFT(MID(TRIM(MID(SUBSTITUTE(K117,";",REPT(" ",99)),199,99)),FIND(":",TRIM(MID(SUBSTITUTE(K117,";",REPT(" ",99)),199,99)))+1,999),FIND(":",MID(TRIM(MID(SUBSTITUTE(K117,";",REPT(" ",99)),199,99)),FIND(":",TRIM(MID(SUBSTITUTE(K117,";",REPT(" ",99)),199,99)))+1,999))-1),_Lookup!$A:$B,2,FALSE),"?")&amp;"×"&amp;LEFT(MID(MID(TRIM(MID(SUBSTITUTE(K117,";",REPT(" ",99)),199,99)),FIND(":",TRIM(MID(SUBSTITUTE(K117,";",REPT(" ",99)),199,99)))+1,999),FIND(":",MID(TRIM(MID(SUBSTITUTE(K117,";",REPT(" ",99)),199,99)),FIND(":",TRIM(MID(SUBSTITUTE(K117,";",REPT(" ",99)),199,99)))+1,999))+1,999),FIND(":",MID(MID(TRIM(MID(SUBSTITUTE(K117,";",REPT(" ",99)),199,99)),FIND(":",TRIM(MID(SUBSTITUTE(K117,";",REPT(" ",99)),199,99)))+1,999),FIND(":",MID(TRIM(MID(SUBSTITUTE(K117,";",REPT(" ",99)),199,99)),FIND(":",TRIM(MID(SUBSTITUTE(K117,";",REPT(" ",99)),199,99)))+1,999))+1,999))-1)),IF(TRIM(MID(SUBSTITUTE(K117,";",REPT(" ",99)),298,99))="","",IFERROR(VLOOKUP(--LEFT(MID(TRIM(MID(SUBSTITUTE(K117,";",REPT(" ",99)),298,99)),FIND(":",TRIM(MID(SUBSTITUTE(K117,";",REPT(" ",99)),298,99)))+1,999),FIND(":",MID(TRIM(MID(SUBSTITUTE(K117,";",REPT(" ",99)),298,99)),FIND(":",TRIM(MID(SUBSTITUTE(K117,";",REPT(" ",99)),298,99)))+1,999))-1),_Lookup!$A:$B,2,FALSE),"?")&amp;"×"&amp;LEFT(MID(MID(TRIM(MID(SUBSTITUTE(K117,";",REPT(" ",99)),298,99)),FIND(":",TRIM(MID(SUBSTITUTE(K117,";",REPT(" ",99)),298,99)))+1,999),FIND(":",MID(TRIM(MID(SUBSTITUTE(K117,";",REPT(" ",99)),298,99)),FIND(":",TRIM(MID(SUBSTITUTE(K117,";",REPT(" ",99)),298,99)))+1,999))+1,999),FIND(":",MID(MID(TRIM(MID(SUBSTITUTE(K117,";",REPT(" ",99)),298,99)),FIND(":",TRIM(MID(SUBSTITUTE(K117,";",REPT(" ",99)),298,99)))+1,999),FIND(":",MID(TRIM(MID(SUBSTITUTE(K117,";",REPT(" ",99)),298,99)),FIND(":",TRIM(MID(SUBSTITUTE(K117,";",REPT(" ",99)),298,99)))+1,999))+1,999))-1)),IF(TRIM(MID(SUBSTITUTE(K117,";",REPT(" ",99)),397,99))="","",IFERROR(VLOOKUP(--LEFT(MID(TRIM(MID(SUBSTITUTE(K117,";",REPT(" ",99)),397,99)),FIND(":",TRIM(MID(SUBSTITUTE(K117,";",REPT(" ",99)),397,99)))+1,999),FIND(":",MID(TRIM(MID(SUBSTITUTE(K117,";",REPT(" ",99)),397,99)),FIND(":",TRIM(MID(SUBSTITUTE(K117,";",REPT(" ",99)),397,99)))+1,999))-1),_Lookup!$A:$B,2,FALSE),"?")&amp;"×"&amp;LEFT(MID(MID(TRIM(MID(SUBSTITUTE(K117,";",REPT(" ",99)),397,99)),FIND(":",TRIM(MID(SUBSTITUTE(K117,";",REPT(" ",99)),397,99)))+1,999),FIND(":",MID(TRIM(MID(SUBSTITUTE(K117,";",REPT(" ",99)),397,99)),FIND(":",TRIM(MID(SUBSTITUTE(K117,";",REPT(" ",99)),397,99)))+1,999))+1,999),FIND(":",MID(MID(TRIM(MID(SUBSTITUTE(K117,";",REPT(" ",99)),397,99)),FIND(":",TRIM(MID(SUBSTITUTE(K117,";",REPT(" ",99)),397,99)))+1,999),FIND(":",MID(TRIM(MID(SUBSTITUTE(K117,";",REPT(" ",99)),397,99)),FIND(":",TRIM(MID(SUBSTITUTE(K117,";",REPT(" ",99)),397,99)))+1,999))+1,999))-1))))</f>
        <v/>
      </c>
    </row>
    <row r="118">
      <c r="D118" s="11">
        <f>IFERROR(VLOOKUP(C118,ItemData_Fish!$A:$B,2,FALSE),"")</f>
        <v/>
      </c>
      <c r="L118" s="11">
        <f>IF(K118="","",TEXTJOIN("; ",TRUE,IF(TRIM(MID(SUBSTITUTE(K118,";",REPT(" ",99)),1,99))="","",IFERROR(VLOOKUP(--LEFT(MID(TRIM(MID(SUBSTITUTE(K118,";",REPT(" ",99)),1,99)),FIND(":",TRIM(MID(SUBSTITUTE(K118,";",REPT(" ",99)),1,99)))+1,999),FIND(":",MID(TRIM(MID(SUBSTITUTE(K118,";",REPT(" ",99)),1,99)),FIND(":",TRIM(MID(SUBSTITUTE(K118,";",REPT(" ",99)),1,99)))+1,999))-1),_Lookup!$A:$B,2,FALSE),"?")&amp;"×"&amp;LEFT(MID(MID(TRIM(MID(SUBSTITUTE(K118,";",REPT(" ",99)),1,99)),FIND(":",TRIM(MID(SUBSTITUTE(K118,";",REPT(" ",99)),1,99)))+1,999),FIND(":",MID(TRIM(MID(SUBSTITUTE(K118,";",REPT(" ",99)),1,99)),FIND(":",TRIM(MID(SUBSTITUTE(K118,";",REPT(" ",99)),1,99)))+1,999))+1,999),FIND(":",MID(MID(TRIM(MID(SUBSTITUTE(K118,";",REPT(" ",99)),1,99)),FIND(":",TRIM(MID(SUBSTITUTE(K118,";",REPT(" ",99)),1,99)))+1,999),FIND(":",MID(TRIM(MID(SUBSTITUTE(K118,";",REPT(" ",99)),1,99)),FIND(":",TRIM(MID(SUBSTITUTE(K118,";",REPT(" ",99)),1,99)))+1,999))+1,999))-1)),IF(TRIM(MID(SUBSTITUTE(K118,";",REPT(" ",99)),100,99))="","",IFERROR(VLOOKUP(--LEFT(MID(TRIM(MID(SUBSTITUTE(K118,";",REPT(" ",99)),100,99)),FIND(":",TRIM(MID(SUBSTITUTE(K118,";",REPT(" ",99)),100,99)))+1,999),FIND(":",MID(TRIM(MID(SUBSTITUTE(K118,";",REPT(" ",99)),100,99)),FIND(":",TRIM(MID(SUBSTITUTE(K118,";",REPT(" ",99)),100,99)))+1,999))-1),_Lookup!$A:$B,2,FALSE),"?")&amp;"×"&amp;LEFT(MID(MID(TRIM(MID(SUBSTITUTE(K118,";",REPT(" ",99)),100,99)),FIND(":",TRIM(MID(SUBSTITUTE(K118,";",REPT(" ",99)),100,99)))+1,999),FIND(":",MID(TRIM(MID(SUBSTITUTE(K118,";",REPT(" ",99)),100,99)),FIND(":",TRIM(MID(SUBSTITUTE(K118,";",REPT(" ",99)),100,99)))+1,999))+1,999),FIND(":",MID(MID(TRIM(MID(SUBSTITUTE(K118,";",REPT(" ",99)),100,99)),FIND(":",TRIM(MID(SUBSTITUTE(K118,";",REPT(" ",99)),100,99)))+1,999),FIND(":",MID(TRIM(MID(SUBSTITUTE(K118,";",REPT(" ",99)),100,99)),FIND(":",TRIM(MID(SUBSTITUTE(K118,";",REPT(" ",99)),100,99)))+1,999))+1,999))-1)),IF(TRIM(MID(SUBSTITUTE(K118,";",REPT(" ",99)),199,99))="","",IFERROR(VLOOKUP(--LEFT(MID(TRIM(MID(SUBSTITUTE(K118,";",REPT(" ",99)),199,99)),FIND(":",TRIM(MID(SUBSTITUTE(K118,";",REPT(" ",99)),199,99)))+1,999),FIND(":",MID(TRIM(MID(SUBSTITUTE(K118,";",REPT(" ",99)),199,99)),FIND(":",TRIM(MID(SUBSTITUTE(K118,";",REPT(" ",99)),199,99)))+1,999))-1),_Lookup!$A:$B,2,FALSE),"?")&amp;"×"&amp;LEFT(MID(MID(TRIM(MID(SUBSTITUTE(K118,";",REPT(" ",99)),199,99)),FIND(":",TRIM(MID(SUBSTITUTE(K118,";",REPT(" ",99)),199,99)))+1,999),FIND(":",MID(TRIM(MID(SUBSTITUTE(K118,";",REPT(" ",99)),199,99)),FIND(":",TRIM(MID(SUBSTITUTE(K118,";",REPT(" ",99)),199,99)))+1,999))+1,999),FIND(":",MID(MID(TRIM(MID(SUBSTITUTE(K118,";",REPT(" ",99)),199,99)),FIND(":",TRIM(MID(SUBSTITUTE(K118,";",REPT(" ",99)),199,99)))+1,999),FIND(":",MID(TRIM(MID(SUBSTITUTE(K118,";",REPT(" ",99)),199,99)),FIND(":",TRIM(MID(SUBSTITUTE(K118,";",REPT(" ",99)),199,99)))+1,999))+1,999))-1)),IF(TRIM(MID(SUBSTITUTE(K118,";",REPT(" ",99)),298,99))="","",IFERROR(VLOOKUP(--LEFT(MID(TRIM(MID(SUBSTITUTE(K118,";",REPT(" ",99)),298,99)),FIND(":",TRIM(MID(SUBSTITUTE(K118,";",REPT(" ",99)),298,99)))+1,999),FIND(":",MID(TRIM(MID(SUBSTITUTE(K118,";",REPT(" ",99)),298,99)),FIND(":",TRIM(MID(SUBSTITUTE(K118,";",REPT(" ",99)),298,99)))+1,999))-1),_Lookup!$A:$B,2,FALSE),"?")&amp;"×"&amp;LEFT(MID(MID(TRIM(MID(SUBSTITUTE(K118,";",REPT(" ",99)),298,99)),FIND(":",TRIM(MID(SUBSTITUTE(K118,";",REPT(" ",99)),298,99)))+1,999),FIND(":",MID(TRIM(MID(SUBSTITUTE(K118,";",REPT(" ",99)),298,99)),FIND(":",TRIM(MID(SUBSTITUTE(K118,";",REPT(" ",99)),298,99)))+1,999))+1,999),FIND(":",MID(MID(TRIM(MID(SUBSTITUTE(K118,";",REPT(" ",99)),298,99)),FIND(":",TRIM(MID(SUBSTITUTE(K118,";",REPT(" ",99)),298,99)))+1,999),FIND(":",MID(TRIM(MID(SUBSTITUTE(K118,";",REPT(" ",99)),298,99)),FIND(":",TRIM(MID(SUBSTITUTE(K118,";",REPT(" ",99)),298,99)))+1,999))+1,999))-1)),IF(TRIM(MID(SUBSTITUTE(K118,";",REPT(" ",99)),397,99))="","",IFERROR(VLOOKUP(--LEFT(MID(TRIM(MID(SUBSTITUTE(K118,";",REPT(" ",99)),397,99)),FIND(":",TRIM(MID(SUBSTITUTE(K118,";",REPT(" ",99)),397,99)))+1,999),FIND(":",MID(TRIM(MID(SUBSTITUTE(K118,";",REPT(" ",99)),397,99)),FIND(":",TRIM(MID(SUBSTITUTE(K118,";",REPT(" ",99)),397,99)))+1,999))-1),_Lookup!$A:$B,2,FALSE),"?")&amp;"×"&amp;LEFT(MID(MID(TRIM(MID(SUBSTITUTE(K118,";",REPT(" ",99)),397,99)),FIND(":",TRIM(MID(SUBSTITUTE(K118,";",REPT(" ",99)),397,99)))+1,999),FIND(":",MID(TRIM(MID(SUBSTITUTE(K118,";",REPT(" ",99)),397,99)),FIND(":",TRIM(MID(SUBSTITUTE(K118,";",REPT(" ",99)),397,99)))+1,999))+1,999),FIND(":",MID(MID(TRIM(MID(SUBSTITUTE(K118,";",REPT(" ",99)),397,99)),FIND(":",TRIM(MID(SUBSTITUTE(K118,";",REPT(" ",99)),397,99)))+1,999),FIND(":",MID(TRIM(MID(SUBSTITUTE(K118,";",REPT(" ",99)),397,99)),FIND(":",TRIM(MID(SUBSTITUTE(K118,";",REPT(" ",99)),397,99)))+1,999))+1,999))-1))))</f>
        <v/>
      </c>
    </row>
    <row r="119">
      <c r="D119" s="11">
        <f>IFERROR(VLOOKUP(C119,ItemData_Fish!$A:$B,2,FALSE),"")</f>
        <v/>
      </c>
      <c r="L119" s="11">
        <f>IF(K119="","",TEXTJOIN("; ",TRUE,IF(TRIM(MID(SUBSTITUTE(K119,";",REPT(" ",99)),1,99))="","",IFERROR(VLOOKUP(--LEFT(MID(TRIM(MID(SUBSTITUTE(K119,";",REPT(" ",99)),1,99)),FIND(":",TRIM(MID(SUBSTITUTE(K119,";",REPT(" ",99)),1,99)))+1,999),FIND(":",MID(TRIM(MID(SUBSTITUTE(K119,";",REPT(" ",99)),1,99)),FIND(":",TRIM(MID(SUBSTITUTE(K119,";",REPT(" ",99)),1,99)))+1,999))-1),_Lookup!$A:$B,2,FALSE),"?")&amp;"×"&amp;LEFT(MID(MID(TRIM(MID(SUBSTITUTE(K119,";",REPT(" ",99)),1,99)),FIND(":",TRIM(MID(SUBSTITUTE(K119,";",REPT(" ",99)),1,99)))+1,999),FIND(":",MID(TRIM(MID(SUBSTITUTE(K119,";",REPT(" ",99)),1,99)),FIND(":",TRIM(MID(SUBSTITUTE(K119,";",REPT(" ",99)),1,99)))+1,999))+1,999),FIND(":",MID(MID(TRIM(MID(SUBSTITUTE(K119,";",REPT(" ",99)),1,99)),FIND(":",TRIM(MID(SUBSTITUTE(K119,";",REPT(" ",99)),1,99)))+1,999),FIND(":",MID(TRIM(MID(SUBSTITUTE(K119,";",REPT(" ",99)),1,99)),FIND(":",TRIM(MID(SUBSTITUTE(K119,";",REPT(" ",99)),1,99)))+1,999))+1,999))-1)),IF(TRIM(MID(SUBSTITUTE(K119,";",REPT(" ",99)),100,99))="","",IFERROR(VLOOKUP(--LEFT(MID(TRIM(MID(SUBSTITUTE(K119,";",REPT(" ",99)),100,99)),FIND(":",TRIM(MID(SUBSTITUTE(K119,";",REPT(" ",99)),100,99)))+1,999),FIND(":",MID(TRIM(MID(SUBSTITUTE(K119,";",REPT(" ",99)),100,99)),FIND(":",TRIM(MID(SUBSTITUTE(K119,";",REPT(" ",99)),100,99)))+1,999))-1),_Lookup!$A:$B,2,FALSE),"?")&amp;"×"&amp;LEFT(MID(MID(TRIM(MID(SUBSTITUTE(K119,";",REPT(" ",99)),100,99)),FIND(":",TRIM(MID(SUBSTITUTE(K119,";",REPT(" ",99)),100,99)))+1,999),FIND(":",MID(TRIM(MID(SUBSTITUTE(K119,";",REPT(" ",99)),100,99)),FIND(":",TRIM(MID(SUBSTITUTE(K119,";",REPT(" ",99)),100,99)))+1,999))+1,999),FIND(":",MID(MID(TRIM(MID(SUBSTITUTE(K119,";",REPT(" ",99)),100,99)),FIND(":",TRIM(MID(SUBSTITUTE(K119,";",REPT(" ",99)),100,99)))+1,999),FIND(":",MID(TRIM(MID(SUBSTITUTE(K119,";",REPT(" ",99)),100,99)),FIND(":",TRIM(MID(SUBSTITUTE(K119,";",REPT(" ",99)),100,99)))+1,999))+1,999))-1)),IF(TRIM(MID(SUBSTITUTE(K119,";",REPT(" ",99)),199,99))="","",IFERROR(VLOOKUP(--LEFT(MID(TRIM(MID(SUBSTITUTE(K119,";",REPT(" ",99)),199,99)),FIND(":",TRIM(MID(SUBSTITUTE(K119,";",REPT(" ",99)),199,99)))+1,999),FIND(":",MID(TRIM(MID(SUBSTITUTE(K119,";",REPT(" ",99)),199,99)),FIND(":",TRIM(MID(SUBSTITUTE(K119,";",REPT(" ",99)),199,99)))+1,999))-1),_Lookup!$A:$B,2,FALSE),"?")&amp;"×"&amp;LEFT(MID(MID(TRIM(MID(SUBSTITUTE(K119,";",REPT(" ",99)),199,99)),FIND(":",TRIM(MID(SUBSTITUTE(K119,";",REPT(" ",99)),199,99)))+1,999),FIND(":",MID(TRIM(MID(SUBSTITUTE(K119,";",REPT(" ",99)),199,99)),FIND(":",TRIM(MID(SUBSTITUTE(K119,";",REPT(" ",99)),199,99)))+1,999))+1,999),FIND(":",MID(MID(TRIM(MID(SUBSTITUTE(K119,";",REPT(" ",99)),199,99)),FIND(":",TRIM(MID(SUBSTITUTE(K119,";",REPT(" ",99)),199,99)))+1,999),FIND(":",MID(TRIM(MID(SUBSTITUTE(K119,";",REPT(" ",99)),199,99)),FIND(":",TRIM(MID(SUBSTITUTE(K119,";",REPT(" ",99)),199,99)))+1,999))+1,999))-1)),IF(TRIM(MID(SUBSTITUTE(K119,";",REPT(" ",99)),298,99))="","",IFERROR(VLOOKUP(--LEFT(MID(TRIM(MID(SUBSTITUTE(K119,";",REPT(" ",99)),298,99)),FIND(":",TRIM(MID(SUBSTITUTE(K119,";",REPT(" ",99)),298,99)))+1,999),FIND(":",MID(TRIM(MID(SUBSTITUTE(K119,";",REPT(" ",99)),298,99)),FIND(":",TRIM(MID(SUBSTITUTE(K119,";",REPT(" ",99)),298,99)))+1,999))-1),_Lookup!$A:$B,2,FALSE),"?")&amp;"×"&amp;LEFT(MID(MID(TRIM(MID(SUBSTITUTE(K119,";",REPT(" ",99)),298,99)),FIND(":",TRIM(MID(SUBSTITUTE(K119,";",REPT(" ",99)),298,99)))+1,999),FIND(":",MID(TRIM(MID(SUBSTITUTE(K119,";",REPT(" ",99)),298,99)),FIND(":",TRIM(MID(SUBSTITUTE(K119,";",REPT(" ",99)),298,99)))+1,999))+1,999),FIND(":",MID(MID(TRIM(MID(SUBSTITUTE(K119,";",REPT(" ",99)),298,99)),FIND(":",TRIM(MID(SUBSTITUTE(K119,";",REPT(" ",99)),298,99)))+1,999),FIND(":",MID(TRIM(MID(SUBSTITUTE(K119,";",REPT(" ",99)),298,99)),FIND(":",TRIM(MID(SUBSTITUTE(K119,";",REPT(" ",99)),298,99)))+1,999))+1,999))-1)),IF(TRIM(MID(SUBSTITUTE(K119,";",REPT(" ",99)),397,99))="","",IFERROR(VLOOKUP(--LEFT(MID(TRIM(MID(SUBSTITUTE(K119,";",REPT(" ",99)),397,99)),FIND(":",TRIM(MID(SUBSTITUTE(K119,";",REPT(" ",99)),397,99)))+1,999),FIND(":",MID(TRIM(MID(SUBSTITUTE(K119,";",REPT(" ",99)),397,99)),FIND(":",TRIM(MID(SUBSTITUTE(K119,";",REPT(" ",99)),397,99)))+1,999))-1),_Lookup!$A:$B,2,FALSE),"?")&amp;"×"&amp;LEFT(MID(MID(TRIM(MID(SUBSTITUTE(K119,";",REPT(" ",99)),397,99)),FIND(":",TRIM(MID(SUBSTITUTE(K119,";",REPT(" ",99)),397,99)))+1,999),FIND(":",MID(TRIM(MID(SUBSTITUTE(K119,";",REPT(" ",99)),397,99)),FIND(":",TRIM(MID(SUBSTITUTE(K119,";",REPT(" ",99)),397,99)))+1,999))+1,999),FIND(":",MID(MID(TRIM(MID(SUBSTITUTE(K119,";",REPT(" ",99)),397,99)),FIND(":",TRIM(MID(SUBSTITUTE(K119,";",REPT(" ",99)),397,99)))+1,999),FIND(":",MID(TRIM(MID(SUBSTITUTE(K119,";",REPT(" ",99)),397,99)),FIND(":",TRIM(MID(SUBSTITUTE(K119,";",REPT(" ",99)),397,99)))+1,999))+1,999))-1))))</f>
        <v/>
      </c>
    </row>
    <row r="120">
      <c r="D120" s="11">
        <f>IFERROR(VLOOKUP(C120,ItemData_Fish!$A:$B,2,FALSE),"")</f>
        <v/>
      </c>
      <c r="L120" s="11">
        <f>IF(K120="","",TEXTJOIN("; ",TRUE,IF(TRIM(MID(SUBSTITUTE(K120,";",REPT(" ",99)),1,99))="","",IFERROR(VLOOKUP(--LEFT(MID(TRIM(MID(SUBSTITUTE(K120,";",REPT(" ",99)),1,99)),FIND(":",TRIM(MID(SUBSTITUTE(K120,";",REPT(" ",99)),1,99)))+1,999),FIND(":",MID(TRIM(MID(SUBSTITUTE(K120,";",REPT(" ",99)),1,99)),FIND(":",TRIM(MID(SUBSTITUTE(K120,";",REPT(" ",99)),1,99)))+1,999))-1),_Lookup!$A:$B,2,FALSE),"?")&amp;"×"&amp;LEFT(MID(MID(TRIM(MID(SUBSTITUTE(K120,";",REPT(" ",99)),1,99)),FIND(":",TRIM(MID(SUBSTITUTE(K120,";",REPT(" ",99)),1,99)))+1,999),FIND(":",MID(TRIM(MID(SUBSTITUTE(K120,";",REPT(" ",99)),1,99)),FIND(":",TRIM(MID(SUBSTITUTE(K120,";",REPT(" ",99)),1,99)))+1,999))+1,999),FIND(":",MID(MID(TRIM(MID(SUBSTITUTE(K120,";",REPT(" ",99)),1,99)),FIND(":",TRIM(MID(SUBSTITUTE(K120,";",REPT(" ",99)),1,99)))+1,999),FIND(":",MID(TRIM(MID(SUBSTITUTE(K120,";",REPT(" ",99)),1,99)),FIND(":",TRIM(MID(SUBSTITUTE(K120,";",REPT(" ",99)),1,99)))+1,999))+1,999))-1)),IF(TRIM(MID(SUBSTITUTE(K120,";",REPT(" ",99)),100,99))="","",IFERROR(VLOOKUP(--LEFT(MID(TRIM(MID(SUBSTITUTE(K120,";",REPT(" ",99)),100,99)),FIND(":",TRIM(MID(SUBSTITUTE(K120,";",REPT(" ",99)),100,99)))+1,999),FIND(":",MID(TRIM(MID(SUBSTITUTE(K120,";",REPT(" ",99)),100,99)),FIND(":",TRIM(MID(SUBSTITUTE(K120,";",REPT(" ",99)),100,99)))+1,999))-1),_Lookup!$A:$B,2,FALSE),"?")&amp;"×"&amp;LEFT(MID(MID(TRIM(MID(SUBSTITUTE(K120,";",REPT(" ",99)),100,99)),FIND(":",TRIM(MID(SUBSTITUTE(K120,";",REPT(" ",99)),100,99)))+1,999),FIND(":",MID(TRIM(MID(SUBSTITUTE(K120,";",REPT(" ",99)),100,99)),FIND(":",TRIM(MID(SUBSTITUTE(K120,";",REPT(" ",99)),100,99)))+1,999))+1,999),FIND(":",MID(MID(TRIM(MID(SUBSTITUTE(K120,";",REPT(" ",99)),100,99)),FIND(":",TRIM(MID(SUBSTITUTE(K120,";",REPT(" ",99)),100,99)))+1,999),FIND(":",MID(TRIM(MID(SUBSTITUTE(K120,";",REPT(" ",99)),100,99)),FIND(":",TRIM(MID(SUBSTITUTE(K120,";",REPT(" ",99)),100,99)))+1,999))+1,999))-1)),IF(TRIM(MID(SUBSTITUTE(K120,";",REPT(" ",99)),199,99))="","",IFERROR(VLOOKUP(--LEFT(MID(TRIM(MID(SUBSTITUTE(K120,";",REPT(" ",99)),199,99)),FIND(":",TRIM(MID(SUBSTITUTE(K120,";",REPT(" ",99)),199,99)))+1,999),FIND(":",MID(TRIM(MID(SUBSTITUTE(K120,";",REPT(" ",99)),199,99)),FIND(":",TRIM(MID(SUBSTITUTE(K120,";",REPT(" ",99)),199,99)))+1,999))-1),_Lookup!$A:$B,2,FALSE),"?")&amp;"×"&amp;LEFT(MID(MID(TRIM(MID(SUBSTITUTE(K120,";",REPT(" ",99)),199,99)),FIND(":",TRIM(MID(SUBSTITUTE(K120,";",REPT(" ",99)),199,99)))+1,999),FIND(":",MID(TRIM(MID(SUBSTITUTE(K120,";",REPT(" ",99)),199,99)),FIND(":",TRIM(MID(SUBSTITUTE(K120,";",REPT(" ",99)),199,99)))+1,999))+1,999),FIND(":",MID(MID(TRIM(MID(SUBSTITUTE(K120,";",REPT(" ",99)),199,99)),FIND(":",TRIM(MID(SUBSTITUTE(K120,";",REPT(" ",99)),199,99)))+1,999),FIND(":",MID(TRIM(MID(SUBSTITUTE(K120,";",REPT(" ",99)),199,99)),FIND(":",TRIM(MID(SUBSTITUTE(K120,";",REPT(" ",99)),199,99)))+1,999))+1,999))-1)),IF(TRIM(MID(SUBSTITUTE(K120,";",REPT(" ",99)),298,99))="","",IFERROR(VLOOKUP(--LEFT(MID(TRIM(MID(SUBSTITUTE(K120,";",REPT(" ",99)),298,99)),FIND(":",TRIM(MID(SUBSTITUTE(K120,";",REPT(" ",99)),298,99)))+1,999),FIND(":",MID(TRIM(MID(SUBSTITUTE(K120,";",REPT(" ",99)),298,99)),FIND(":",TRIM(MID(SUBSTITUTE(K120,";",REPT(" ",99)),298,99)))+1,999))-1),_Lookup!$A:$B,2,FALSE),"?")&amp;"×"&amp;LEFT(MID(MID(TRIM(MID(SUBSTITUTE(K120,";",REPT(" ",99)),298,99)),FIND(":",TRIM(MID(SUBSTITUTE(K120,";",REPT(" ",99)),298,99)))+1,999),FIND(":",MID(TRIM(MID(SUBSTITUTE(K120,";",REPT(" ",99)),298,99)),FIND(":",TRIM(MID(SUBSTITUTE(K120,";",REPT(" ",99)),298,99)))+1,999))+1,999),FIND(":",MID(MID(TRIM(MID(SUBSTITUTE(K120,";",REPT(" ",99)),298,99)),FIND(":",TRIM(MID(SUBSTITUTE(K120,";",REPT(" ",99)),298,99)))+1,999),FIND(":",MID(TRIM(MID(SUBSTITUTE(K120,";",REPT(" ",99)),298,99)),FIND(":",TRIM(MID(SUBSTITUTE(K120,";",REPT(" ",99)),298,99)))+1,999))+1,999))-1)),IF(TRIM(MID(SUBSTITUTE(K120,";",REPT(" ",99)),397,99))="","",IFERROR(VLOOKUP(--LEFT(MID(TRIM(MID(SUBSTITUTE(K120,";",REPT(" ",99)),397,99)),FIND(":",TRIM(MID(SUBSTITUTE(K120,";",REPT(" ",99)),397,99)))+1,999),FIND(":",MID(TRIM(MID(SUBSTITUTE(K120,";",REPT(" ",99)),397,99)),FIND(":",TRIM(MID(SUBSTITUTE(K120,";",REPT(" ",99)),397,99)))+1,999))-1),_Lookup!$A:$B,2,FALSE),"?")&amp;"×"&amp;LEFT(MID(MID(TRIM(MID(SUBSTITUTE(K120,";",REPT(" ",99)),397,99)),FIND(":",TRIM(MID(SUBSTITUTE(K120,";",REPT(" ",99)),397,99)))+1,999),FIND(":",MID(TRIM(MID(SUBSTITUTE(K120,";",REPT(" ",99)),397,99)),FIND(":",TRIM(MID(SUBSTITUTE(K120,";",REPT(" ",99)),397,99)))+1,999))+1,999),FIND(":",MID(MID(TRIM(MID(SUBSTITUTE(K120,";",REPT(" ",99)),397,99)),FIND(":",TRIM(MID(SUBSTITUTE(K120,";",REPT(" ",99)),397,99)))+1,999),FIND(":",MID(TRIM(MID(SUBSTITUTE(K120,";",REPT(" ",99)),397,99)),FIND(":",TRIM(MID(SUBSTITUTE(K120,";",REPT(" ",99)),397,99)))+1,999))+1,999))-1))))</f>
        <v/>
      </c>
    </row>
    <row r="121">
      <c r="D121" s="11">
        <f>IFERROR(VLOOKUP(C121,ItemData_Fish!$A:$B,2,FALSE),"")</f>
        <v/>
      </c>
      <c r="L121" s="11">
        <f>IF(K121="","",TEXTJOIN("; ",TRUE,IF(TRIM(MID(SUBSTITUTE(K121,";",REPT(" ",99)),1,99))="","",IFERROR(VLOOKUP(--LEFT(MID(TRIM(MID(SUBSTITUTE(K121,";",REPT(" ",99)),1,99)),FIND(":",TRIM(MID(SUBSTITUTE(K121,";",REPT(" ",99)),1,99)))+1,999),FIND(":",MID(TRIM(MID(SUBSTITUTE(K121,";",REPT(" ",99)),1,99)),FIND(":",TRIM(MID(SUBSTITUTE(K121,";",REPT(" ",99)),1,99)))+1,999))-1),_Lookup!$A:$B,2,FALSE),"?")&amp;"×"&amp;LEFT(MID(MID(TRIM(MID(SUBSTITUTE(K121,";",REPT(" ",99)),1,99)),FIND(":",TRIM(MID(SUBSTITUTE(K121,";",REPT(" ",99)),1,99)))+1,999),FIND(":",MID(TRIM(MID(SUBSTITUTE(K121,";",REPT(" ",99)),1,99)),FIND(":",TRIM(MID(SUBSTITUTE(K121,";",REPT(" ",99)),1,99)))+1,999))+1,999),FIND(":",MID(MID(TRIM(MID(SUBSTITUTE(K121,";",REPT(" ",99)),1,99)),FIND(":",TRIM(MID(SUBSTITUTE(K121,";",REPT(" ",99)),1,99)))+1,999),FIND(":",MID(TRIM(MID(SUBSTITUTE(K121,";",REPT(" ",99)),1,99)),FIND(":",TRIM(MID(SUBSTITUTE(K121,";",REPT(" ",99)),1,99)))+1,999))+1,999))-1)),IF(TRIM(MID(SUBSTITUTE(K121,";",REPT(" ",99)),100,99))="","",IFERROR(VLOOKUP(--LEFT(MID(TRIM(MID(SUBSTITUTE(K121,";",REPT(" ",99)),100,99)),FIND(":",TRIM(MID(SUBSTITUTE(K121,";",REPT(" ",99)),100,99)))+1,999),FIND(":",MID(TRIM(MID(SUBSTITUTE(K121,";",REPT(" ",99)),100,99)),FIND(":",TRIM(MID(SUBSTITUTE(K121,";",REPT(" ",99)),100,99)))+1,999))-1),_Lookup!$A:$B,2,FALSE),"?")&amp;"×"&amp;LEFT(MID(MID(TRIM(MID(SUBSTITUTE(K121,";",REPT(" ",99)),100,99)),FIND(":",TRIM(MID(SUBSTITUTE(K121,";",REPT(" ",99)),100,99)))+1,999),FIND(":",MID(TRIM(MID(SUBSTITUTE(K121,";",REPT(" ",99)),100,99)),FIND(":",TRIM(MID(SUBSTITUTE(K121,";",REPT(" ",99)),100,99)))+1,999))+1,999),FIND(":",MID(MID(TRIM(MID(SUBSTITUTE(K121,";",REPT(" ",99)),100,99)),FIND(":",TRIM(MID(SUBSTITUTE(K121,";",REPT(" ",99)),100,99)))+1,999),FIND(":",MID(TRIM(MID(SUBSTITUTE(K121,";",REPT(" ",99)),100,99)),FIND(":",TRIM(MID(SUBSTITUTE(K121,";",REPT(" ",99)),100,99)))+1,999))+1,999))-1)),IF(TRIM(MID(SUBSTITUTE(K121,";",REPT(" ",99)),199,99))="","",IFERROR(VLOOKUP(--LEFT(MID(TRIM(MID(SUBSTITUTE(K121,";",REPT(" ",99)),199,99)),FIND(":",TRIM(MID(SUBSTITUTE(K121,";",REPT(" ",99)),199,99)))+1,999),FIND(":",MID(TRIM(MID(SUBSTITUTE(K121,";",REPT(" ",99)),199,99)),FIND(":",TRIM(MID(SUBSTITUTE(K121,";",REPT(" ",99)),199,99)))+1,999))-1),_Lookup!$A:$B,2,FALSE),"?")&amp;"×"&amp;LEFT(MID(MID(TRIM(MID(SUBSTITUTE(K121,";",REPT(" ",99)),199,99)),FIND(":",TRIM(MID(SUBSTITUTE(K121,";",REPT(" ",99)),199,99)))+1,999),FIND(":",MID(TRIM(MID(SUBSTITUTE(K121,";",REPT(" ",99)),199,99)),FIND(":",TRIM(MID(SUBSTITUTE(K121,";",REPT(" ",99)),199,99)))+1,999))+1,999),FIND(":",MID(MID(TRIM(MID(SUBSTITUTE(K121,";",REPT(" ",99)),199,99)),FIND(":",TRIM(MID(SUBSTITUTE(K121,";",REPT(" ",99)),199,99)))+1,999),FIND(":",MID(TRIM(MID(SUBSTITUTE(K121,";",REPT(" ",99)),199,99)),FIND(":",TRIM(MID(SUBSTITUTE(K121,";",REPT(" ",99)),199,99)))+1,999))+1,999))-1)),IF(TRIM(MID(SUBSTITUTE(K121,";",REPT(" ",99)),298,99))="","",IFERROR(VLOOKUP(--LEFT(MID(TRIM(MID(SUBSTITUTE(K121,";",REPT(" ",99)),298,99)),FIND(":",TRIM(MID(SUBSTITUTE(K121,";",REPT(" ",99)),298,99)))+1,999),FIND(":",MID(TRIM(MID(SUBSTITUTE(K121,";",REPT(" ",99)),298,99)),FIND(":",TRIM(MID(SUBSTITUTE(K121,";",REPT(" ",99)),298,99)))+1,999))-1),_Lookup!$A:$B,2,FALSE),"?")&amp;"×"&amp;LEFT(MID(MID(TRIM(MID(SUBSTITUTE(K121,";",REPT(" ",99)),298,99)),FIND(":",TRIM(MID(SUBSTITUTE(K121,";",REPT(" ",99)),298,99)))+1,999),FIND(":",MID(TRIM(MID(SUBSTITUTE(K121,";",REPT(" ",99)),298,99)),FIND(":",TRIM(MID(SUBSTITUTE(K121,";",REPT(" ",99)),298,99)))+1,999))+1,999),FIND(":",MID(MID(TRIM(MID(SUBSTITUTE(K121,";",REPT(" ",99)),298,99)),FIND(":",TRIM(MID(SUBSTITUTE(K121,";",REPT(" ",99)),298,99)))+1,999),FIND(":",MID(TRIM(MID(SUBSTITUTE(K121,";",REPT(" ",99)),298,99)),FIND(":",TRIM(MID(SUBSTITUTE(K121,";",REPT(" ",99)),298,99)))+1,999))+1,999))-1)),IF(TRIM(MID(SUBSTITUTE(K121,";",REPT(" ",99)),397,99))="","",IFERROR(VLOOKUP(--LEFT(MID(TRIM(MID(SUBSTITUTE(K121,";",REPT(" ",99)),397,99)),FIND(":",TRIM(MID(SUBSTITUTE(K121,";",REPT(" ",99)),397,99)))+1,999),FIND(":",MID(TRIM(MID(SUBSTITUTE(K121,";",REPT(" ",99)),397,99)),FIND(":",TRIM(MID(SUBSTITUTE(K121,";",REPT(" ",99)),397,99)))+1,999))-1),_Lookup!$A:$B,2,FALSE),"?")&amp;"×"&amp;LEFT(MID(MID(TRIM(MID(SUBSTITUTE(K121,";",REPT(" ",99)),397,99)),FIND(":",TRIM(MID(SUBSTITUTE(K121,";",REPT(" ",99)),397,99)))+1,999),FIND(":",MID(TRIM(MID(SUBSTITUTE(K121,";",REPT(" ",99)),397,99)),FIND(":",TRIM(MID(SUBSTITUTE(K121,";",REPT(" ",99)),397,99)))+1,999))+1,999),FIND(":",MID(MID(TRIM(MID(SUBSTITUTE(K121,";",REPT(" ",99)),397,99)),FIND(":",TRIM(MID(SUBSTITUTE(K121,";",REPT(" ",99)),397,99)))+1,999),FIND(":",MID(TRIM(MID(SUBSTITUTE(K121,";",REPT(" ",99)),397,99)),FIND(":",TRIM(MID(SUBSTITUTE(K121,";",REPT(" ",99)),397,99)))+1,999))+1,999))-1))))</f>
        <v/>
      </c>
    </row>
    <row r="122">
      <c r="D122" s="11">
        <f>IFERROR(VLOOKUP(C122,ItemData_Fish!$A:$B,2,FALSE),"")</f>
        <v/>
      </c>
      <c r="L122" s="11">
        <f>IF(K122="","",TEXTJOIN("; ",TRUE,IF(TRIM(MID(SUBSTITUTE(K122,";",REPT(" ",99)),1,99))="","",IFERROR(VLOOKUP(--LEFT(MID(TRIM(MID(SUBSTITUTE(K122,";",REPT(" ",99)),1,99)),FIND(":",TRIM(MID(SUBSTITUTE(K122,";",REPT(" ",99)),1,99)))+1,999),FIND(":",MID(TRIM(MID(SUBSTITUTE(K122,";",REPT(" ",99)),1,99)),FIND(":",TRIM(MID(SUBSTITUTE(K122,";",REPT(" ",99)),1,99)))+1,999))-1),_Lookup!$A:$B,2,FALSE),"?")&amp;"×"&amp;LEFT(MID(MID(TRIM(MID(SUBSTITUTE(K122,";",REPT(" ",99)),1,99)),FIND(":",TRIM(MID(SUBSTITUTE(K122,";",REPT(" ",99)),1,99)))+1,999),FIND(":",MID(TRIM(MID(SUBSTITUTE(K122,";",REPT(" ",99)),1,99)),FIND(":",TRIM(MID(SUBSTITUTE(K122,";",REPT(" ",99)),1,99)))+1,999))+1,999),FIND(":",MID(MID(TRIM(MID(SUBSTITUTE(K122,";",REPT(" ",99)),1,99)),FIND(":",TRIM(MID(SUBSTITUTE(K122,";",REPT(" ",99)),1,99)))+1,999),FIND(":",MID(TRIM(MID(SUBSTITUTE(K122,";",REPT(" ",99)),1,99)),FIND(":",TRIM(MID(SUBSTITUTE(K122,";",REPT(" ",99)),1,99)))+1,999))+1,999))-1)),IF(TRIM(MID(SUBSTITUTE(K122,";",REPT(" ",99)),100,99))="","",IFERROR(VLOOKUP(--LEFT(MID(TRIM(MID(SUBSTITUTE(K122,";",REPT(" ",99)),100,99)),FIND(":",TRIM(MID(SUBSTITUTE(K122,";",REPT(" ",99)),100,99)))+1,999),FIND(":",MID(TRIM(MID(SUBSTITUTE(K122,";",REPT(" ",99)),100,99)),FIND(":",TRIM(MID(SUBSTITUTE(K122,";",REPT(" ",99)),100,99)))+1,999))-1),_Lookup!$A:$B,2,FALSE),"?")&amp;"×"&amp;LEFT(MID(MID(TRIM(MID(SUBSTITUTE(K122,";",REPT(" ",99)),100,99)),FIND(":",TRIM(MID(SUBSTITUTE(K122,";",REPT(" ",99)),100,99)))+1,999),FIND(":",MID(TRIM(MID(SUBSTITUTE(K122,";",REPT(" ",99)),100,99)),FIND(":",TRIM(MID(SUBSTITUTE(K122,";",REPT(" ",99)),100,99)))+1,999))+1,999),FIND(":",MID(MID(TRIM(MID(SUBSTITUTE(K122,";",REPT(" ",99)),100,99)),FIND(":",TRIM(MID(SUBSTITUTE(K122,";",REPT(" ",99)),100,99)))+1,999),FIND(":",MID(TRIM(MID(SUBSTITUTE(K122,";",REPT(" ",99)),100,99)),FIND(":",TRIM(MID(SUBSTITUTE(K122,";",REPT(" ",99)),100,99)))+1,999))+1,999))-1)),IF(TRIM(MID(SUBSTITUTE(K122,";",REPT(" ",99)),199,99))="","",IFERROR(VLOOKUP(--LEFT(MID(TRIM(MID(SUBSTITUTE(K122,";",REPT(" ",99)),199,99)),FIND(":",TRIM(MID(SUBSTITUTE(K122,";",REPT(" ",99)),199,99)))+1,999),FIND(":",MID(TRIM(MID(SUBSTITUTE(K122,";",REPT(" ",99)),199,99)),FIND(":",TRIM(MID(SUBSTITUTE(K122,";",REPT(" ",99)),199,99)))+1,999))-1),_Lookup!$A:$B,2,FALSE),"?")&amp;"×"&amp;LEFT(MID(MID(TRIM(MID(SUBSTITUTE(K122,";",REPT(" ",99)),199,99)),FIND(":",TRIM(MID(SUBSTITUTE(K122,";",REPT(" ",99)),199,99)))+1,999),FIND(":",MID(TRIM(MID(SUBSTITUTE(K122,";",REPT(" ",99)),199,99)),FIND(":",TRIM(MID(SUBSTITUTE(K122,";",REPT(" ",99)),199,99)))+1,999))+1,999),FIND(":",MID(MID(TRIM(MID(SUBSTITUTE(K122,";",REPT(" ",99)),199,99)),FIND(":",TRIM(MID(SUBSTITUTE(K122,";",REPT(" ",99)),199,99)))+1,999),FIND(":",MID(TRIM(MID(SUBSTITUTE(K122,";",REPT(" ",99)),199,99)),FIND(":",TRIM(MID(SUBSTITUTE(K122,";",REPT(" ",99)),199,99)))+1,999))+1,999))-1)),IF(TRIM(MID(SUBSTITUTE(K122,";",REPT(" ",99)),298,99))="","",IFERROR(VLOOKUP(--LEFT(MID(TRIM(MID(SUBSTITUTE(K122,";",REPT(" ",99)),298,99)),FIND(":",TRIM(MID(SUBSTITUTE(K122,";",REPT(" ",99)),298,99)))+1,999),FIND(":",MID(TRIM(MID(SUBSTITUTE(K122,";",REPT(" ",99)),298,99)),FIND(":",TRIM(MID(SUBSTITUTE(K122,";",REPT(" ",99)),298,99)))+1,999))-1),_Lookup!$A:$B,2,FALSE),"?")&amp;"×"&amp;LEFT(MID(MID(TRIM(MID(SUBSTITUTE(K122,";",REPT(" ",99)),298,99)),FIND(":",TRIM(MID(SUBSTITUTE(K122,";",REPT(" ",99)),298,99)))+1,999),FIND(":",MID(TRIM(MID(SUBSTITUTE(K122,";",REPT(" ",99)),298,99)),FIND(":",TRIM(MID(SUBSTITUTE(K122,";",REPT(" ",99)),298,99)))+1,999))+1,999),FIND(":",MID(MID(TRIM(MID(SUBSTITUTE(K122,";",REPT(" ",99)),298,99)),FIND(":",TRIM(MID(SUBSTITUTE(K122,";",REPT(" ",99)),298,99)))+1,999),FIND(":",MID(TRIM(MID(SUBSTITUTE(K122,";",REPT(" ",99)),298,99)),FIND(":",TRIM(MID(SUBSTITUTE(K122,";",REPT(" ",99)),298,99)))+1,999))+1,999))-1)),IF(TRIM(MID(SUBSTITUTE(K122,";",REPT(" ",99)),397,99))="","",IFERROR(VLOOKUP(--LEFT(MID(TRIM(MID(SUBSTITUTE(K122,";",REPT(" ",99)),397,99)),FIND(":",TRIM(MID(SUBSTITUTE(K122,";",REPT(" ",99)),397,99)))+1,999),FIND(":",MID(TRIM(MID(SUBSTITUTE(K122,";",REPT(" ",99)),397,99)),FIND(":",TRIM(MID(SUBSTITUTE(K122,";",REPT(" ",99)),397,99)))+1,999))-1),_Lookup!$A:$B,2,FALSE),"?")&amp;"×"&amp;LEFT(MID(MID(TRIM(MID(SUBSTITUTE(K122,";",REPT(" ",99)),397,99)),FIND(":",TRIM(MID(SUBSTITUTE(K122,";",REPT(" ",99)),397,99)))+1,999),FIND(":",MID(TRIM(MID(SUBSTITUTE(K122,";",REPT(" ",99)),397,99)),FIND(":",TRIM(MID(SUBSTITUTE(K122,";",REPT(" ",99)),397,99)))+1,999))+1,999),FIND(":",MID(MID(TRIM(MID(SUBSTITUTE(K122,";",REPT(" ",99)),397,99)),FIND(":",TRIM(MID(SUBSTITUTE(K122,";",REPT(" ",99)),397,99)))+1,999),FIND(":",MID(TRIM(MID(SUBSTITUTE(K122,";",REPT(" ",99)),397,99)),FIND(":",TRIM(MID(SUBSTITUTE(K122,";",REPT(" ",99)),397,99)))+1,999))+1,999))-1))))</f>
        <v/>
      </c>
    </row>
    <row r="123">
      <c r="D123" s="11">
        <f>IFERROR(VLOOKUP(C123,ItemData_Fish!$A:$B,2,FALSE),"")</f>
        <v/>
      </c>
      <c r="L123" s="11">
        <f>IF(K123="","",TEXTJOIN("; ",TRUE,IF(TRIM(MID(SUBSTITUTE(K123,";",REPT(" ",99)),1,99))="","",IFERROR(VLOOKUP(--LEFT(MID(TRIM(MID(SUBSTITUTE(K123,";",REPT(" ",99)),1,99)),FIND(":",TRIM(MID(SUBSTITUTE(K123,";",REPT(" ",99)),1,99)))+1,999),FIND(":",MID(TRIM(MID(SUBSTITUTE(K123,";",REPT(" ",99)),1,99)),FIND(":",TRIM(MID(SUBSTITUTE(K123,";",REPT(" ",99)),1,99)))+1,999))-1),_Lookup!$A:$B,2,FALSE),"?")&amp;"×"&amp;LEFT(MID(MID(TRIM(MID(SUBSTITUTE(K123,";",REPT(" ",99)),1,99)),FIND(":",TRIM(MID(SUBSTITUTE(K123,";",REPT(" ",99)),1,99)))+1,999),FIND(":",MID(TRIM(MID(SUBSTITUTE(K123,";",REPT(" ",99)),1,99)),FIND(":",TRIM(MID(SUBSTITUTE(K123,";",REPT(" ",99)),1,99)))+1,999))+1,999),FIND(":",MID(MID(TRIM(MID(SUBSTITUTE(K123,";",REPT(" ",99)),1,99)),FIND(":",TRIM(MID(SUBSTITUTE(K123,";",REPT(" ",99)),1,99)))+1,999),FIND(":",MID(TRIM(MID(SUBSTITUTE(K123,";",REPT(" ",99)),1,99)),FIND(":",TRIM(MID(SUBSTITUTE(K123,";",REPT(" ",99)),1,99)))+1,999))+1,999))-1)),IF(TRIM(MID(SUBSTITUTE(K123,";",REPT(" ",99)),100,99))="","",IFERROR(VLOOKUP(--LEFT(MID(TRIM(MID(SUBSTITUTE(K123,";",REPT(" ",99)),100,99)),FIND(":",TRIM(MID(SUBSTITUTE(K123,";",REPT(" ",99)),100,99)))+1,999),FIND(":",MID(TRIM(MID(SUBSTITUTE(K123,";",REPT(" ",99)),100,99)),FIND(":",TRIM(MID(SUBSTITUTE(K123,";",REPT(" ",99)),100,99)))+1,999))-1),_Lookup!$A:$B,2,FALSE),"?")&amp;"×"&amp;LEFT(MID(MID(TRIM(MID(SUBSTITUTE(K123,";",REPT(" ",99)),100,99)),FIND(":",TRIM(MID(SUBSTITUTE(K123,";",REPT(" ",99)),100,99)))+1,999),FIND(":",MID(TRIM(MID(SUBSTITUTE(K123,";",REPT(" ",99)),100,99)),FIND(":",TRIM(MID(SUBSTITUTE(K123,";",REPT(" ",99)),100,99)))+1,999))+1,999),FIND(":",MID(MID(TRIM(MID(SUBSTITUTE(K123,";",REPT(" ",99)),100,99)),FIND(":",TRIM(MID(SUBSTITUTE(K123,";",REPT(" ",99)),100,99)))+1,999),FIND(":",MID(TRIM(MID(SUBSTITUTE(K123,";",REPT(" ",99)),100,99)),FIND(":",TRIM(MID(SUBSTITUTE(K123,";",REPT(" ",99)),100,99)))+1,999))+1,999))-1)),IF(TRIM(MID(SUBSTITUTE(K123,";",REPT(" ",99)),199,99))="","",IFERROR(VLOOKUP(--LEFT(MID(TRIM(MID(SUBSTITUTE(K123,";",REPT(" ",99)),199,99)),FIND(":",TRIM(MID(SUBSTITUTE(K123,";",REPT(" ",99)),199,99)))+1,999),FIND(":",MID(TRIM(MID(SUBSTITUTE(K123,";",REPT(" ",99)),199,99)),FIND(":",TRIM(MID(SUBSTITUTE(K123,";",REPT(" ",99)),199,99)))+1,999))-1),_Lookup!$A:$B,2,FALSE),"?")&amp;"×"&amp;LEFT(MID(MID(TRIM(MID(SUBSTITUTE(K123,";",REPT(" ",99)),199,99)),FIND(":",TRIM(MID(SUBSTITUTE(K123,";",REPT(" ",99)),199,99)))+1,999),FIND(":",MID(TRIM(MID(SUBSTITUTE(K123,";",REPT(" ",99)),199,99)),FIND(":",TRIM(MID(SUBSTITUTE(K123,";",REPT(" ",99)),199,99)))+1,999))+1,999),FIND(":",MID(MID(TRIM(MID(SUBSTITUTE(K123,";",REPT(" ",99)),199,99)),FIND(":",TRIM(MID(SUBSTITUTE(K123,";",REPT(" ",99)),199,99)))+1,999),FIND(":",MID(TRIM(MID(SUBSTITUTE(K123,";",REPT(" ",99)),199,99)),FIND(":",TRIM(MID(SUBSTITUTE(K123,";",REPT(" ",99)),199,99)))+1,999))+1,999))-1)),IF(TRIM(MID(SUBSTITUTE(K123,";",REPT(" ",99)),298,99))="","",IFERROR(VLOOKUP(--LEFT(MID(TRIM(MID(SUBSTITUTE(K123,";",REPT(" ",99)),298,99)),FIND(":",TRIM(MID(SUBSTITUTE(K123,";",REPT(" ",99)),298,99)))+1,999),FIND(":",MID(TRIM(MID(SUBSTITUTE(K123,";",REPT(" ",99)),298,99)),FIND(":",TRIM(MID(SUBSTITUTE(K123,";",REPT(" ",99)),298,99)))+1,999))-1),_Lookup!$A:$B,2,FALSE),"?")&amp;"×"&amp;LEFT(MID(MID(TRIM(MID(SUBSTITUTE(K123,";",REPT(" ",99)),298,99)),FIND(":",TRIM(MID(SUBSTITUTE(K123,";",REPT(" ",99)),298,99)))+1,999),FIND(":",MID(TRIM(MID(SUBSTITUTE(K123,";",REPT(" ",99)),298,99)),FIND(":",TRIM(MID(SUBSTITUTE(K123,";",REPT(" ",99)),298,99)))+1,999))+1,999),FIND(":",MID(MID(TRIM(MID(SUBSTITUTE(K123,";",REPT(" ",99)),298,99)),FIND(":",TRIM(MID(SUBSTITUTE(K123,";",REPT(" ",99)),298,99)))+1,999),FIND(":",MID(TRIM(MID(SUBSTITUTE(K123,";",REPT(" ",99)),298,99)),FIND(":",TRIM(MID(SUBSTITUTE(K123,";",REPT(" ",99)),298,99)))+1,999))+1,999))-1)),IF(TRIM(MID(SUBSTITUTE(K123,";",REPT(" ",99)),397,99))="","",IFERROR(VLOOKUP(--LEFT(MID(TRIM(MID(SUBSTITUTE(K123,";",REPT(" ",99)),397,99)),FIND(":",TRIM(MID(SUBSTITUTE(K123,";",REPT(" ",99)),397,99)))+1,999),FIND(":",MID(TRIM(MID(SUBSTITUTE(K123,";",REPT(" ",99)),397,99)),FIND(":",TRIM(MID(SUBSTITUTE(K123,";",REPT(" ",99)),397,99)))+1,999))-1),_Lookup!$A:$B,2,FALSE),"?")&amp;"×"&amp;LEFT(MID(MID(TRIM(MID(SUBSTITUTE(K123,";",REPT(" ",99)),397,99)),FIND(":",TRIM(MID(SUBSTITUTE(K123,";",REPT(" ",99)),397,99)))+1,999),FIND(":",MID(TRIM(MID(SUBSTITUTE(K123,";",REPT(" ",99)),397,99)),FIND(":",TRIM(MID(SUBSTITUTE(K123,";",REPT(" ",99)),397,99)))+1,999))+1,999),FIND(":",MID(MID(TRIM(MID(SUBSTITUTE(K123,";",REPT(" ",99)),397,99)),FIND(":",TRIM(MID(SUBSTITUTE(K123,";",REPT(" ",99)),397,99)))+1,999),FIND(":",MID(TRIM(MID(SUBSTITUTE(K123,";",REPT(" ",99)),397,99)),FIND(":",TRIM(MID(SUBSTITUTE(K123,";",REPT(" ",99)),397,99)))+1,999))+1,999))-1))))</f>
        <v/>
      </c>
    </row>
    <row r="124">
      <c r="D124" s="11">
        <f>IFERROR(VLOOKUP(C124,ItemData_Fish!$A:$B,2,FALSE),"")</f>
        <v/>
      </c>
      <c r="L124" s="11">
        <f>IF(K124="","",TEXTJOIN("; ",TRUE,IF(TRIM(MID(SUBSTITUTE(K124,";",REPT(" ",99)),1,99))="","",IFERROR(VLOOKUP(--LEFT(MID(TRIM(MID(SUBSTITUTE(K124,";",REPT(" ",99)),1,99)),FIND(":",TRIM(MID(SUBSTITUTE(K124,";",REPT(" ",99)),1,99)))+1,999),FIND(":",MID(TRIM(MID(SUBSTITUTE(K124,";",REPT(" ",99)),1,99)),FIND(":",TRIM(MID(SUBSTITUTE(K124,";",REPT(" ",99)),1,99)))+1,999))-1),_Lookup!$A:$B,2,FALSE),"?")&amp;"×"&amp;LEFT(MID(MID(TRIM(MID(SUBSTITUTE(K124,";",REPT(" ",99)),1,99)),FIND(":",TRIM(MID(SUBSTITUTE(K124,";",REPT(" ",99)),1,99)))+1,999),FIND(":",MID(TRIM(MID(SUBSTITUTE(K124,";",REPT(" ",99)),1,99)),FIND(":",TRIM(MID(SUBSTITUTE(K124,";",REPT(" ",99)),1,99)))+1,999))+1,999),FIND(":",MID(MID(TRIM(MID(SUBSTITUTE(K124,";",REPT(" ",99)),1,99)),FIND(":",TRIM(MID(SUBSTITUTE(K124,";",REPT(" ",99)),1,99)))+1,999),FIND(":",MID(TRIM(MID(SUBSTITUTE(K124,";",REPT(" ",99)),1,99)),FIND(":",TRIM(MID(SUBSTITUTE(K124,";",REPT(" ",99)),1,99)))+1,999))+1,999))-1)),IF(TRIM(MID(SUBSTITUTE(K124,";",REPT(" ",99)),100,99))="","",IFERROR(VLOOKUP(--LEFT(MID(TRIM(MID(SUBSTITUTE(K124,";",REPT(" ",99)),100,99)),FIND(":",TRIM(MID(SUBSTITUTE(K124,";",REPT(" ",99)),100,99)))+1,999),FIND(":",MID(TRIM(MID(SUBSTITUTE(K124,";",REPT(" ",99)),100,99)),FIND(":",TRIM(MID(SUBSTITUTE(K124,";",REPT(" ",99)),100,99)))+1,999))-1),_Lookup!$A:$B,2,FALSE),"?")&amp;"×"&amp;LEFT(MID(MID(TRIM(MID(SUBSTITUTE(K124,";",REPT(" ",99)),100,99)),FIND(":",TRIM(MID(SUBSTITUTE(K124,";",REPT(" ",99)),100,99)))+1,999),FIND(":",MID(TRIM(MID(SUBSTITUTE(K124,";",REPT(" ",99)),100,99)),FIND(":",TRIM(MID(SUBSTITUTE(K124,";",REPT(" ",99)),100,99)))+1,999))+1,999),FIND(":",MID(MID(TRIM(MID(SUBSTITUTE(K124,";",REPT(" ",99)),100,99)),FIND(":",TRIM(MID(SUBSTITUTE(K124,";",REPT(" ",99)),100,99)))+1,999),FIND(":",MID(TRIM(MID(SUBSTITUTE(K124,";",REPT(" ",99)),100,99)),FIND(":",TRIM(MID(SUBSTITUTE(K124,";",REPT(" ",99)),100,99)))+1,999))+1,999))-1)),IF(TRIM(MID(SUBSTITUTE(K124,";",REPT(" ",99)),199,99))="","",IFERROR(VLOOKUP(--LEFT(MID(TRIM(MID(SUBSTITUTE(K124,";",REPT(" ",99)),199,99)),FIND(":",TRIM(MID(SUBSTITUTE(K124,";",REPT(" ",99)),199,99)))+1,999),FIND(":",MID(TRIM(MID(SUBSTITUTE(K124,";",REPT(" ",99)),199,99)),FIND(":",TRIM(MID(SUBSTITUTE(K124,";",REPT(" ",99)),199,99)))+1,999))-1),_Lookup!$A:$B,2,FALSE),"?")&amp;"×"&amp;LEFT(MID(MID(TRIM(MID(SUBSTITUTE(K124,";",REPT(" ",99)),199,99)),FIND(":",TRIM(MID(SUBSTITUTE(K124,";",REPT(" ",99)),199,99)))+1,999),FIND(":",MID(TRIM(MID(SUBSTITUTE(K124,";",REPT(" ",99)),199,99)),FIND(":",TRIM(MID(SUBSTITUTE(K124,";",REPT(" ",99)),199,99)))+1,999))+1,999),FIND(":",MID(MID(TRIM(MID(SUBSTITUTE(K124,";",REPT(" ",99)),199,99)),FIND(":",TRIM(MID(SUBSTITUTE(K124,";",REPT(" ",99)),199,99)))+1,999),FIND(":",MID(TRIM(MID(SUBSTITUTE(K124,";",REPT(" ",99)),199,99)),FIND(":",TRIM(MID(SUBSTITUTE(K124,";",REPT(" ",99)),199,99)))+1,999))+1,999))-1)),IF(TRIM(MID(SUBSTITUTE(K124,";",REPT(" ",99)),298,99))="","",IFERROR(VLOOKUP(--LEFT(MID(TRIM(MID(SUBSTITUTE(K124,";",REPT(" ",99)),298,99)),FIND(":",TRIM(MID(SUBSTITUTE(K124,";",REPT(" ",99)),298,99)))+1,999),FIND(":",MID(TRIM(MID(SUBSTITUTE(K124,";",REPT(" ",99)),298,99)),FIND(":",TRIM(MID(SUBSTITUTE(K124,";",REPT(" ",99)),298,99)))+1,999))-1),_Lookup!$A:$B,2,FALSE),"?")&amp;"×"&amp;LEFT(MID(MID(TRIM(MID(SUBSTITUTE(K124,";",REPT(" ",99)),298,99)),FIND(":",TRIM(MID(SUBSTITUTE(K124,";",REPT(" ",99)),298,99)))+1,999),FIND(":",MID(TRIM(MID(SUBSTITUTE(K124,";",REPT(" ",99)),298,99)),FIND(":",TRIM(MID(SUBSTITUTE(K124,";",REPT(" ",99)),298,99)))+1,999))+1,999),FIND(":",MID(MID(TRIM(MID(SUBSTITUTE(K124,";",REPT(" ",99)),298,99)),FIND(":",TRIM(MID(SUBSTITUTE(K124,";",REPT(" ",99)),298,99)))+1,999),FIND(":",MID(TRIM(MID(SUBSTITUTE(K124,";",REPT(" ",99)),298,99)),FIND(":",TRIM(MID(SUBSTITUTE(K124,";",REPT(" ",99)),298,99)))+1,999))+1,999))-1)),IF(TRIM(MID(SUBSTITUTE(K124,";",REPT(" ",99)),397,99))="","",IFERROR(VLOOKUP(--LEFT(MID(TRIM(MID(SUBSTITUTE(K124,";",REPT(" ",99)),397,99)),FIND(":",TRIM(MID(SUBSTITUTE(K124,";",REPT(" ",99)),397,99)))+1,999),FIND(":",MID(TRIM(MID(SUBSTITUTE(K124,";",REPT(" ",99)),397,99)),FIND(":",TRIM(MID(SUBSTITUTE(K124,";",REPT(" ",99)),397,99)))+1,999))-1),_Lookup!$A:$B,2,FALSE),"?")&amp;"×"&amp;LEFT(MID(MID(TRIM(MID(SUBSTITUTE(K124,";",REPT(" ",99)),397,99)),FIND(":",TRIM(MID(SUBSTITUTE(K124,";",REPT(" ",99)),397,99)))+1,999),FIND(":",MID(TRIM(MID(SUBSTITUTE(K124,";",REPT(" ",99)),397,99)),FIND(":",TRIM(MID(SUBSTITUTE(K124,";",REPT(" ",99)),397,99)))+1,999))+1,999),FIND(":",MID(MID(TRIM(MID(SUBSTITUTE(K124,";",REPT(" ",99)),397,99)),FIND(":",TRIM(MID(SUBSTITUTE(K124,";",REPT(" ",99)),397,99)))+1,999),FIND(":",MID(TRIM(MID(SUBSTITUTE(K124,";",REPT(" ",99)),397,99)),FIND(":",TRIM(MID(SUBSTITUTE(K124,";",REPT(" ",99)),397,99)))+1,999))+1,999))-1))))</f>
        <v/>
      </c>
    </row>
    <row r="125">
      <c r="D125" s="11">
        <f>IFERROR(VLOOKUP(C125,ItemData_Fish!$A:$B,2,FALSE),"")</f>
        <v/>
      </c>
      <c r="L125" s="11">
        <f>IF(K125="","",TEXTJOIN("; ",TRUE,IF(TRIM(MID(SUBSTITUTE(K125,";",REPT(" ",99)),1,99))="","",IFERROR(VLOOKUP(--LEFT(MID(TRIM(MID(SUBSTITUTE(K125,";",REPT(" ",99)),1,99)),FIND(":",TRIM(MID(SUBSTITUTE(K125,";",REPT(" ",99)),1,99)))+1,999),FIND(":",MID(TRIM(MID(SUBSTITUTE(K125,";",REPT(" ",99)),1,99)),FIND(":",TRIM(MID(SUBSTITUTE(K125,";",REPT(" ",99)),1,99)))+1,999))-1),_Lookup!$A:$B,2,FALSE),"?")&amp;"×"&amp;LEFT(MID(MID(TRIM(MID(SUBSTITUTE(K125,";",REPT(" ",99)),1,99)),FIND(":",TRIM(MID(SUBSTITUTE(K125,";",REPT(" ",99)),1,99)))+1,999),FIND(":",MID(TRIM(MID(SUBSTITUTE(K125,";",REPT(" ",99)),1,99)),FIND(":",TRIM(MID(SUBSTITUTE(K125,";",REPT(" ",99)),1,99)))+1,999))+1,999),FIND(":",MID(MID(TRIM(MID(SUBSTITUTE(K125,";",REPT(" ",99)),1,99)),FIND(":",TRIM(MID(SUBSTITUTE(K125,";",REPT(" ",99)),1,99)))+1,999),FIND(":",MID(TRIM(MID(SUBSTITUTE(K125,";",REPT(" ",99)),1,99)),FIND(":",TRIM(MID(SUBSTITUTE(K125,";",REPT(" ",99)),1,99)))+1,999))+1,999))-1)),IF(TRIM(MID(SUBSTITUTE(K125,";",REPT(" ",99)),100,99))="","",IFERROR(VLOOKUP(--LEFT(MID(TRIM(MID(SUBSTITUTE(K125,";",REPT(" ",99)),100,99)),FIND(":",TRIM(MID(SUBSTITUTE(K125,";",REPT(" ",99)),100,99)))+1,999),FIND(":",MID(TRIM(MID(SUBSTITUTE(K125,";",REPT(" ",99)),100,99)),FIND(":",TRIM(MID(SUBSTITUTE(K125,";",REPT(" ",99)),100,99)))+1,999))-1),_Lookup!$A:$B,2,FALSE),"?")&amp;"×"&amp;LEFT(MID(MID(TRIM(MID(SUBSTITUTE(K125,";",REPT(" ",99)),100,99)),FIND(":",TRIM(MID(SUBSTITUTE(K125,";",REPT(" ",99)),100,99)))+1,999),FIND(":",MID(TRIM(MID(SUBSTITUTE(K125,";",REPT(" ",99)),100,99)),FIND(":",TRIM(MID(SUBSTITUTE(K125,";",REPT(" ",99)),100,99)))+1,999))+1,999),FIND(":",MID(MID(TRIM(MID(SUBSTITUTE(K125,";",REPT(" ",99)),100,99)),FIND(":",TRIM(MID(SUBSTITUTE(K125,";",REPT(" ",99)),100,99)))+1,999),FIND(":",MID(TRIM(MID(SUBSTITUTE(K125,";",REPT(" ",99)),100,99)),FIND(":",TRIM(MID(SUBSTITUTE(K125,";",REPT(" ",99)),100,99)))+1,999))+1,999))-1)),IF(TRIM(MID(SUBSTITUTE(K125,";",REPT(" ",99)),199,99))="","",IFERROR(VLOOKUP(--LEFT(MID(TRIM(MID(SUBSTITUTE(K125,";",REPT(" ",99)),199,99)),FIND(":",TRIM(MID(SUBSTITUTE(K125,";",REPT(" ",99)),199,99)))+1,999),FIND(":",MID(TRIM(MID(SUBSTITUTE(K125,";",REPT(" ",99)),199,99)),FIND(":",TRIM(MID(SUBSTITUTE(K125,";",REPT(" ",99)),199,99)))+1,999))-1),_Lookup!$A:$B,2,FALSE),"?")&amp;"×"&amp;LEFT(MID(MID(TRIM(MID(SUBSTITUTE(K125,";",REPT(" ",99)),199,99)),FIND(":",TRIM(MID(SUBSTITUTE(K125,";",REPT(" ",99)),199,99)))+1,999),FIND(":",MID(TRIM(MID(SUBSTITUTE(K125,";",REPT(" ",99)),199,99)),FIND(":",TRIM(MID(SUBSTITUTE(K125,";",REPT(" ",99)),199,99)))+1,999))+1,999),FIND(":",MID(MID(TRIM(MID(SUBSTITUTE(K125,";",REPT(" ",99)),199,99)),FIND(":",TRIM(MID(SUBSTITUTE(K125,";",REPT(" ",99)),199,99)))+1,999),FIND(":",MID(TRIM(MID(SUBSTITUTE(K125,";",REPT(" ",99)),199,99)),FIND(":",TRIM(MID(SUBSTITUTE(K125,";",REPT(" ",99)),199,99)))+1,999))+1,999))-1)),IF(TRIM(MID(SUBSTITUTE(K125,";",REPT(" ",99)),298,99))="","",IFERROR(VLOOKUP(--LEFT(MID(TRIM(MID(SUBSTITUTE(K125,";",REPT(" ",99)),298,99)),FIND(":",TRIM(MID(SUBSTITUTE(K125,";",REPT(" ",99)),298,99)))+1,999),FIND(":",MID(TRIM(MID(SUBSTITUTE(K125,";",REPT(" ",99)),298,99)),FIND(":",TRIM(MID(SUBSTITUTE(K125,";",REPT(" ",99)),298,99)))+1,999))-1),_Lookup!$A:$B,2,FALSE),"?")&amp;"×"&amp;LEFT(MID(MID(TRIM(MID(SUBSTITUTE(K125,";",REPT(" ",99)),298,99)),FIND(":",TRIM(MID(SUBSTITUTE(K125,";",REPT(" ",99)),298,99)))+1,999),FIND(":",MID(TRIM(MID(SUBSTITUTE(K125,";",REPT(" ",99)),298,99)),FIND(":",TRIM(MID(SUBSTITUTE(K125,";",REPT(" ",99)),298,99)))+1,999))+1,999),FIND(":",MID(MID(TRIM(MID(SUBSTITUTE(K125,";",REPT(" ",99)),298,99)),FIND(":",TRIM(MID(SUBSTITUTE(K125,";",REPT(" ",99)),298,99)))+1,999),FIND(":",MID(TRIM(MID(SUBSTITUTE(K125,";",REPT(" ",99)),298,99)),FIND(":",TRIM(MID(SUBSTITUTE(K125,";",REPT(" ",99)),298,99)))+1,999))+1,999))-1)),IF(TRIM(MID(SUBSTITUTE(K125,";",REPT(" ",99)),397,99))="","",IFERROR(VLOOKUP(--LEFT(MID(TRIM(MID(SUBSTITUTE(K125,";",REPT(" ",99)),397,99)),FIND(":",TRIM(MID(SUBSTITUTE(K125,";",REPT(" ",99)),397,99)))+1,999),FIND(":",MID(TRIM(MID(SUBSTITUTE(K125,";",REPT(" ",99)),397,99)),FIND(":",TRIM(MID(SUBSTITUTE(K125,";",REPT(" ",99)),397,99)))+1,999))-1),_Lookup!$A:$B,2,FALSE),"?")&amp;"×"&amp;LEFT(MID(MID(TRIM(MID(SUBSTITUTE(K125,";",REPT(" ",99)),397,99)),FIND(":",TRIM(MID(SUBSTITUTE(K125,";",REPT(" ",99)),397,99)))+1,999),FIND(":",MID(TRIM(MID(SUBSTITUTE(K125,";",REPT(" ",99)),397,99)),FIND(":",TRIM(MID(SUBSTITUTE(K125,";",REPT(" ",99)),397,99)))+1,999))+1,999),FIND(":",MID(MID(TRIM(MID(SUBSTITUTE(K125,";",REPT(" ",99)),397,99)),FIND(":",TRIM(MID(SUBSTITUTE(K125,";",REPT(" ",99)),397,99)))+1,999),FIND(":",MID(TRIM(MID(SUBSTITUTE(K125,";",REPT(" ",99)),397,99)),FIND(":",TRIM(MID(SUBSTITUTE(K125,";",REPT(" ",99)),397,99)))+1,999))+1,999))-1))))</f>
        <v/>
      </c>
    </row>
    <row r="126">
      <c r="D126" s="11">
        <f>IFERROR(VLOOKUP(C126,ItemData_Fish!$A:$B,2,FALSE),"")</f>
        <v/>
      </c>
      <c r="L126" s="11">
        <f>IF(K126="","",TEXTJOIN("; ",TRUE,IF(TRIM(MID(SUBSTITUTE(K126,";",REPT(" ",99)),1,99))="","",IFERROR(VLOOKUP(--LEFT(MID(TRIM(MID(SUBSTITUTE(K126,";",REPT(" ",99)),1,99)),FIND(":",TRIM(MID(SUBSTITUTE(K126,";",REPT(" ",99)),1,99)))+1,999),FIND(":",MID(TRIM(MID(SUBSTITUTE(K126,";",REPT(" ",99)),1,99)),FIND(":",TRIM(MID(SUBSTITUTE(K126,";",REPT(" ",99)),1,99)))+1,999))-1),_Lookup!$A:$B,2,FALSE),"?")&amp;"×"&amp;LEFT(MID(MID(TRIM(MID(SUBSTITUTE(K126,";",REPT(" ",99)),1,99)),FIND(":",TRIM(MID(SUBSTITUTE(K126,";",REPT(" ",99)),1,99)))+1,999),FIND(":",MID(TRIM(MID(SUBSTITUTE(K126,";",REPT(" ",99)),1,99)),FIND(":",TRIM(MID(SUBSTITUTE(K126,";",REPT(" ",99)),1,99)))+1,999))+1,999),FIND(":",MID(MID(TRIM(MID(SUBSTITUTE(K126,";",REPT(" ",99)),1,99)),FIND(":",TRIM(MID(SUBSTITUTE(K126,";",REPT(" ",99)),1,99)))+1,999),FIND(":",MID(TRIM(MID(SUBSTITUTE(K126,";",REPT(" ",99)),1,99)),FIND(":",TRIM(MID(SUBSTITUTE(K126,";",REPT(" ",99)),1,99)))+1,999))+1,999))-1)),IF(TRIM(MID(SUBSTITUTE(K126,";",REPT(" ",99)),100,99))="","",IFERROR(VLOOKUP(--LEFT(MID(TRIM(MID(SUBSTITUTE(K126,";",REPT(" ",99)),100,99)),FIND(":",TRIM(MID(SUBSTITUTE(K126,";",REPT(" ",99)),100,99)))+1,999),FIND(":",MID(TRIM(MID(SUBSTITUTE(K126,";",REPT(" ",99)),100,99)),FIND(":",TRIM(MID(SUBSTITUTE(K126,";",REPT(" ",99)),100,99)))+1,999))-1),_Lookup!$A:$B,2,FALSE),"?")&amp;"×"&amp;LEFT(MID(MID(TRIM(MID(SUBSTITUTE(K126,";",REPT(" ",99)),100,99)),FIND(":",TRIM(MID(SUBSTITUTE(K126,";",REPT(" ",99)),100,99)))+1,999),FIND(":",MID(TRIM(MID(SUBSTITUTE(K126,";",REPT(" ",99)),100,99)),FIND(":",TRIM(MID(SUBSTITUTE(K126,";",REPT(" ",99)),100,99)))+1,999))+1,999),FIND(":",MID(MID(TRIM(MID(SUBSTITUTE(K126,";",REPT(" ",99)),100,99)),FIND(":",TRIM(MID(SUBSTITUTE(K126,";",REPT(" ",99)),100,99)))+1,999),FIND(":",MID(TRIM(MID(SUBSTITUTE(K126,";",REPT(" ",99)),100,99)),FIND(":",TRIM(MID(SUBSTITUTE(K126,";",REPT(" ",99)),100,99)))+1,999))+1,999))-1)),IF(TRIM(MID(SUBSTITUTE(K126,";",REPT(" ",99)),199,99))="","",IFERROR(VLOOKUP(--LEFT(MID(TRIM(MID(SUBSTITUTE(K126,";",REPT(" ",99)),199,99)),FIND(":",TRIM(MID(SUBSTITUTE(K126,";",REPT(" ",99)),199,99)))+1,999),FIND(":",MID(TRIM(MID(SUBSTITUTE(K126,";",REPT(" ",99)),199,99)),FIND(":",TRIM(MID(SUBSTITUTE(K126,";",REPT(" ",99)),199,99)))+1,999))-1),_Lookup!$A:$B,2,FALSE),"?")&amp;"×"&amp;LEFT(MID(MID(TRIM(MID(SUBSTITUTE(K126,";",REPT(" ",99)),199,99)),FIND(":",TRIM(MID(SUBSTITUTE(K126,";",REPT(" ",99)),199,99)))+1,999),FIND(":",MID(TRIM(MID(SUBSTITUTE(K126,";",REPT(" ",99)),199,99)),FIND(":",TRIM(MID(SUBSTITUTE(K126,";",REPT(" ",99)),199,99)))+1,999))+1,999),FIND(":",MID(MID(TRIM(MID(SUBSTITUTE(K126,";",REPT(" ",99)),199,99)),FIND(":",TRIM(MID(SUBSTITUTE(K126,";",REPT(" ",99)),199,99)))+1,999),FIND(":",MID(TRIM(MID(SUBSTITUTE(K126,";",REPT(" ",99)),199,99)),FIND(":",TRIM(MID(SUBSTITUTE(K126,";",REPT(" ",99)),199,99)))+1,999))+1,999))-1)),IF(TRIM(MID(SUBSTITUTE(K126,";",REPT(" ",99)),298,99))="","",IFERROR(VLOOKUP(--LEFT(MID(TRIM(MID(SUBSTITUTE(K126,";",REPT(" ",99)),298,99)),FIND(":",TRIM(MID(SUBSTITUTE(K126,";",REPT(" ",99)),298,99)))+1,999),FIND(":",MID(TRIM(MID(SUBSTITUTE(K126,";",REPT(" ",99)),298,99)),FIND(":",TRIM(MID(SUBSTITUTE(K126,";",REPT(" ",99)),298,99)))+1,999))-1),_Lookup!$A:$B,2,FALSE),"?")&amp;"×"&amp;LEFT(MID(MID(TRIM(MID(SUBSTITUTE(K126,";",REPT(" ",99)),298,99)),FIND(":",TRIM(MID(SUBSTITUTE(K126,";",REPT(" ",99)),298,99)))+1,999),FIND(":",MID(TRIM(MID(SUBSTITUTE(K126,";",REPT(" ",99)),298,99)),FIND(":",TRIM(MID(SUBSTITUTE(K126,";",REPT(" ",99)),298,99)))+1,999))+1,999),FIND(":",MID(MID(TRIM(MID(SUBSTITUTE(K126,";",REPT(" ",99)),298,99)),FIND(":",TRIM(MID(SUBSTITUTE(K126,";",REPT(" ",99)),298,99)))+1,999),FIND(":",MID(TRIM(MID(SUBSTITUTE(K126,";",REPT(" ",99)),298,99)),FIND(":",TRIM(MID(SUBSTITUTE(K126,";",REPT(" ",99)),298,99)))+1,999))+1,999))-1)),IF(TRIM(MID(SUBSTITUTE(K126,";",REPT(" ",99)),397,99))="","",IFERROR(VLOOKUP(--LEFT(MID(TRIM(MID(SUBSTITUTE(K126,";",REPT(" ",99)),397,99)),FIND(":",TRIM(MID(SUBSTITUTE(K126,";",REPT(" ",99)),397,99)))+1,999),FIND(":",MID(TRIM(MID(SUBSTITUTE(K126,";",REPT(" ",99)),397,99)),FIND(":",TRIM(MID(SUBSTITUTE(K126,";",REPT(" ",99)),397,99)))+1,999))-1),_Lookup!$A:$B,2,FALSE),"?")&amp;"×"&amp;LEFT(MID(MID(TRIM(MID(SUBSTITUTE(K126,";",REPT(" ",99)),397,99)),FIND(":",TRIM(MID(SUBSTITUTE(K126,";",REPT(" ",99)),397,99)))+1,999),FIND(":",MID(TRIM(MID(SUBSTITUTE(K126,";",REPT(" ",99)),397,99)),FIND(":",TRIM(MID(SUBSTITUTE(K126,";",REPT(" ",99)),397,99)))+1,999))+1,999),FIND(":",MID(MID(TRIM(MID(SUBSTITUTE(K126,";",REPT(" ",99)),397,99)),FIND(":",TRIM(MID(SUBSTITUTE(K126,";",REPT(" ",99)),397,99)))+1,999),FIND(":",MID(TRIM(MID(SUBSTITUTE(K126,";",REPT(" ",99)),397,99)),FIND(":",TRIM(MID(SUBSTITUTE(K126,";",REPT(" ",99)),397,99)))+1,999))+1,999))-1))))</f>
        <v/>
      </c>
    </row>
    <row r="127">
      <c r="D127" s="11">
        <f>IFERROR(VLOOKUP(C127,ItemData_Fish!$A:$B,2,FALSE),"")</f>
        <v/>
      </c>
      <c r="L127" s="11">
        <f>IF(K127="","",TEXTJOIN("; ",TRUE,IF(TRIM(MID(SUBSTITUTE(K127,";",REPT(" ",99)),1,99))="","",IFERROR(VLOOKUP(--LEFT(MID(TRIM(MID(SUBSTITUTE(K127,";",REPT(" ",99)),1,99)),FIND(":",TRIM(MID(SUBSTITUTE(K127,";",REPT(" ",99)),1,99)))+1,999),FIND(":",MID(TRIM(MID(SUBSTITUTE(K127,";",REPT(" ",99)),1,99)),FIND(":",TRIM(MID(SUBSTITUTE(K127,";",REPT(" ",99)),1,99)))+1,999))-1),_Lookup!$A:$B,2,FALSE),"?")&amp;"×"&amp;LEFT(MID(MID(TRIM(MID(SUBSTITUTE(K127,";",REPT(" ",99)),1,99)),FIND(":",TRIM(MID(SUBSTITUTE(K127,";",REPT(" ",99)),1,99)))+1,999),FIND(":",MID(TRIM(MID(SUBSTITUTE(K127,";",REPT(" ",99)),1,99)),FIND(":",TRIM(MID(SUBSTITUTE(K127,";",REPT(" ",99)),1,99)))+1,999))+1,999),FIND(":",MID(MID(TRIM(MID(SUBSTITUTE(K127,";",REPT(" ",99)),1,99)),FIND(":",TRIM(MID(SUBSTITUTE(K127,";",REPT(" ",99)),1,99)))+1,999),FIND(":",MID(TRIM(MID(SUBSTITUTE(K127,";",REPT(" ",99)),1,99)),FIND(":",TRIM(MID(SUBSTITUTE(K127,";",REPT(" ",99)),1,99)))+1,999))+1,999))-1)),IF(TRIM(MID(SUBSTITUTE(K127,";",REPT(" ",99)),100,99))="","",IFERROR(VLOOKUP(--LEFT(MID(TRIM(MID(SUBSTITUTE(K127,";",REPT(" ",99)),100,99)),FIND(":",TRIM(MID(SUBSTITUTE(K127,";",REPT(" ",99)),100,99)))+1,999),FIND(":",MID(TRIM(MID(SUBSTITUTE(K127,";",REPT(" ",99)),100,99)),FIND(":",TRIM(MID(SUBSTITUTE(K127,";",REPT(" ",99)),100,99)))+1,999))-1),_Lookup!$A:$B,2,FALSE),"?")&amp;"×"&amp;LEFT(MID(MID(TRIM(MID(SUBSTITUTE(K127,";",REPT(" ",99)),100,99)),FIND(":",TRIM(MID(SUBSTITUTE(K127,";",REPT(" ",99)),100,99)))+1,999),FIND(":",MID(TRIM(MID(SUBSTITUTE(K127,";",REPT(" ",99)),100,99)),FIND(":",TRIM(MID(SUBSTITUTE(K127,";",REPT(" ",99)),100,99)))+1,999))+1,999),FIND(":",MID(MID(TRIM(MID(SUBSTITUTE(K127,";",REPT(" ",99)),100,99)),FIND(":",TRIM(MID(SUBSTITUTE(K127,";",REPT(" ",99)),100,99)))+1,999),FIND(":",MID(TRIM(MID(SUBSTITUTE(K127,";",REPT(" ",99)),100,99)),FIND(":",TRIM(MID(SUBSTITUTE(K127,";",REPT(" ",99)),100,99)))+1,999))+1,999))-1)),IF(TRIM(MID(SUBSTITUTE(K127,";",REPT(" ",99)),199,99))="","",IFERROR(VLOOKUP(--LEFT(MID(TRIM(MID(SUBSTITUTE(K127,";",REPT(" ",99)),199,99)),FIND(":",TRIM(MID(SUBSTITUTE(K127,";",REPT(" ",99)),199,99)))+1,999),FIND(":",MID(TRIM(MID(SUBSTITUTE(K127,";",REPT(" ",99)),199,99)),FIND(":",TRIM(MID(SUBSTITUTE(K127,";",REPT(" ",99)),199,99)))+1,999))-1),_Lookup!$A:$B,2,FALSE),"?")&amp;"×"&amp;LEFT(MID(MID(TRIM(MID(SUBSTITUTE(K127,";",REPT(" ",99)),199,99)),FIND(":",TRIM(MID(SUBSTITUTE(K127,";",REPT(" ",99)),199,99)))+1,999),FIND(":",MID(TRIM(MID(SUBSTITUTE(K127,";",REPT(" ",99)),199,99)),FIND(":",TRIM(MID(SUBSTITUTE(K127,";",REPT(" ",99)),199,99)))+1,999))+1,999),FIND(":",MID(MID(TRIM(MID(SUBSTITUTE(K127,";",REPT(" ",99)),199,99)),FIND(":",TRIM(MID(SUBSTITUTE(K127,";",REPT(" ",99)),199,99)))+1,999),FIND(":",MID(TRIM(MID(SUBSTITUTE(K127,";",REPT(" ",99)),199,99)),FIND(":",TRIM(MID(SUBSTITUTE(K127,";",REPT(" ",99)),199,99)))+1,999))+1,999))-1)),IF(TRIM(MID(SUBSTITUTE(K127,";",REPT(" ",99)),298,99))="","",IFERROR(VLOOKUP(--LEFT(MID(TRIM(MID(SUBSTITUTE(K127,";",REPT(" ",99)),298,99)),FIND(":",TRIM(MID(SUBSTITUTE(K127,";",REPT(" ",99)),298,99)))+1,999),FIND(":",MID(TRIM(MID(SUBSTITUTE(K127,";",REPT(" ",99)),298,99)),FIND(":",TRIM(MID(SUBSTITUTE(K127,";",REPT(" ",99)),298,99)))+1,999))-1),_Lookup!$A:$B,2,FALSE),"?")&amp;"×"&amp;LEFT(MID(MID(TRIM(MID(SUBSTITUTE(K127,";",REPT(" ",99)),298,99)),FIND(":",TRIM(MID(SUBSTITUTE(K127,";",REPT(" ",99)),298,99)))+1,999),FIND(":",MID(TRIM(MID(SUBSTITUTE(K127,";",REPT(" ",99)),298,99)),FIND(":",TRIM(MID(SUBSTITUTE(K127,";",REPT(" ",99)),298,99)))+1,999))+1,999),FIND(":",MID(MID(TRIM(MID(SUBSTITUTE(K127,";",REPT(" ",99)),298,99)),FIND(":",TRIM(MID(SUBSTITUTE(K127,";",REPT(" ",99)),298,99)))+1,999),FIND(":",MID(TRIM(MID(SUBSTITUTE(K127,";",REPT(" ",99)),298,99)),FIND(":",TRIM(MID(SUBSTITUTE(K127,";",REPT(" ",99)),298,99)))+1,999))+1,999))-1)),IF(TRIM(MID(SUBSTITUTE(K127,";",REPT(" ",99)),397,99))="","",IFERROR(VLOOKUP(--LEFT(MID(TRIM(MID(SUBSTITUTE(K127,";",REPT(" ",99)),397,99)),FIND(":",TRIM(MID(SUBSTITUTE(K127,";",REPT(" ",99)),397,99)))+1,999),FIND(":",MID(TRIM(MID(SUBSTITUTE(K127,";",REPT(" ",99)),397,99)),FIND(":",TRIM(MID(SUBSTITUTE(K127,";",REPT(" ",99)),397,99)))+1,999))-1),_Lookup!$A:$B,2,FALSE),"?")&amp;"×"&amp;LEFT(MID(MID(TRIM(MID(SUBSTITUTE(K127,";",REPT(" ",99)),397,99)),FIND(":",TRIM(MID(SUBSTITUTE(K127,";",REPT(" ",99)),397,99)))+1,999),FIND(":",MID(TRIM(MID(SUBSTITUTE(K127,";",REPT(" ",99)),397,99)),FIND(":",TRIM(MID(SUBSTITUTE(K127,";",REPT(" ",99)),397,99)))+1,999))+1,999),FIND(":",MID(MID(TRIM(MID(SUBSTITUTE(K127,";",REPT(" ",99)),397,99)),FIND(":",TRIM(MID(SUBSTITUTE(K127,";",REPT(" ",99)),397,99)))+1,999),FIND(":",MID(TRIM(MID(SUBSTITUTE(K127,";",REPT(" ",99)),397,99)),FIND(":",TRIM(MID(SUBSTITUTE(K127,";",REPT(" ",99)),397,99)))+1,999))+1,999))-1))))</f>
        <v/>
      </c>
    </row>
    <row r="128">
      <c r="D128" s="11">
        <f>IFERROR(VLOOKUP(C128,ItemData_Fish!$A:$B,2,FALSE),"")</f>
        <v/>
      </c>
      <c r="L128" s="11">
        <f>IF(K128="","",TEXTJOIN("; ",TRUE,IF(TRIM(MID(SUBSTITUTE(K128,";",REPT(" ",99)),1,99))="","",IFERROR(VLOOKUP(--LEFT(MID(TRIM(MID(SUBSTITUTE(K128,";",REPT(" ",99)),1,99)),FIND(":",TRIM(MID(SUBSTITUTE(K128,";",REPT(" ",99)),1,99)))+1,999),FIND(":",MID(TRIM(MID(SUBSTITUTE(K128,";",REPT(" ",99)),1,99)),FIND(":",TRIM(MID(SUBSTITUTE(K128,";",REPT(" ",99)),1,99)))+1,999))-1),_Lookup!$A:$B,2,FALSE),"?")&amp;"×"&amp;LEFT(MID(MID(TRIM(MID(SUBSTITUTE(K128,";",REPT(" ",99)),1,99)),FIND(":",TRIM(MID(SUBSTITUTE(K128,";",REPT(" ",99)),1,99)))+1,999),FIND(":",MID(TRIM(MID(SUBSTITUTE(K128,";",REPT(" ",99)),1,99)),FIND(":",TRIM(MID(SUBSTITUTE(K128,";",REPT(" ",99)),1,99)))+1,999))+1,999),FIND(":",MID(MID(TRIM(MID(SUBSTITUTE(K128,";",REPT(" ",99)),1,99)),FIND(":",TRIM(MID(SUBSTITUTE(K128,";",REPT(" ",99)),1,99)))+1,999),FIND(":",MID(TRIM(MID(SUBSTITUTE(K128,";",REPT(" ",99)),1,99)),FIND(":",TRIM(MID(SUBSTITUTE(K128,";",REPT(" ",99)),1,99)))+1,999))+1,999))-1)),IF(TRIM(MID(SUBSTITUTE(K128,";",REPT(" ",99)),100,99))="","",IFERROR(VLOOKUP(--LEFT(MID(TRIM(MID(SUBSTITUTE(K128,";",REPT(" ",99)),100,99)),FIND(":",TRIM(MID(SUBSTITUTE(K128,";",REPT(" ",99)),100,99)))+1,999),FIND(":",MID(TRIM(MID(SUBSTITUTE(K128,";",REPT(" ",99)),100,99)),FIND(":",TRIM(MID(SUBSTITUTE(K128,";",REPT(" ",99)),100,99)))+1,999))-1),_Lookup!$A:$B,2,FALSE),"?")&amp;"×"&amp;LEFT(MID(MID(TRIM(MID(SUBSTITUTE(K128,";",REPT(" ",99)),100,99)),FIND(":",TRIM(MID(SUBSTITUTE(K128,";",REPT(" ",99)),100,99)))+1,999),FIND(":",MID(TRIM(MID(SUBSTITUTE(K128,";",REPT(" ",99)),100,99)),FIND(":",TRIM(MID(SUBSTITUTE(K128,";",REPT(" ",99)),100,99)))+1,999))+1,999),FIND(":",MID(MID(TRIM(MID(SUBSTITUTE(K128,";",REPT(" ",99)),100,99)),FIND(":",TRIM(MID(SUBSTITUTE(K128,";",REPT(" ",99)),100,99)))+1,999),FIND(":",MID(TRIM(MID(SUBSTITUTE(K128,";",REPT(" ",99)),100,99)),FIND(":",TRIM(MID(SUBSTITUTE(K128,";",REPT(" ",99)),100,99)))+1,999))+1,999))-1)),IF(TRIM(MID(SUBSTITUTE(K128,";",REPT(" ",99)),199,99))="","",IFERROR(VLOOKUP(--LEFT(MID(TRIM(MID(SUBSTITUTE(K128,";",REPT(" ",99)),199,99)),FIND(":",TRIM(MID(SUBSTITUTE(K128,";",REPT(" ",99)),199,99)))+1,999),FIND(":",MID(TRIM(MID(SUBSTITUTE(K128,";",REPT(" ",99)),199,99)),FIND(":",TRIM(MID(SUBSTITUTE(K128,";",REPT(" ",99)),199,99)))+1,999))-1),_Lookup!$A:$B,2,FALSE),"?")&amp;"×"&amp;LEFT(MID(MID(TRIM(MID(SUBSTITUTE(K128,";",REPT(" ",99)),199,99)),FIND(":",TRIM(MID(SUBSTITUTE(K128,";",REPT(" ",99)),199,99)))+1,999),FIND(":",MID(TRIM(MID(SUBSTITUTE(K128,";",REPT(" ",99)),199,99)),FIND(":",TRIM(MID(SUBSTITUTE(K128,";",REPT(" ",99)),199,99)))+1,999))+1,999),FIND(":",MID(MID(TRIM(MID(SUBSTITUTE(K128,";",REPT(" ",99)),199,99)),FIND(":",TRIM(MID(SUBSTITUTE(K128,";",REPT(" ",99)),199,99)))+1,999),FIND(":",MID(TRIM(MID(SUBSTITUTE(K128,";",REPT(" ",99)),199,99)),FIND(":",TRIM(MID(SUBSTITUTE(K128,";",REPT(" ",99)),199,99)))+1,999))+1,999))-1)),IF(TRIM(MID(SUBSTITUTE(K128,";",REPT(" ",99)),298,99))="","",IFERROR(VLOOKUP(--LEFT(MID(TRIM(MID(SUBSTITUTE(K128,";",REPT(" ",99)),298,99)),FIND(":",TRIM(MID(SUBSTITUTE(K128,";",REPT(" ",99)),298,99)))+1,999),FIND(":",MID(TRIM(MID(SUBSTITUTE(K128,";",REPT(" ",99)),298,99)),FIND(":",TRIM(MID(SUBSTITUTE(K128,";",REPT(" ",99)),298,99)))+1,999))-1),_Lookup!$A:$B,2,FALSE),"?")&amp;"×"&amp;LEFT(MID(MID(TRIM(MID(SUBSTITUTE(K128,";",REPT(" ",99)),298,99)),FIND(":",TRIM(MID(SUBSTITUTE(K128,";",REPT(" ",99)),298,99)))+1,999),FIND(":",MID(TRIM(MID(SUBSTITUTE(K128,";",REPT(" ",99)),298,99)),FIND(":",TRIM(MID(SUBSTITUTE(K128,";",REPT(" ",99)),298,99)))+1,999))+1,999),FIND(":",MID(MID(TRIM(MID(SUBSTITUTE(K128,";",REPT(" ",99)),298,99)),FIND(":",TRIM(MID(SUBSTITUTE(K128,";",REPT(" ",99)),298,99)))+1,999),FIND(":",MID(TRIM(MID(SUBSTITUTE(K128,";",REPT(" ",99)),298,99)),FIND(":",TRIM(MID(SUBSTITUTE(K128,";",REPT(" ",99)),298,99)))+1,999))+1,999))-1)),IF(TRIM(MID(SUBSTITUTE(K128,";",REPT(" ",99)),397,99))="","",IFERROR(VLOOKUP(--LEFT(MID(TRIM(MID(SUBSTITUTE(K128,";",REPT(" ",99)),397,99)),FIND(":",TRIM(MID(SUBSTITUTE(K128,";",REPT(" ",99)),397,99)))+1,999),FIND(":",MID(TRIM(MID(SUBSTITUTE(K128,";",REPT(" ",99)),397,99)),FIND(":",TRIM(MID(SUBSTITUTE(K128,";",REPT(" ",99)),397,99)))+1,999))-1),_Lookup!$A:$B,2,FALSE),"?")&amp;"×"&amp;LEFT(MID(MID(TRIM(MID(SUBSTITUTE(K128,";",REPT(" ",99)),397,99)),FIND(":",TRIM(MID(SUBSTITUTE(K128,";",REPT(" ",99)),397,99)))+1,999),FIND(":",MID(TRIM(MID(SUBSTITUTE(K128,";",REPT(" ",99)),397,99)),FIND(":",TRIM(MID(SUBSTITUTE(K128,";",REPT(" ",99)),397,99)))+1,999))+1,999),FIND(":",MID(MID(TRIM(MID(SUBSTITUTE(K128,";",REPT(" ",99)),397,99)),FIND(":",TRIM(MID(SUBSTITUTE(K128,";",REPT(" ",99)),397,99)))+1,999),FIND(":",MID(TRIM(MID(SUBSTITUTE(K128,";",REPT(" ",99)),397,99)),FIND(":",TRIM(MID(SUBSTITUTE(K128,";",REPT(" ",99)),397,99)))+1,999))+1,999))-1))))</f>
        <v/>
      </c>
    </row>
    <row r="129">
      <c r="D129" s="11">
        <f>IFERROR(VLOOKUP(C129,ItemData_Fish!$A:$B,2,FALSE),"")</f>
        <v/>
      </c>
      <c r="L129" s="11">
        <f>IF(K129="","",TEXTJOIN("; ",TRUE,IF(TRIM(MID(SUBSTITUTE(K129,";",REPT(" ",99)),1,99))="","",IFERROR(VLOOKUP(--LEFT(MID(TRIM(MID(SUBSTITUTE(K129,";",REPT(" ",99)),1,99)),FIND(":",TRIM(MID(SUBSTITUTE(K129,";",REPT(" ",99)),1,99)))+1,999),FIND(":",MID(TRIM(MID(SUBSTITUTE(K129,";",REPT(" ",99)),1,99)),FIND(":",TRIM(MID(SUBSTITUTE(K129,";",REPT(" ",99)),1,99)))+1,999))-1),_Lookup!$A:$B,2,FALSE),"?")&amp;"×"&amp;LEFT(MID(MID(TRIM(MID(SUBSTITUTE(K129,";",REPT(" ",99)),1,99)),FIND(":",TRIM(MID(SUBSTITUTE(K129,";",REPT(" ",99)),1,99)))+1,999),FIND(":",MID(TRIM(MID(SUBSTITUTE(K129,";",REPT(" ",99)),1,99)),FIND(":",TRIM(MID(SUBSTITUTE(K129,";",REPT(" ",99)),1,99)))+1,999))+1,999),FIND(":",MID(MID(TRIM(MID(SUBSTITUTE(K129,";",REPT(" ",99)),1,99)),FIND(":",TRIM(MID(SUBSTITUTE(K129,";",REPT(" ",99)),1,99)))+1,999),FIND(":",MID(TRIM(MID(SUBSTITUTE(K129,";",REPT(" ",99)),1,99)),FIND(":",TRIM(MID(SUBSTITUTE(K129,";",REPT(" ",99)),1,99)))+1,999))+1,999))-1)),IF(TRIM(MID(SUBSTITUTE(K129,";",REPT(" ",99)),100,99))="","",IFERROR(VLOOKUP(--LEFT(MID(TRIM(MID(SUBSTITUTE(K129,";",REPT(" ",99)),100,99)),FIND(":",TRIM(MID(SUBSTITUTE(K129,";",REPT(" ",99)),100,99)))+1,999),FIND(":",MID(TRIM(MID(SUBSTITUTE(K129,";",REPT(" ",99)),100,99)),FIND(":",TRIM(MID(SUBSTITUTE(K129,";",REPT(" ",99)),100,99)))+1,999))-1),_Lookup!$A:$B,2,FALSE),"?")&amp;"×"&amp;LEFT(MID(MID(TRIM(MID(SUBSTITUTE(K129,";",REPT(" ",99)),100,99)),FIND(":",TRIM(MID(SUBSTITUTE(K129,";",REPT(" ",99)),100,99)))+1,999),FIND(":",MID(TRIM(MID(SUBSTITUTE(K129,";",REPT(" ",99)),100,99)),FIND(":",TRIM(MID(SUBSTITUTE(K129,";",REPT(" ",99)),100,99)))+1,999))+1,999),FIND(":",MID(MID(TRIM(MID(SUBSTITUTE(K129,";",REPT(" ",99)),100,99)),FIND(":",TRIM(MID(SUBSTITUTE(K129,";",REPT(" ",99)),100,99)))+1,999),FIND(":",MID(TRIM(MID(SUBSTITUTE(K129,";",REPT(" ",99)),100,99)),FIND(":",TRIM(MID(SUBSTITUTE(K129,";",REPT(" ",99)),100,99)))+1,999))+1,999))-1)),IF(TRIM(MID(SUBSTITUTE(K129,";",REPT(" ",99)),199,99))="","",IFERROR(VLOOKUP(--LEFT(MID(TRIM(MID(SUBSTITUTE(K129,";",REPT(" ",99)),199,99)),FIND(":",TRIM(MID(SUBSTITUTE(K129,";",REPT(" ",99)),199,99)))+1,999),FIND(":",MID(TRIM(MID(SUBSTITUTE(K129,";",REPT(" ",99)),199,99)),FIND(":",TRIM(MID(SUBSTITUTE(K129,";",REPT(" ",99)),199,99)))+1,999))-1),_Lookup!$A:$B,2,FALSE),"?")&amp;"×"&amp;LEFT(MID(MID(TRIM(MID(SUBSTITUTE(K129,";",REPT(" ",99)),199,99)),FIND(":",TRIM(MID(SUBSTITUTE(K129,";",REPT(" ",99)),199,99)))+1,999),FIND(":",MID(TRIM(MID(SUBSTITUTE(K129,";",REPT(" ",99)),199,99)),FIND(":",TRIM(MID(SUBSTITUTE(K129,";",REPT(" ",99)),199,99)))+1,999))+1,999),FIND(":",MID(MID(TRIM(MID(SUBSTITUTE(K129,";",REPT(" ",99)),199,99)),FIND(":",TRIM(MID(SUBSTITUTE(K129,";",REPT(" ",99)),199,99)))+1,999),FIND(":",MID(TRIM(MID(SUBSTITUTE(K129,";",REPT(" ",99)),199,99)),FIND(":",TRIM(MID(SUBSTITUTE(K129,";",REPT(" ",99)),199,99)))+1,999))+1,999))-1)),IF(TRIM(MID(SUBSTITUTE(K129,";",REPT(" ",99)),298,99))="","",IFERROR(VLOOKUP(--LEFT(MID(TRIM(MID(SUBSTITUTE(K129,";",REPT(" ",99)),298,99)),FIND(":",TRIM(MID(SUBSTITUTE(K129,";",REPT(" ",99)),298,99)))+1,999),FIND(":",MID(TRIM(MID(SUBSTITUTE(K129,";",REPT(" ",99)),298,99)),FIND(":",TRIM(MID(SUBSTITUTE(K129,";",REPT(" ",99)),298,99)))+1,999))-1),_Lookup!$A:$B,2,FALSE),"?")&amp;"×"&amp;LEFT(MID(MID(TRIM(MID(SUBSTITUTE(K129,";",REPT(" ",99)),298,99)),FIND(":",TRIM(MID(SUBSTITUTE(K129,";",REPT(" ",99)),298,99)))+1,999),FIND(":",MID(TRIM(MID(SUBSTITUTE(K129,";",REPT(" ",99)),298,99)),FIND(":",TRIM(MID(SUBSTITUTE(K129,";",REPT(" ",99)),298,99)))+1,999))+1,999),FIND(":",MID(MID(TRIM(MID(SUBSTITUTE(K129,";",REPT(" ",99)),298,99)),FIND(":",TRIM(MID(SUBSTITUTE(K129,";",REPT(" ",99)),298,99)))+1,999),FIND(":",MID(TRIM(MID(SUBSTITUTE(K129,";",REPT(" ",99)),298,99)),FIND(":",TRIM(MID(SUBSTITUTE(K129,";",REPT(" ",99)),298,99)))+1,999))+1,999))-1)),IF(TRIM(MID(SUBSTITUTE(K129,";",REPT(" ",99)),397,99))="","",IFERROR(VLOOKUP(--LEFT(MID(TRIM(MID(SUBSTITUTE(K129,";",REPT(" ",99)),397,99)),FIND(":",TRIM(MID(SUBSTITUTE(K129,";",REPT(" ",99)),397,99)))+1,999),FIND(":",MID(TRIM(MID(SUBSTITUTE(K129,";",REPT(" ",99)),397,99)),FIND(":",TRIM(MID(SUBSTITUTE(K129,";",REPT(" ",99)),397,99)))+1,999))-1),_Lookup!$A:$B,2,FALSE),"?")&amp;"×"&amp;LEFT(MID(MID(TRIM(MID(SUBSTITUTE(K129,";",REPT(" ",99)),397,99)),FIND(":",TRIM(MID(SUBSTITUTE(K129,";",REPT(" ",99)),397,99)))+1,999),FIND(":",MID(TRIM(MID(SUBSTITUTE(K129,";",REPT(" ",99)),397,99)),FIND(":",TRIM(MID(SUBSTITUTE(K129,";",REPT(" ",99)),397,99)))+1,999))+1,999),FIND(":",MID(MID(TRIM(MID(SUBSTITUTE(K129,";",REPT(" ",99)),397,99)),FIND(":",TRIM(MID(SUBSTITUTE(K129,";",REPT(" ",99)),397,99)))+1,999),FIND(":",MID(TRIM(MID(SUBSTITUTE(K129,";",REPT(" ",99)),397,99)),FIND(":",TRIM(MID(SUBSTITUTE(K129,";",REPT(" ",99)),397,99)))+1,999))+1,999))-1))))</f>
        <v/>
      </c>
    </row>
    <row r="130">
      <c r="D130" s="11">
        <f>IFERROR(VLOOKUP(C130,ItemData_Fish!$A:$B,2,FALSE),"")</f>
        <v/>
      </c>
      <c r="L130" s="11">
        <f>IF(K130="","",TEXTJOIN("; ",TRUE,IF(TRIM(MID(SUBSTITUTE(K130,";",REPT(" ",99)),1,99))="","",IFERROR(VLOOKUP(--LEFT(MID(TRIM(MID(SUBSTITUTE(K130,";",REPT(" ",99)),1,99)),FIND(":",TRIM(MID(SUBSTITUTE(K130,";",REPT(" ",99)),1,99)))+1,999),FIND(":",MID(TRIM(MID(SUBSTITUTE(K130,";",REPT(" ",99)),1,99)),FIND(":",TRIM(MID(SUBSTITUTE(K130,";",REPT(" ",99)),1,99)))+1,999))-1),_Lookup!$A:$B,2,FALSE),"?")&amp;"×"&amp;LEFT(MID(MID(TRIM(MID(SUBSTITUTE(K130,";",REPT(" ",99)),1,99)),FIND(":",TRIM(MID(SUBSTITUTE(K130,";",REPT(" ",99)),1,99)))+1,999),FIND(":",MID(TRIM(MID(SUBSTITUTE(K130,";",REPT(" ",99)),1,99)),FIND(":",TRIM(MID(SUBSTITUTE(K130,";",REPT(" ",99)),1,99)))+1,999))+1,999),FIND(":",MID(MID(TRIM(MID(SUBSTITUTE(K130,";",REPT(" ",99)),1,99)),FIND(":",TRIM(MID(SUBSTITUTE(K130,";",REPT(" ",99)),1,99)))+1,999),FIND(":",MID(TRIM(MID(SUBSTITUTE(K130,";",REPT(" ",99)),1,99)),FIND(":",TRIM(MID(SUBSTITUTE(K130,";",REPT(" ",99)),1,99)))+1,999))+1,999))-1)),IF(TRIM(MID(SUBSTITUTE(K130,";",REPT(" ",99)),100,99))="","",IFERROR(VLOOKUP(--LEFT(MID(TRIM(MID(SUBSTITUTE(K130,";",REPT(" ",99)),100,99)),FIND(":",TRIM(MID(SUBSTITUTE(K130,";",REPT(" ",99)),100,99)))+1,999),FIND(":",MID(TRIM(MID(SUBSTITUTE(K130,";",REPT(" ",99)),100,99)),FIND(":",TRIM(MID(SUBSTITUTE(K130,";",REPT(" ",99)),100,99)))+1,999))-1),_Lookup!$A:$B,2,FALSE),"?")&amp;"×"&amp;LEFT(MID(MID(TRIM(MID(SUBSTITUTE(K130,";",REPT(" ",99)),100,99)),FIND(":",TRIM(MID(SUBSTITUTE(K130,";",REPT(" ",99)),100,99)))+1,999),FIND(":",MID(TRIM(MID(SUBSTITUTE(K130,";",REPT(" ",99)),100,99)),FIND(":",TRIM(MID(SUBSTITUTE(K130,";",REPT(" ",99)),100,99)))+1,999))+1,999),FIND(":",MID(MID(TRIM(MID(SUBSTITUTE(K130,";",REPT(" ",99)),100,99)),FIND(":",TRIM(MID(SUBSTITUTE(K130,";",REPT(" ",99)),100,99)))+1,999),FIND(":",MID(TRIM(MID(SUBSTITUTE(K130,";",REPT(" ",99)),100,99)),FIND(":",TRIM(MID(SUBSTITUTE(K130,";",REPT(" ",99)),100,99)))+1,999))+1,999))-1)),IF(TRIM(MID(SUBSTITUTE(K130,";",REPT(" ",99)),199,99))="","",IFERROR(VLOOKUP(--LEFT(MID(TRIM(MID(SUBSTITUTE(K130,";",REPT(" ",99)),199,99)),FIND(":",TRIM(MID(SUBSTITUTE(K130,";",REPT(" ",99)),199,99)))+1,999),FIND(":",MID(TRIM(MID(SUBSTITUTE(K130,";",REPT(" ",99)),199,99)),FIND(":",TRIM(MID(SUBSTITUTE(K130,";",REPT(" ",99)),199,99)))+1,999))-1),_Lookup!$A:$B,2,FALSE),"?")&amp;"×"&amp;LEFT(MID(MID(TRIM(MID(SUBSTITUTE(K130,";",REPT(" ",99)),199,99)),FIND(":",TRIM(MID(SUBSTITUTE(K130,";",REPT(" ",99)),199,99)))+1,999),FIND(":",MID(TRIM(MID(SUBSTITUTE(K130,";",REPT(" ",99)),199,99)),FIND(":",TRIM(MID(SUBSTITUTE(K130,";",REPT(" ",99)),199,99)))+1,999))+1,999),FIND(":",MID(MID(TRIM(MID(SUBSTITUTE(K130,";",REPT(" ",99)),199,99)),FIND(":",TRIM(MID(SUBSTITUTE(K130,";",REPT(" ",99)),199,99)))+1,999),FIND(":",MID(TRIM(MID(SUBSTITUTE(K130,";",REPT(" ",99)),199,99)),FIND(":",TRIM(MID(SUBSTITUTE(K130,";",REPT(" ",99)),199,99)))+1,999))+1,999))-1)),IF(TRIM(MID(SUBSTITUTE(K130,";",REPT(" ",99)),298,99))="","",IFERROR(VLOOKUP(--LEFT(MID(TRIM(MID(SUBSTITUTE(K130,";",REPT(" ",99)),298,99)),FIND(":",TRIM(MID(SUBSTITUTE(K130,";",REPT(" ",99)),298,99)))+1,999),FIND(":",MID(TRIM(MID(SUBSTITUTE(K130,";",REPT(" ",99)),298,99)),FIND(":",TRIM(MID(SUBSTITUTE(K130,";",REPT(" ",99)),298,99)))+1,999))-1),_Lookup!$A:$B,2,FALSE),"?")&amp;"×"&amp;LEFT(MID(MID(TRIM(MID(SUBSTITUTE(K130,";",REPT(" ",99)),298,99)),FIND(":",TRIM(MID(SUBSTITUTE(K130,";",REPT(" ",99)),298,99)))+1,999),FIND(":",MID(TRIM(MID(SUBSTITUTE(K130,";",REPT(" ",99)),298,99)),FIND(":",TRIM(MID(SUBSTITUTE(K130,";",REPT(" ",99)),298,99)))+1,999))+1,999),FIND(":",MID(MID(TRIM(MID(SUBSTITUTE(K130,";",REPT(" ",99)),298,99)),FIND(":",TRIM(MID(SUBSTITUTE(K130,";",REPT(" ",99)),298,99)))+1,999),FIND(":",MID(TRIM(MID(SUBSTITUTE(K130,";",REPT(" ",99)),298,99)),FIND(":",TRIM(MID(SUBSTITUTE(K130,";",REPT(" ",99)),298,99)))+1,999))+1,999))-1)),IF(TRIM(MID(SUBSTITUTE(K130,";",REPT(" ",99)),397,99))="","",IFERROR(VLOOKUP(--LEFT(MID(TRIM(MID(SUBSTITUTE(K130,";",REPT(" ",99)),397,99)),FIND(":",TRIM(MID(SUBSTITUTE(K130,";",REPT(" ",99)),397,99)))+1,999),FIND(":",MID(TRIM(MID(SUBSTITUTE(K130,";",REPT(" ",99)),397,99)),FIND(":",TRIM(MID(SUBSTITUTE(K130,";",REPT(" ",99)),397,99)))+1,999))-1),_Lookup!$A:$B,2,FALSE),"?")&amp;"×"&amp;LEFT(MID(MID(TRIM(MID(SUBSTITUTE(K130,";",REPT(" ",99)),397,99)),FIND(":",TRIM(MID(SUBSTITUTE(K130,";",REPT(" ",99)),397,99)))+1,999),FIND(":",MID(TRIM(MID(SUBSTITUTE(K130,";",REPT(" ",99)),397,99)),FIND(":",TRIM(MID(SUBSTITUTE(K130,";",REPT(" ",99)),397,99)))+1,999))+1,999),FIND(":",MID(MID(TRIM(MID(SUBSTITUTE(K130,";",REPT(" ",99)),397,99)),FIND(":",TRIM(MID(SUBSTITUTE(K130,";",REPT(" ",99)),397,99)))+1,999),FIND(":",MID(TRIM(MID(SUBSTITUTE(K130,";",REPT(" ",99)),397,99)),FIND(":",TRIM(MID(SUBSTITUTE(K130,";",REPT(" ",99)),397,99)))+1,999))+1,999))-1))))</f>
        <v/>
      </c>
    </row>
    <row r="131">
      <c r="D131" s="11">
        <f>IFERROR(VLOOKUP(C131,ItemData_Fish!$A:$B,2,FALSE),"")</f>
        <v/>
      </c>
      <c r="L131" s="11">
        <f>IF(K131="","",TEXTJOIN("; ",TRUE,IF(TRIM(MID(SUBSTITUTE(K131,";",REPT(" ",99)),1,99))="","",IFERROR(VLOOKUP(--LEFT(MID(TRIM(MID(SUBSTITUTE(K131,";",REPT(" ",99)),1,99)),FIND(":",TRIM(MID(SUBSTITUTE(K131,";",REPT(" ",99)),1,99)))+1,999),FIND(":",MID(TRIM(MID(SUBSTITUTE(K131,";",REPT(" ",99)),1,99)),FIND(":",TRIM(MID(SUBSTITUTE(K131,";",REPT(" ",99)),1,99)))+1,999))-1),_Lookup!$A:$B,2,FALSE),"?")&amp;"×"&amp;LEFT(MID(MID(TRIM(MID(SUBSTITUTE(K131,";",REPT(" ",99)),1,99)),FIND(":",TRIM(MID(SUBSTITUTE(K131,";",REPT(" ",99)),1,99)))+1,999),FIND(":",MID(TRIM(MID(SUBSTITUTE(K131,";",REPT(" ",99)),1,99)),FIND(":",TRIM(MID(SUBSTITUTE(K131,";",REPT(" ",99)),1,99)))+1,999))+1,999),FIND(":",MID(MID(TRIM(MID(SUBSTITUTE(K131,";",REPT(" ",99)),1,99)),FIND(":",TRIM(MID(SUBSTITUTE(K131,";",REPT(" ",99)),1,99)))+1,999),FIND(":",MID(TRIM(MID(SUBSTITUTE(K131,";",REPT(" ",99)),1,99)),FIND(":",TRIM(MID(SUBSTITUTE(K131,";",REPT(" ",99)),1,99)))+1,999))+1,999))-1)),IF(TRIM(MID(SUBSTITUTE(K131,";",REPT(" ",99)),100,99))="","",IFERROR(VLOOKUP(--LEFT(MID(TRIM(MID(SUBSTITUTE(K131,";",REPT(" ",99)),100,99)),FIND(":",TRIM(MID(SUBSTITUTE(K131,";",REPT(" ",99)),100,99)))+1,999),FIND(":",MID(TRIM(MID(SUBSTITUTE(K131,";",REPT(" ",99)),100,99)),FIND(":",TRIM(MID(SUBSTITUTE(K131,";",REPT(" ",99)),100,99)))+1,999))-1),_Lookup!$A:$B,2,FALSE),"?")&amp;"×"&amp;LEFT(MID(MID(TRIM(MID(SUBSTITUTE(K131,";",REPT(" ",99)),100,99)),FIND(":",TRIM(MID(SUBSTITUTE(K131,";",REPT(" ",99)),100,99)))+1,999),FIND(":",MID(TRIM(MID(SUBSTITUTE(K131,";",REPT(" ",99)),100,99)),FIND(":",TRIM(MID(SUBSTITUTE(K131,";",REPT(" ",99)),100,99)))+1,999))+1,999),FIND(":",MID(MID(TRIM(MID(SUBSTITUTE(K131,";",REPT(" ",99)),100,99)),FIND(":",TRIM(MID(SUBSTITUTE(K131,";",REPT(" ",99)),100,99)))+1,999),FIND(":",MID(TRIM(MID(SUBSTITUTE(K131,";",REPT(" ",99)),100,99)),FIND(":",TRIM(MID(SUBSTITUTE(K131,";",REPT(" ",99)),100,99)))+1,999))+1,999))-1)),IF(TRIM(MID(SUBSTITUTE(K131,";",REPT(" ",99)),199,99))="","",IFERROR(VLOOKUP(--LEFT(MID(TRIM(MID(SUBSTITUTE(K131,";",REPT(" ",99)),199,99)),FIND(":",TRIM(MID(SUBSTITUTE(K131,";",REPT(" ",99)),199,99)))+1,999),FIND(":",MID(TRIM(MID(SUBSTITUTE(K131,";",REPT(" ",99)),199,99)),FIND(":",TRIM(MID(SUBSTITUTE(K131,";",REPT(" ",99)),199,99)))+1,999))-1),_Lookup!$A:$B,2,FALSE),"?")&amp;"×"&amp;LEFT(MID(MID(TRIM(MID(SUBSTITUTE(K131,";",REPT(" ",99)),199,99)),FIND(":",TRIM(MID(SUBSTITUTE(K131,";",REPT(" ",99)),199,99)))+1,999),FIND(":",MID(TRIM(MID(SUBSTITUTE(K131,";",REPT(" ",99)),199,99)),FIND(":",TRIM(MID(SUBSTITUTE(K131,";",REPT(" ",99)),199,99)))+1,999))+1,999),FIND(":",MID(MID(TRIM(MID(SUBSTITUTE(K131,";",REPT(" ",99)),199,99)),FIND(":",TRIM(MID(SUBSTITUTE(K131,";",REPT(" ",99)),199,99)))+1,999),FIND(":",MID(TRIM(MID(SUBSTITUTE(K131,";",REPT(" ",99)),199,99)),FIND(":",TRIM(MID(SUBSTITUTE(K131,";",REPT(" ",99)),199,99)))+1,999))+1,999))-1)),IF(TRIM(MID(SUBSTITUTE(K131,";",REPT(" ",99)),298,99))="","",IFERROR(VLOOKUP(--LEFT(MID(TRIM(MID(SUBSTITUTE(K131,";",REPT(" ",99)),298,99)),FIND(":",TRIM(MID(SUBSTITUTE(K131,";",REPT(" ",99)),298,99)))+1,999),FIND(":",MID(TRIM(MID(SUBSTITUTE(K131,";",REPT(" ",99)),298,99)),FIND(":",TRIM(MID(SUBSTITUTE(K131,";",REPT(" ",99)),298,99)))+1,999))-1),_Lookup!$A:$B,2,FALSE),"?")&amp;"×"&amp;LEFT(MID(MID(TRIM(MID(SUBSTITUTE(K131,";",REPT(" ",99)),298,99)),FIND(":",TRIM(MID(SUBSTITUTE(K131,";",REPT(" ",99)),298,99)))+1,999),FIND(":",MID(TRIM(MID(SUBSTITUTE(K131,";",REPT(" ",99)),298,99)),FIND(":",TRIM(MID(SUBSTITUTE(K131,";",REPT(" ",99)),298,99)))+1,999))+1,999),FIND(":",MID(MID(TRIM(MID(SUBSTITUTE(K131,";",REPT(" ",99)),298,99)),FIND(":",TRIM(MID(SUBSTITUTE(K131,";",REPT(" ",99)),298,99)))+1,999),FIND(":",MID(TRIM(MID(SUBSTITUTE(K131,";",REPT(" ",99)),298,99)),FIND(":",TRIM(MID(SUBSTITUTE(K131,";",REPT(" ",99)),298,99)))+1,999))+1,999))-1)),IF(TRIM(MID(SUBSTITUTE(K131,";",REPT(" ",99)),397,99))="","",IFERROR(VLOOKUP(--LEFT(MID(TRIM(MID(SUBSTITUTE(K131,";",REPT(" ",99)),397,99)),FIND(":",TRIM(MID(SUBSTITUTE(K131,";",REPT(" ",99)),397,99)))+1,999),FIND(":",MID(TRIM(MID(SUBSTITUTE(K131,";",REPT(" ",99)),397,99)),FIND(":",TRIM(MID(SUBSTITUTE(K131,";",REPT(" ",99)),397,99)))+1,999))-1),_Lookup!$A:$B,2,FALSE),"?")&amp;"×"&amp;LEFT(MID(MID(TRIM(MID(SUBSTITUTE(K131,";",REPT(" ",99)),397,99)),FIND(":",TRIM(MID(SUBSTITUTE(K131,";",REPT(" ",99)),397,99)))+1,999),FIND(":",MID(TRIM(MID(SUBSTITUTE(K131,";",REPT(" ",99)),397,99)),FIND(":",TRIM(MID(SUBSTITUTE(K131,";",REPT(" ",99)),397,99)))+1,999))+1,999),FIND(":",MID(MID(TRIM(MID(SUBSTITUTE(K131,";",REPT(" ",99)),397,99)),FIND(":",TRIM(MID(SUBSTITUTE(K131,";",REPT(" ",99)),397,99)))+1,999),FIND(":",MID(TRIM(MID(SUBSTITUTE(K131,";",REPT(" ",99)),397,99)),FIND(":",TRIM(MID(SUBSTITUTE(K131,";",REPT(" ",99)),397,99)))+1,999))+1,999))-1))))</f>
        <v/>
      </c>
    </row>
    <row r="132">
      <c r="D132" s="11">
        <f>IFERROR(VLOOKUP(C132,ItemData_Fish!$A:$B,2,FALSE),"")</f>
        <v/>
      </c>
      <c r="L132" s="11">
        <f>IF(K132="","",TEXTJOIN("; ",TRUE,IF(TRIM(MID(SUBSTITUTE(K132,";",REPT(" ",99)),1,99))="","",IFERROR(VLOOKUP(--LEFT(MID(TRIM(MID(SUBSTITUTE(K132,";",REPT(" ",99)),1,99)),FIND(":",TRIM(MID(SUBSTITUTE(K132,";",REPT(" ",99)),1,99)))+1,999),FIND(":",MID(TRIM(MID(SUBSTITUTE(K132,";",REPT(" ",99)),1,99)),FIND(":",TRIM(MID(SUBSTITUTE(K132,";",REPT(" ",99)),1,99)))+1,999))-1),_Lookup!$A:$B,2,FALSE),"?")&amp;"×"&amp;LEFT(MID(MID(TRIM(MID(SUBSTITUTE(K132,";",REPT(" ",99)),1,99)),FIND(":",TRIM(MID(SUBSTITUTE(K132,";",REPT(" ",99)),1,99)))+1,999),FIND(":",MID(TRIM(MID(SUBSTITUTE(K132,";",REPT(" ",99)),1,99)),FIND(":",TRIM(MID(SUBSTITUTE(K132,";",REPT(" ",99)),1,99)))+1,999))+1,999),FIND(":",MID(MID(TRIM(MID(SUBSTITUTE(K132,";",REPT(" ",99)),1,99)),FIND(":",TRIM(MID(SUBSTITUTE(K132,";",REPT(" ",99)),1,99)))+1,999),FIND(":",MID(TRIM(MID(SUBSTITUTE(K132,";",REPT(" ",99)),1,99)),FIND(":",TRIM(MID(SUBSTITUTE(K132,";",REPT(" ",99)),1,99)))+1,999))+1,999))-1)),IF(TRIM(MID(SUBSTITUTE(K132,";",REPT(" ",99)),100,99))="","",IFERROR(VLOOKUP(--LEFT(MID(TRIM(MID(SUBSTITUTE(K132,";",REPT(" ",99)),100,99)),FIND(":",TRIM(MID(SUBSTITUTE(K132,";",REPT(" ",99)),100,99)))+1,999),FIND(":",MID(TRIM(MID(SUBSTITUTE(K132,";",REPT(" ",99)),100,99)),FIND(":",TRIM(MID(SUBSTITUTE(K132,";",REPT(" ",99)),100,99)))+1,999))-1),_Lookup!$A:$B,2,FALSE),"?")&amp;"×"&amp;LEFT(MID(MID(TRIM(MID(SUBSTITUTE(K132,";",REPT(" ",99)),100,99)),FIND(":",TRIM(MID(SUBSTITUTE(K132,";",REPT(" ",99)),100,99)))+1,999),FIND(":",MID(TRIM(MID(SUBSTITUTE(K132,";",REPT(" ",99)),100,99)),FIND(":",TRIM(MID(SUBSTITUTE(K132,";",REPT(" ",99)),100,99)))+1,999))+1,999),FIND(":",MID(MID(TRIM(MID(SUBSTITUTE(K132,";",REPT(" ",99)),100,99)),FIND(":",TRIM(MID(SUBSTITUTE(K132,";",REPT(" ",99)),100,99)))+1,999),FIND(":",MID(TRIM(MID(SUBSTITUTE(K132,";",REPT(" ",99)),100,99)),FIND(":",TRIM(MID(SUBSTITUTE(K132,";",REPT(" ",99)),100,99)))+1,999))+1,999))-1)),IF(TRIM(MID(SUBSTITUTE(K132,";",REPT(" ",99)),199,99))="","",IFERROR(VLOOKUP(--LEFT(MID(TRIM(MID(SUBSTITUTE(K132,";",REPT(" ",99)),199,99)),FIND(":",TRIM(MID(SUBSTITUTE(K132,";",REPT(" ",99)),199,99)))+1,999),FIND(":",MID(TRIM(MID(SUBSTITUTE(K132,";",REPT(" ",99)),199,99)),FIND(":",TRIM(MID(SUBSTITUTE(K132,";",REPT(" ",99)),199,99)))+1,999))-1),_Lookup!$A:$B,2,FALSE),"?")&amp;"×"&amp;LEFT(MID(MID(TRIM(MID(SUBSTITUTE(K132,";",REPT(" ",99)),199,99)),FIND(":",TRIM(MID(SUBSTITUTE(K132,";",REPT(" ",99)),199,99)))+1,999),FIND(":",MID(TRIM(MID(SUBSTITUTE(K132,";",REPT(" ",99)),199,99)),FIND(":",TRIM(MID(SUBSTITUTE(K132,";",REPT(" ",99)),199,99)))+1,999))+1,999),FIND(":",MID(MID(TRIM(MID(SUBSTITUTE(K132,";",REPT(" ",99)),199,99)),FIND(":",TRIM(MID(SUBSTITUTE(K132,";",REPT(" ",99)),199,99)))+1,999),FIND(":",MID(TRIM(MID(SUBSTITUTE(K132,";",REPT(" ",99)),199,99)),FIND(":",TRIM(MID(SUBSTITUTE(K132,";",REPT(" ",99)),199,99)))+1,999))+1,999))-1)),IF(TRIM(MID(SUBSTITUTE(K132,";",REPT(" ",99)),298,99))="","",IFERROR(VLOOKUP(--LEFT(MID(TRIM(MID(SUBSTITUTE(K132,";",REPT(" ",99)),298,99)),FIND(":",TRIM(MID(SUBSTITUTE(K132,";",REPT(" ",99)),298,99)))+1,999),FIND(":",MID(TRIM(MID(SUBSTITUTE(K132,";",REPT(" ",99)),298,99)),FIND(":",TRIM(MID(SUBSTITUTE(K132,";",REPT(" ",99)),298,99)))+1,999))-1),_Lookup!$A:$B,2,FALSE),"?")&amp;"×"&amp;LEFT(MID(MID(TRIM(MID(SUBSTITUTE(K132,";",REPT(" ",99)),298,99)),FIND(":",TRIM(MID(SUBSTITUTE(K132,";",REPT(" ",99)),298,99)))+1,999),FIND(":",MID(TRIM(MID(SUBSTITUTE(K132,";",REPT(" ",99)),298,99)),FIND(":",TRIM(MID(SUBSTITUTE(K132,";",REPT(" ",99)),298,99)))+1,999))+1,999),FIND(":",MID(MID(TRIM(MID(SUBSTITUTE(K132,";",REPT(" ",99)),298,99)),FIND(":",TRIM(MID(SUBSTITUTE(K132,";",REPT(" ",99)),298,99)))+1,999),FIND(":",MID(TRIM(MID(SUBSTITUTE(K132,";",REPT(" ",99)),298,99)),FIND(":",TRIM(MID(SUBSTITUTE(K132,";",REPT(" ",99)),298,99)))+1,999))+1,999))-1)),IF(TRIM(MID(SUBSTITUTE(K132,";",REPT(" ",99)),397,99))="","",IFERROR(VLOOKUP(--LEFT(MID(TRIM(MID(SUBSTITUTE(K132,";",REPT(" ",99)),397,99)),FIND(":",TRIM(MID(SUBSTITUTE(K132,";",REPT(" ",99)),397,99)))+1,999),FIND(":",MID(TRIM(MID(SUBSTITUTE(K132,";",REPT(" ",99)),397,99)),FIND(":",TRIM(MID(SUBSTITUTE(K132,";",REPT(" ",99)),397,99)))+1,999))-1),_Lookup!$A:$B,2,FALSE),"?")&amp;"×"&amp;LEFT(MID(MID(TRIM(MID(SUBSTITUTE(K132,";",REPT(" ",99)),397,99)),FIND(":",TRIM(MID(SUBSTITUTE(K132,";",REPT(" ",99)),397,99)))+1,999),FIND(":",MID(TRIM(MID(SUBSTITUTE(K132,";",REPT(" ",99)),397,99)),FIND(":",TRIM(MID(SUBSTITUTE(K132,";",REPT(" ",99)),397,99)))+1,999))+1,999),FIND(":",MID(MID(TRIM(MID(SUBSTITUTE(K132,";",REPT(" ",99)),397,99)),FIND(":",TRIM(MID(SUBSTITUTE(K132,";",REPT(" ",99)),397,99)))+1,999),FIND(":",MID(TRIM(MID(SUBSTITUTE(K132,";",REPT(" ",99)),397,99)),FIND(":",TRIM(MID(SUBSTITUTE(K132,";",REPT(" ",99)),397,99)))+1,999))+1,999))-1))))</f>
        <v/>
      </c>
    </row>
    <row r="133">
      <c r="D133" s="11">
        <f>IFERROR(VLOOKUP(C133,ItemData_Fish!$A:$B,2,FALSE),"")</f>
        <v/>
      </c>
      <c r="L133" s="11">
        <f>IF(K133="","",TEXTJOIN("; ",TRUE,IF(TRIM(MID(SUBSTITUTE(K133,";",REPT(" ",99)),1,99))="","",IFERROR(VLOOKUP(--LEFT(MID(TRIM(MID(SUBSTITUTE(K133,";",REPT(" ",99)),1,99)),FIND(":",TRIM(MID(SUBSTITUTE(K133,";",REPT(" ",99)),1,99)))+1,999),FIND(":",MID(TRIM(MID(SUBSTITUTE(K133,";",REPT(" ",99)),1,99)),FIND(":",TRIM(MID(SUBSTITUTE(K133,";",REPT(" ",99)),1,99)))+1,999))-1),_Lookup!$A:$B,2,FALSE),"?")&amp;"×"&amp;LEFT(MID(MID(TRIM(MID(SUBSTITUTE(K133,";",REPT(" ",99)),1,99)),FIND(":",TRIM(MID(SUBSTITUTE(K133,";",REPT(" ",99)),1,99)))+1,999),FIND(":",MID(TRIM(MID(SUBSTITUTE(K133,";",REPT(" ",99)),1,99)),FIND(":",TRIM(MID(SUBSTITUTE(K133,";",REPT(" ",99)),1,99)))+1,999))+1,999),FIND(":",MID(MID(TRIM(MID(SUBSTITUTE(K133,";",REPT(" ",99)),1,99)),FIND(":",TRIM(MID(SUBSTITUTE(K133,";",REPT(" ",99)),1,99)))+1,999),FIND(":",MID(TRIM(MID(SUBSTITUTE(K133,";",REPT(" ",99)),1,99)),FIND(":",TRIM(MID(SUBSTITUTE(K133,";",REPT(" ",99)),1,99)))+1,999))+1,999))-1)),IF(TRIM(MID(SUBSTITUTE(K133,";",REPT(" ",99)),100,99))="","",IFERROR(VLOOKUP(--LEFT(MID(TRIM(MID(SUBSTITUTE(K133,";",REPT(" ",99)),100,99)),FIND(":",TRIM(MID(SUBSTITUTE(K133,";",REPT(" ",99)),100,99)))+1,999),FIND(":",MID(TRIM(MID(SUBSTITUTE(K133,";",REPT(" ",99)),100,99)),FIND(":",TRIM(MID(SUBSTITUTE(K133,";",REPT(" ",99)),100,99)))+1,999))-1),_Lookup!$A:$B,2,FALSE),"?")&amp;"×"&amp;LEFT(MID(MID(TRIM(MID(SUBSTITUTE(K133,";",REPT(" ",99)),100,99)),FIND(":",TRIM(MID(SUBSTITUTE(K133,";",REPT(" ",99)),100,99)))+1,999),FIND(":",MID(TRIM(MID(SUBSTITUTE(K133,";",REPT(" ",99)),100,99)),FIND(":",TRIM(MID(SUBSTITUTE(K133,";",REPT(" ",99)),100,99)))+1,999))+1,999),FIND(":",MID(MID(TRIM(MID(SUBSTITUTE(K133,";",REPT(" ",99)),100,99)),FIND(":",TRIM(MID(SUBSTITUTE(K133,";",REPT(" ",99)),100,99)))+1,999),FIND(":",MID(TRIM(MID(SUBSTITUTE(K133,";",REPT(" ",99)),100,99)),FIND(":",TRIM(MID(SUBSTITUTE(K133,";",REPT(" ",99)),100,99)))+1,999))+1,999))-1)),IF(TRIM(MID(SUBSTITUTE(K133,";",REPT(" ",99)),199,99))="","",IFERROR(VLOOKUP(--LEFT(MID(TRIM(MID(SUBSTITUTE(K133,";",REPT(" ",99)),199,99)),FIND(":",TRIM(MID(SUBSTITUTE(K133,";",REPT(" ",99)),199,99)))+1,999),FIND(":",MID(TRIM(MID(SUBSTITUTE(K133,";",REPT(" ",99)),199,99)),FIND(":",TRIM(MID(SUBSTITUTE(K133,";",REPT(" ",99)),199,99)))+1,999))-1),_Lookup!$A:$B,2,FALSE),"?")&amp;"×"&amp;LEFT(MID(MID(TRIM(MID(SUBSTITUTE(K133,";",REPT(" ",99)),199,99)),FIND(":",TRIM(MID(SUBSTITUTE(K133,";",REPT(" ",99)),199,99)))+1,999),FIND(":",MID(TRIM(MID(SUBSTITUTE(K133,";",REPT(" ",99)),199,99)),FIND(":",TRIM(MID(SUBSTITUTE(K133,";",REPT(" ",99)),199,99)))+1,999))+1,999),FIND(":",MID(MID(TRIM(MID(SUBSTITUTE(K133,";",REPT(" ",99)),199,99)),FIND(":",TRIM(MID(SUBSTITUTE(K133,";",REPT(" ",99)),199,99)))+1,999),FIND(":",MID(TRIM(MID(SUBSTITUTE(K133,";",REPT(" ",99)),199,99)),FIND(":",TRIM(MID(SUBSTITUTE(K133,";",REPT(" ",99)),199,99)))+1,999))+1,999))-1)),IF(TRIM(MID(SUBSTITUTE(K133,";",REPT(" ",99)),298,99))="","",IFERROR(VLOOKUP(--LEFT(MID(TRIM(MID(SUBSTITUTE(K133,";",REPT(" ",99)),298,99)),FIND(":",TRIM(MID(SUBSTITUTE(K133,";",REPT(" ",99)),298,99)))+1,999),FIND(":",MID(TRIM(MID(SUBSTITUTE(K133,";",REPT(" ",99)),298,99)),FIND(":",TRIM(MID(SUBSTITUTE(K133,";",REPT(" ",99)),298,99)))+1,999))-1),_Lookup!$A:$B,2,FALSE),"?")&amp;"×"&amp;LEFT(MID(MID(TRIM(MID(SUBSTITUTE(K133,";",REPT(" ",99)),298,99)),FIND(":",TRIM(MID(SUBSTITUTE(K133,";",REPT(" ",99)),298,99)))+1,999),FIND(":",MID(TRIM(MID(SUBSTITUTE(K133,";",REPT(" ",99)),298,99)),FIND(":",TRIM(MID(SUBSTITUTE(K133,";",REPT(" ",99)),298,99)))+1,999))+1,999),FIND(":",MID(MID(TRIM(MID(SUBSTITUTE(K133,";",REPT(" ",99)),298,99)),FIND(":",TRIM(MID(SUBSTITUTE(K133,";",REPT(" ",99)),298,99)))+1,999),FIND(":",MID(TRIM(MID(SUBSTITUTE(K133,";",REPT(" ",99)),298,99)),FIND(":",TRIM(MID(SUBSTITUTE(K133,";",REPT(" ",99)),298,99)))+1,999))+1,999))-1)),IF(TRIM(MID(SUBSTITUTE(K133,";",REPT(" ",99)),397,99))="","",IFERROR(VLOOKUP(--LEFT(MID(TRIM(MID(SUBSTITUTE(K133,";",REPT(" ",99)),397,99)),FIND(":",TRIM(MID(SUBSTITUTE(K133,";",REPT(" ",99)),397,99)))+1,999),FIND(":",MID(TRIM(MID(SUBSTITUTE(K133,";",REPT(" ",99)),397,99)),FIND(":",TRIM(MID(SUBSTITUTE(K133,";",REPT(" ",99)),397,99)))+1,999))-1),_Lookup!$A:$B,2,FALSE),"?")&amp;"×"&amp;LEFT(MID(MID(TRIM(MID(SUBSTITUTE(K133,";",REPT(" ",99)),397,99)),FIND(":",TRIM(MID(SUBSTITUTE(K133,";",REPT(" ",99)),397,99)))+1,999),FIND(":",MID(TRIM(MID(SUBSTITUTE(K133,";",REPT(" ",99)),397,99)),FIND(":",TRIM(MID(SUBSTITUTE(K133,";",REPT(" ",99)),397,99)))+1,999))+1,999),FIND(":",MID(MID(TRIM(MID(SUBSTITUTE(K133,";",REPT(" ",99)),397,99)),FIND(":",TRIM(MID(SUBSTITUTE(K133,";",REPT(" ",99)),397,99)))+1,999),FIND(":",MID(TRIM(MID(SUBSTITUTE(K133,";",REPT(" ",99)),397,99)),FIND(":",TRIM(MID(SUBSTITUTE(K133,";",REPT(" ",99)),397,99)))+1,999))+1,999))-1))))</f>
        <v/>
      </c>
    </row>
    <row r="134">
      <c r="D134" s="11">
        <f>IFERROR(VLOOKUP(C134,ItemData_Fish!$A:$B,2,FALSE),"")</f>
        <v/>
      </c>
      <c r="L134" s="11">
        <f>IF(K134="","",TEXTJOIN("; ",TRUE,IF(TRIM(MID(SUBSTITUTE(K134,";",REPT(" ",99)),1,99))="","",IFERROR(VLOOKUP(--LEFT(MID(TRIM(MID(SUBSTITUTE(K134,";",REPT(" ",99)),1,99)),FIND(":",TRIM(MID(SUBSTITUTE(K134,";",REPT(" ",99)),1,99)))+1,999),FIND(":",MID(TRIM(MID(SUBSTITUTE(K134,";",REPT(" ",99)),1,99)),FIND(":",TRIM(MID(SUBSTITUTE(K134,";",REPT(" ",99)),1,99)))+1,999))-1),_Lookup!$A:$B,2,FALSE),"?")&amp;"×"&amp;LEFT(MID(MID(TRIM(MID(SUBSTITUTE(K134,";",REPT(" ",99)),1,99)),FIND(":",TRIM(MID(SUBSTITUTE(K134,";",REPT(" ",99)),1,99)))+1,999),FIND(":",MID(TRIM(MID(SUBSTITUTE(K134,";",REPT(" ",99)),1,99)),FIND(":",TRIM(MID(SUBSTITUTE(K134,";",REPT(" ",99)),1,99)))+1,999))+1,999),FIND(":",MID(MID(TRIM(MID(SUBSTITUTE(K134,";",REPT(" ",99)),1,99)),FIND(":",TRIM(MID(SUBSTITUTE(K134,";",REPT(" ",99)),1,99)))+1,999),FIND(":",MID(TRIM(MID(SUBSTITUTE(K134,";",REPT(" ",99)),1,99)),FIND(":",TRIM(MID(SUBSTITUTE(K134,";",REPT(" ",99)),1,99)))+1,999))+1,999))-1)),IF(TRIM(MID(SUBSTITUTE(K134,";",REPT(" ",99)),100,99))="","",IFERROR(VLOOKUP(--LEFT(MID(TRIM(MID(SUBSTITUTE(K134,";",REPT(" ",99)),100,99)),FIND(":",TRIM(MID(SUBSTITUTE(K134,";",REPT(" ",99)),100,99)))+1,999),FIND(":",MID(TRIM(MID(SUBSTITUTE(K134,";",REPT(" ",99)),100,99)),FIND(":",TRIM(MID(SUBSTITUTE(K134,";",REPT(" ",99)),100,99)))+1,999))-1),_Lookup!$A:$B,2,FALSE),"?")&amp;"×"&amp;LEFT(MID(MID(TRIM(MID(SUBSTITUTE(K134,";",REPT(" ",99)),100,99)),FIND(":",TRIM(MID(SUBSTITUTE(K134,";",REPT(" ",99)),100,99)))+1,999),FIND(":",MID(TRIM(MID(SUBSTITUTE(K134,";",REPT(" ",99)),100,99)),FIND(":",TRIM(MID(SUBSTITUTE(K134,";",REPT(" ",99)),100,99)))+1,999))+1,999),FIND(":",MID(MID(TRIM(MID(SUBSTITUTE(K134,";",REPT(" ",99)),100,99)),FIND(":",TRIM(MID(SUBSTITUTE(K134,";",REPT(" ",99)),100,99)))+1,999),FIND(":",MID(TRIM(MID(SUBSTITUTE(K134,";",REPT(" ",99)),100,99)),FIND(":",TRIM(MID(SUBSTITUTE(K134,";",REPT(" ",99)),100,99)))+1,999))+1,999))-1)),IF(TRIM(MID(SUBSTITUTE(K134,";",REPT(" ",99)),199,99))="","",IFERROR(VLOOKUP(--LEFT(MID(TRIM(MID(SUBSTITUTE(K134,";",REPT(" ",99)),199,99)),FIND(":",TRIM(MID(SUBSTITUTE(K134,";",REPT(" ",99)),199,99)))+1,999),FIND(":",MID(TRIM(MID(SUBSTITUTE(K134,";",REPT(" ",99)),199,99)),FIND(":",TRIM(MID(SUBSTITUTE(K134,";",REPT(" ",99)),199,99)))+1,999))-1),_Lookup!$A:$B,2,FALSE),"?")&amp;"×"&amp;LEFT(MID(MID(TRIM(MID(SUBSTITUTE(K134,";",REPT(" ",99)),199,99)),FIND(":",TRIM(MID(SUBSTITUTE(K134,";",REPT(" ",99)),199,99)))+1,999),FIND(":",MID(TRIM(MID(SUBSTITUTE(K134,";",REPT(" ",99)),199,99)),FIND(":",TRIM(MID(SUBSTITUTE(K134,";",REPT(" ",99)),199,99)))+1,999))+1,999),FIND(":",MID(MID(TRIM(MID(SUBSTITUTE(K134,";",REPT(" ",99)),199,99)),FIND(":",TRIM(MID(SUBSTITUTE(K134,";",REPT(" ",99)),199,99)))+1,999),FIND(":",MID(TRIM(MID(SUBSTITUTE(K134,";",REPT(" ",99)),199,99)),FIND(":",TRIM(MID(SUBSTITUTE(K134,";",REPT(" ",99)),199,99)))+1,999))+1,999))-1)),IF(TRIM(MID(SUBSTITUTE(K134,";",REPT(" ",99)),298,99))="","",IFERROR(VLOOKUP(--LEFT(MID(TRIM(MID(SUBSTITUTE(K134,";",REPT(" ",99)),298,99)),FIND(":",TRIM(MID(SUBSTITUTE(K134,";",REPT(" ",99)),298,99)))+1,999),FIND(":",MID(TRIM(MID(SUBSTITUTE(K134,";",REPT(" ",99)),298,99)),FIND(":",TRIM(MID(SUBSTITUTE(K134,";",REPT(" ",99)),298,99)))+1,999))-1),_Lookup!$A:$B,2,FALSE),"?")&amp;"×"&amp;LEFT(MID(MID(TRIM(MID(SUBSTITUTE(K134,";",REPT(" ",99)),298,99)),FIND(":",TRIM(MID(SUBSTITUTE(K134,";",REPT(" ",99)),298,99)))+1,999),FIND(":",MID(TRIM(MID(SUBSTITUTE(K134,";",REPT(" ",99)),298,99)),FIND(":",TRIM(MID(SUBSTITUTE(K134,";",REPT(" ",99)),298,99)))+1,999))+1,999),FIND(":",MID(MID(TRIM(MID(SUBSTITUTE(K134,";",REPT(" ",99)),298,99)),FIND(":",TRIM(MID(SUBSTITUTE(K134,";",REPT(" ",99)),298,99)))+1,999),FIND(":",MID(TRIM(MID(SUBSTITUTE(K134,";",REPT(" ",99)),298,99)),FIND(":",TRIM(MID(SUBSTITUTE(K134,";",REPT(" ",99)),298,99)))+1,999))+1,999))-1)),IF(TRIM(MID(SUBSTITUTE(K134,";",REPT(" ",99)),397,99))="","",IFERROR(VLOOKUP(--LEFT(MID(TRIM(MID(SUBSTITUTE(K134,";",REPT(" ",99)),397,99)),FIND(":",TRIM(MID(SUBSTITUTE(K134,";",REPT(" ",99)),397,99)))+1,999),FIND(":",MID(TRIM(MID(SUBSTITUTE(K134,";",REPT(" ",99)),397,99)),FIND(":",TRIM(MID(SUBSTITUTE(K134,";",REPT(" ",99)),397,99)))+1,999))-1),_Lookup!$A:$B,2,FALSE),"?")&amp;"×"&amp;LEFT(MID(MID(TRIM(MID(SUBSTITUTE(K134,";",REPT(" ",99)),397,99)),FIND(":",TRIM(MID(SUBSTITUTE(K134,";",REPT(" ",99)),397,99)))+1,999),FIND(":",MID(TRIM(MID(SUBSTITUTE(K134,";",REPT(" ",99)),397,99)),FIND(":",TRIM(MID(SUBSTITUTE(K134,";",REPT(" ",99)),397,99)))+1,999))+1,999),FIND(":",MID(MID(TRIM(MID(SUBSTITUTE(K134,";",REPT(" ",99)),397,99)),FIND(":",TRIM(MID(SUBSTITUTE(K134,";",REPT(" ",99)),397,99)))+1,999),FIND(":",MID(TRIM(MID(SUBSTITUTE(K134,";",REPT(" ",99)),397,99)),FIND(":",TRIM(MID(SUBSTITUTE(K134,";",REPT(" ",99)),397,99)))+1,999))+1,999))-1))))</f>
        <v/>
      </c>
    </row>
    <row r="135">
      <c r="D135" s="11">
        <f>IFERROR(VLOOKUP(C135,ItemData_Fish!$A:$B,2,FALSE),"")</f>
        <v/>
      </c>
      <c r="L135" s="11">
        <f>IF(K135="","",TEXTJOIN("; ",TRUE,IF(TRIM(MID(SUBSTITUTE(K135,";",REPT(" ",99)),1,99))="","",IFERROR(VLOOKUP(--LEFT(MID(TRIM(MID(SUBSTITUTE(K135,";",REPT(" ",99)),1,99)),FIND(":",TRIM(MID(SUBSTITUTE(K135,";",REPT(" ",99)),1,99)))+1,999),FIND(":",MID(TRIM(MID(SUBSTITUTE(K135,";",REPT(" ",99)),1,99)),FIND(":",TRIM(MID(SUBSTITUTE(K135,";",REPT(" ",99)),1,99)))+1,999))-1),_Lookup!$A:$B,2,FALSE),"?")&amp;"×"&amp;LEFT(MID(MID(TRIM(MID(SUBSTITUTE(K135,";",REPT(" ",99)),1,99)),FIND(":",TRIM(MID(SUBSTITUTE(K135,";",REPT(" ",99)),1,99)))+1,999),FIND(":",MID(TRIM(MID(SUBSTITUTE(K135,";",REPT(" ",99)),1,99)),FIND(":",TRIM(MID(SUBSTITUTE(K135,";",REPT(" ",99)),1,99)))+1,999))+1,999),FIND(":",MID(MID(TRIM(MID(SUBSTITUTE(K135,";",REPT(" ",99)),1,99)),FIND(":",TRIM(MID(SUBSTITUTE(K135,";",REPT(" ",99)),1,99)))+1,999),FIND(":",MID(TRIM(MID(SUBSTITUTE(K135,";",REPT(" ",99)),1,99)),FIND(":",TRIM(MID(SUBSTITUTE(K135,";",REPT(" ",99)),1,99)))+1,999))+1,999))-1)),IF(TRIM(MID(SUBSTITUTE(K135,";",REPT(" ",99)),100,99))="","",IFERROR(VLOOKUP(--LEFT(MID(TRIM(MID(SUBSTITUTE(K135,";",REPT(" ",99)),100,99)),FIND(":",TRIM(MID(SUBSTITUTE(K135,";",REPT(" ",99)),100,99)))+1,999),FIND(":",MID(TRIM(MID(SUBSTITUTE(K135,";",REPT(" ",99)),100,99)),FIND(":",TRIM(MID(SUBSTITUTE(K135,";",REPT(" ",99)),100,99)))+1,999))-1),_Lookup!$A:$B,2,FALSE),"?")&amp;"×"&amp;LEFT(MID(MID(TRIM(MID(SUBSTITUTE(K135,";",REPT(" ",99)),100,99)),FIND(":",TRIM(MID(SUBSTITUTE(K135,";",REPT(" ",99)),100,99)))+1,999),FIND(":",MID(TRIM(MID(SUBSTITUTE(K135,";",REPT(" ",99)),100,99)),FIND(":",TRIM(MID(SUBSTITUTE(K135,";",REPT(" ",99)),100,99)))+1,999))+1,999),FIND(":",MID(MID(TRIM(MID(SUBSTITUTE(K135,";",REPT(" ",99)),100,99)),FIND(":",TRIM(MID(SUBSTITUTE(K135,";",REPT(" ",99)),100,99)))+1,999),FIND(":",MID(TRIM(MID(SUBSTITUTE(K135,";",REPT(" ",99)),100,99)),FIND(":",TRIM(MID(SUBSTITUTE(K135,";",REPT(" ",99)),100,99)))+1,999))+1,999))-1)),IF(TRIM(MID(SUBSTITUTE(K135,";",REPT(" ",99)),199,99))="","",IFERROR(VLOOKUP(--LEFT(MID(TRIM(MID(SUBSTITUTE(K135,";",REPT(" ",99)),199,99)),FIND(":",TRIM(MID(SUBSTITUTE(K135,";",REPT(" ",99)),199,99)))+1,999),FIND(":",MID(TRIM(MID(SUBSTITUTE(K135,";",REPT(" ",99)),199,99)),FIND(":",TRIM(MID(SUBSTITUTE(K135,";",REPT(" ",99)),199,99)))+1,999))-1),_Lookup!$A:$B,2,FALSE),"?")&amp;"×"&amp;LEFT(MID(MID(TRIM(MID(SUBSTITUTE(K135,";",REPT(" ",99)),199,99)),FIND(":",TRIM(MID(SUBSTITUTE(K135,";",REPT(" ",99)),199,99)))+1,999),FIND(":",MID(TRIM(MID(SUBSTITUTE(K135,";",REPT(" ",99)),199,99)),FIND(":",TRIM(MID(SUBSTITUTE(K135,";",REPT(" ",99)),199,99)))+1,999))+1,999),FIND(":",MID(MID(TRIM(MID(SUBSTITUTE(K135,";",REPT(" ",99)),199,99)),FIND(":",TRIM(MID(SUBSTITUTE(K135,";",REPT(" ",99)),199,99)))+1,999),FIND(":",MID(TRIM(MID(SUBSTITUTE(K135,";",REPT(" ",99)),199,99)),FIND(":",TRIM(MID(SUBSTITUTE(K135,";",REPT(" ",99)),199,99)))+1,999))+1,999))-1)),IF(TRIM(MID(SUBSTITUTE(K135,";",REPT(" ",99)),298,99))="","",IFERROR(VLOOKUP(--LEFT(MID(TRIM(MID(SUBSTITUTE(K135,";",REPT(" ",99)),298,99)),FIND(":",TRIM(MID(SUBSTITUTE(K135,";",REPT(" ",99)),298,99)))+1,999),FIND(":",MID(TRIM(MID(SUBSTITUTE(K135,";",REPT(" ",99)),298,99)),FIND(":",TRIM(MID(SUBSTITUTE(K135,";",REPT(" ",99)),298,99)))+1,999))-1),_Lookup!$A:$B,2,FALSE),"?")&amp;"×"&amp;LEFT(MID(MID(TRIM(MID(SUBSTITUTE(K135,";",REPT(" ",99)),298,99)),FIND(":",TRIM(MID(SUBSTITUTE(K135,";",REPT(" ",99)),298,99)))+1,999),FIND(":",MID(TRIM(MID(SUBSTITUTE(K135,";",REPT(" ",99)),298,99)),FIND(":",TRIM(MID(SUBSTITUTE(K135,";",REPT(" ",99)),298,99)))+1,999))+1,999),FIND(":",MID(MID(TRIM(MID(SUBSTITUTE(K135,";",REPT(" ",99)),298,99)),FIND(":",TRIM(MID(SUBSTITUTE(K135,";",REPT(" ",99)),298,99)))+1,999),FIND(":",MID(TRIM(MID(SUBSTITUTE(K135,";",REPT(" ",99)),298,99)),FIND(":",TRIM(MID(SUBSTITUTE(K135,";",REPT(" ",99)),298,99)))+1,999))+1,999))-1)),IF(TRIM(MID(SUBSTITUTE(K135,";",REPT(" ",99)),397,99))="","",IFERROR(VLOOKUP(--LEFT(MID(TRIM(MID(SUBSTITUTE(K135,";",REPT(" ",99)),397,99)),FIND(":",TRIM(MID(SUBSTITUTE(K135,";",REPT(" ",99)),397,99)))+1,999),FIND(":",MID(TRIM(MID(SUBSTITUTE(K135,";",REPT(" ",99)),397,99)),FIND(":",TRIM(MID(SUBSTITUTE(K135,";",REPT(" ",99)),397,99)))+1,999))-1),_Lookup!$A:$B,2,FALSE),"?")&amp;"×"&amp;LEFT(MID(MID(TRIM(MID(SUBSTITUTE(K135,";",REPT(" ",99)),397,99)),FIND(":",TRIM(MID(SUBSTITUTE(K135,";",REPT(" ",99)),397,99)))+1,999),FIND(":",MID(TRIM(MID(SUBSTITUTE(K135,";",REPT(" ",99)),397,99)),FIND(":",TRIM(MID(SUBSTITUTE(K135,";",REPT(" ",99)),397,99)))+1,999))+1,999),FIND(":",MID(MID(TRIM(MID(SUBSTITUTE(K135,";",REPT(" ",99)),397,99)),FIND(":",TRIM(MID(SUBSTITUTE(K135,";",REPT(" ",99)),397,99)))+1,999),FIND(":",MID(TRIM(MID(SUBSTITUTE(K135,";",REPT(" ",99)),397,99)),FIND(":",TRIM(MID(SUBSTITUTE(K135,";",REPT(" ",99)),397,99)))+1,999))+1,999))-1))))</f>
        <v/>
      </c>
    </row>
    <row r="136">
      <c r="D136" s="11">
        <f>IFERROR(VLOOKUP(C136,ItemData_Fish!$A:$B,2,FALSE),"")</f>
        <v/>
      </c>
      <c r="L136" s="11">
        <f>IF(K136="","",TEXTJOIN("; ",TRUE,IF(TRIM(MID(SUBSTITUTE(K136,";",REPT(" ",99)),1,99))="","",IFERROR(VLOOKUP(--LEFT(MID(TRIM(MID(SUBSTITUTE(K136,";",REPT(" ",99)),1,99)),FIND(":",TRIM(MID(SUBSTITUTE(K136,";",REPT(" ",99)),1,99)))+1,999),FIND(":",MID(TRIM(MID(SUBSTITUTE(K136,";",REPT(" ",99)),1,99)),FIND(":",TRIM(MID(SUBSTITUTE(K136,";",REPT(" ",99)),1,99)))+1,999))-1),_Lookup!$A:$B,2,FALSE),"?")&amp;"×"&amp;LEFT(MID(MID(TRIM(MID(SUBSTITUTE(K136,";",REPT(" ",99)),1,99)),FIND(":",TRIM(MID(SUBSTITUTE(K136,";",REPT(" ",99)),1,99)))+1,999),FIND(":",MID(TRIM(MID(SUBSTITUTE(K136,";",REPT(" ",99)),1,99)),FIND(":",TRIM(MID(SUBSTITUTE(K136,";",REPT(" ",99)),1,99)))+1,999))+1,999),FIND(":",MID(MID(TRIM(MID(SUBSTITUTE(K136,";",REPT(" ",99)),1,99)),FIND(":",TRIM(MID(SUBSTITUTE(K136,";",REPT(" ",99)),1,99)))+1,999),FIND(":",MID(TRIM(MID(SUBSTITUTE(K136,";",REPT(" ",99)),1,99)),FIND(":",TRIM(MID(SUBSTITUTE(K136,";",REPT(" ",99)),1,99)))+1,999))+1,999))-1)),IF(TRIM(MID(SUBSTITUTE(K136,";",REPT(" ",99)),100,99))="","",IFERROR(VLOOKUP(--LEFT(MID(TRIM(MID(SUBSTITUTE(K136,";",REPT(" ",99)),100,99)),FIND(":",TRIM(MID(SUBSTITUTE(K136,";",REPT(" ",99)),100,99)))+1,999),FIND(":",MID(TRIM(MID(SUBSTITUTE(K136,";",REPT(" ",99)),100,99)),FIND(":",TRIM(MID(SUBSTITUTE(K136,";",REPT(" ",99)),100,99)))+1,999))-1),_Lookup!$A:$B,2,FALSE),"?")&amp;"×"&amp;LEFT(MID(MID(TRIM(MID(SUBSTITUTE(K136,";",REPT(" ",99)),100,99)),FIND(":",TRIM(MID(SUBSTITUTE(K136,";",REPT(" ",99)),100,99)))+1,999),FIND(":",MID(TRIM(MID(SUBSTITUTE(K136,";",REPT(" ",99)),100,99)),FIND(":",TRIM(MID(SUBSTITUTE(K136,";",REPT(" ",99)),100,99)))+1,999))+1,999),FIND(":",MID(MID(TRIM(MID(SUBSTITUTE(K136,";",REPT(" ",99)),100,99)),FIND(":",TRIM(MID(SUBSTITUTE(K136,";",REPT(" ",99)),100,99)))+1,999),FIND(":",MID(TRIM(MID(SUBSTITUTE(K136,";",REPT(" ",99)),100,99)),FIND(":",TRIM(MID(SUBSTITUTE(K136,";",REPT(" ",99)),100,99)))+1,999))+1,999))-1)),IF(TRIM(MID(SUBSTITUTE(K136,";",REPT(" ",99)),199,99))="","",IFERROR(VLOOKUP(--LEFT(MID(TRIM(MID(SUBSTITUTE(K136,";",REPT(" ",99)),199,99)),FIND(":",TRIM(MID(SUBSTITUTE(K136,";",REPT(" ",99)),199,99)))+1,999),FIND(":",MID(TRIM(MID(SUBSTITUTE(K136,";",REPT(" ",99)),199,99)),FIND(":",TRIM(MID(SUBSTITUTE(K136,";",REPT(" ",99)),199,99)))+1,999))-1),_Lookup!$A:$B,2,FALSE),"?")&amp;"×"&amp;LEFT(MID(MID(TRIM(MID(SUBSTITUTE(K136,";",REPT(" ",99)),199,99)),FIND(":",TRIM(MID(SUBSTITUTE(K136,";",REPT(" ",99)),199,99)))+1,999),FIND(":",MID(TRIM(MID(SUBSTITUTE(K136,";",REPT(" ",99)),199,99)),FIND(":",TRIM(MID(SUBSTITUTE(K136,";",REPT(" ",99)),199,99)))+1,999))+1,999),FIND(":",MID(MID(TRIM(MID(SUBSTITUTE(K136,";",REPT(" ",99)),199,99)),FIND(":",TRIM(MID(SUBSTITUTE(K136,";",REPT(" ",99)),199,99)))+1,999),FIND(":",MID(TRIM(MID(SUBSTITUTE(K136,";",REPT(" ",99)),199,99)),FIND(":",TRIM(MID(SUBSTITUTE(K136,";",REPT(" ",99)),199,99)))+1,999))+1,999))-1)),IF(TRIM(MID(SUBSTITUTE(K136,";",REPT(" ",99)),298,99))="","",IFERROR(VLOOKUP(--LEFT(MID(TRIM(MID(SUBSTITUTE(K136,";",REPT(" ",99)),298,99)),FIND(":",TRIM(MID(SUBSTITUTE(K136,";",REPT(" ",99)),298,99)))+1,999),FIND(":",MID(TRIM(MID(SUBSTITUTE(K136,";",REPT(" ",99)),298,99)),FIND(":",TRIM(MID(SUBSTITUTE(K136,";",REPT(" ",99)),298,99)))+1,999))-1),_Lookup!$A:$B,2,FALSE),"?")&amp;"×"&amp;LEFT(MID(MID(TRIM(MID(SUBSTITUTE(K136,";",REPT(" ",99)),298,99)),FIND(":",TRIM(MID(SUBSTITUTE(K136,";",REPT(" ",99)),298,99)))+1,999),FIND(":",MID(TRIM(MID(SUBSTITUTE(K136,";",REPT(" ",99)),298,99)),FIND(":",TRIM(MID(SUBSTITUTE(K136,";",REPT(" ",99)),298,99)))+1,999))+1,999),FIND(":",MID(MID(TRIM(MID(SUBSTITUTE(K136,";",REPT(" ",99)),298,99)),FIND(":",TRIM(MID(SUBSTITUTE(K136,";",REPT(" ",99)),298,99)))+1,999),FIND(":",MID(TRIM(MID(SUBSTITUTE(K136,";",REPT(" ",99)),298,99)),FIND(":",TRIM(MID(SUBSTITUTE(K136,";",REPT(" ",99)),298,99)))+1,999))+1,999))-1)),IF(TRIM(MID(SUBSTITUTE(K136,";",REPT(" ",99)),397,99))="","",IFERROR(VLOOKUP(--LEFT(MID(TRIM(MID(SUBSTITUTE(K136,";",REPT(" ",99)),397,99)),FIND(":",TRIM(MID(SUBSTITUTE(K136,";",REPT(" ",99)),397,99)))+1,999),FIND(":",MID(TRIM(MID(SUBSTITUTE(K136,";",REPT(" ",99)),397,99)),FIND(":",TRIM(MID(SUBSTITUTE(K136,";",REPT(" ",99)),397,99)))+1,999))-1),_Lookup!$A:$B,2,FALSE),"?")&amp;"×"&amp;LEFT(MID(MID(TRIM(MID(SUBSTITUTE(K136,";",REPT(" ",99)),397,99)),FIND(":",TRIM(MID(SUBSTITUTE(K136,";",REPT(" ",99)),397,99)))+1,999),FIND(":",MID(TRIM(MID(SUBSTITUTE(K136,";",REPT(" ",99)),397,99)),FIND(":",TRIM(MID(SUBSTITUTE(K136,";",REPT(" ",99)),397,99)))+1,999))+1,999),FIND(":",MID(MID(TRIM(MID(SUBSTITUTE(K136,";",REPT(" ",99)),397,99)),FIND(":",TRIM(MID(SUBSTITUTE(K136,";",REPT(" ",99)),397,99)))+1,999),FIND(":",MID(TRIM(MID(SUBSTITUTE(K136,";",REPT(" ",99)),397,99)),FIND(":",TRIM(MID(SUBSTITUTE(K136,";",REPT(" ",99)),397,99)))+1,999))+1,999))-1))))</f>
        <v/>
      </c>
    </row>
    <row r="137">
      <c r="D137" s="11">
        <f>IFERROR(VLOOKUP(C137,ItemData_Fish!$A:$B,2,FALSE),"")</f>
        <v/>
      </c>
      <c r="L137" s="11">
        <f>IF(K137="","",TEXTJOIN("; ",TRUE,IF(TRIM(MID(SUBSTITUTE(K137,";",REPT(" ",99)),1,99))="","",IFERROR(VLOOKUP(--LEFT(MID(TRIM(MID(SUBSTITUTE(K137,";",REPT(" ",99)),1,99)),FIND(":",TRIM(MID(SUBSTITUTE(K137,";",REPT(" ",99)),1,99)))+1,999),FIND(":",MID(TRIM(MID(SUBSTITUTE(K137,";",REPT(" ",99)),1,99)),FIND(":",TRIM(MID(SUBSTITUTE(K137,";",REPT(" ",99)),1,99)))+1,999))-1),_Lookup!$A:$B,2,FALSE),"?")&amp;"×"&amp;LEFT(MID(MID(TRIM(MID(SUBSTITUTE(K137,";",REPT(" ",99)),1,99)),FIND(":",TRIM(MID(SUBSTITUTE(K137,";",REPT(" ",99)),1,99)))+1,999),FIND(":",MID(TRIM(MID(SUBSTITUTE(K137,";",REPT(" ",99)),1,99)),FIND(":",TRIM(MID(SUBSTITUTE(K137,";",REPT(" ",99)),1,99)))+1,999))+1,999),FIND(":",MID(MID(TRIM(MID(SUBSTITUTE(K137,";",REPT(" ",99)),1,99)),FIND(":",TRIM(MID(SUBSTITUTE(K137,";",REPT(" ",99)),1,99)))+1,999),FIND(":",MID(TRIM(MID(SUBSTITUTE(K137,";",REPT(" ",99)),1,99)),FIND(":",TRIM(MID(SUBSTITUTE(K137,";",REPT(" ",99)),1,99)))+1,999))+1,999))-1)),IF(TRIM(MID(SUBSTITUTE(K137,";",REPT(" ",99)),100,99))="","",IFERROR(VLOOKUP(--LEFT(MID(TRIM(MID(SUBSTITUTE(K137,";",REPT(" ",99)),100,99)),FIND(":",TRIM(MID(SUBSTITUTE(K137,";",REPT(" ",99)),100,99)))+1,999),FIND(":",MID(TRIM(MID(SUBSTITUTE(K137,";",REPT(" ",99)),100,99)),FIND(":",TRIM(MID(SUBSTITUTE(K137,";",REPT(" ",99)),100,99)))+1,999))-1),_Lookup!$A:$B,2,FALSE),"?")&amp;"×"&amp;LEFT(MID(MID(TRIM(MID(SUBSTITUTE(K137,";",REPT(" ",99)),100,99)),FIND(":",TRIM(MID(SUBSTITUTE(K137,";",REPT(" ",99)),100,99)))+1,999),FIND(":",MID(TRIM(MID(SUBSTITUTE(K137,";",REPT(" ",99)),100,99)),FIND(":",TRIM(MID(SUBSTITUTE(K137,";",REPT(" ",99)),100,99)))+1,999))+1,999),FIND(":",MID(MID(TRIM(MID(SUBSTITUTE(K137,";",REPT(" ",99)),100,99)),FIND(":",TRIM(MID(SUBSTITUTE(K137,";",REPT(" ",99)),100,99)))+1,999),FIND(":",MID(TRIM(MID(SUBSTITUTE(K137,";",REPT(" ",99)),100,99)),FIND(":",TRIM(MID(SUBSTITUTE(K137,";",REPT(" ",99)),100,99)))+1,999))+1,999))-1)),IF(TRIM(MID(SUBSTITUTE(K137,";",REPT(" ",99)),199,99))="","",IFERROR(VLOOKUP(--LEFT(MID(TRIM(MID(SUBSTITUTE(K137,";",REPT(" ",99)),199,99)),FIND(":",TRIM(MID(SUBSTITUTE(K137,";",REPT(" ",99)),199,99)))+1,999),FIND(":",MID(TRIM(MID(SUBSTITUTE(K137,";",REPT(" ",99)),199,99)),FIND(":",TRIM(MID(SUBSTITUTE(K137,";",REPT(" ",99)),199,99)))+1,999))-1),_Lookup!$A:$B,2,FALSE),"?")&amp;"×"&amp;LEFT(MID(MID(TRIM(MID(SUBSTITUTE(K137,";",REPT(" ",99)),199,99)),FIND(":",TRIM(MID(SUBSTITUTE(K137,";",REPT(" ",99)),199,99)))+1,999),FIND(":",MID(TRIM(MID(SUBSTITUTE(K137,";",REPT(" ",99)),199,99)),FIND(":",TRIM(MID(SUBSTITUTE(K137,";",REPT(" ",99)),199,99)))+1,999))+1,999),FIND(":",MID(MID(TRIM(MID(SUBSTITUTE(K137,";",REPT(" ",99)),199,99)),FIND(":",TRIM(MID(SUBSTITUTE(K137,";",REPT(" ",99)),199,99)))+1,999),FIND(":",MID(TRIM(MID(SUBSTITUTE(K137,";",REPT(" ",99)),199,99)),FIND(":",TRIM(MID(SUBSTITUTE(K137,";",REPT(" ",99)),199,99)))+1,999))+1,999))-1)),IF(TRIM(MID(SUBSTITUTE(K137,";",REPT(" ",99)),298,99))="","",IFERROR(VLOOKUP(--LEFT(MID(TRIM(MID(SUBSTITUTE(K137,";",REPT(" ",99)),298,99)),FIND(":",TRIM(MID(SUBSTITUTE(K137,";",REPT(" ",99)),298,99)))+1,999),FIND(":",MID(TRIM(MID(SUBSTITUTE(K137,";",REPT(" ",99)),298,99)),FIND(":",TRIM(MID(SUBSTITUTE(K137,";",REPT(" ",99)),298,99)))+1,999))-1),_Lookup!$A:$B,2,FALSE),"?")&amp;"×"&amp;LEFT(MID(MID(TRIM(MID(SUBSTITUTE(K137,";",REPT(" ",99)),298,99)),FIND(":",TRIM(MID(SUBSTITUTE(K137,";",REPT(" ",99)),298,99)))+1,999),FIND(":",MID(TRIM(MID(SUBSTITUTE(K137,";",REPT(" ",99)),298,99)),FIND(":",TRIM(MID(SUBSTITUTE(K137,";",REPT(" ",99)),298,99)))+1,999))+1,999),FIND(":",MID(MID(TRIM(MID(SUBSTITUTE(K137,";",REPT(" ",99)),298,99)),FIND(":",TRIM(MID(SUBSTITUTE(K137,";",REPT(" ",99)),298,99)))+1,999),FIND(":",MID(TRIM(MID(SUBSTITUTE(K137,";",REPT(" ",99)),298,99)),FIND(":",TRIM(MID(SUBSTITUTE(K137,";",REPT(" ",99)),298,99)))+1,999))+1,999))-1)),IF(TRIM(MID(SUBSTITUTE(K137,";",REPT(" ",99)),397,99))="","",IFERROR(VLOOKUP(--LEFT(MID(TRIM(MID(SUBSTITUTE(K137,";",REPT(" ",99)),397,99)),FIND(":",TRIM(MID(SUBSTITUTE(K137,";",REPT(" ",99)),397,99)))+1,999),FIND(":",MID(TRIM(MID(SUBSTITUTE(K137,";",REPT(" ",99)),397,99)),FIND(":",TRIM(MID(SUBSTITUTE(K137,";",REPT(" ",99)),397,99)))+1,999))-1),_Lookup!$A:$B,2,FALSE),"?")&amp;"×"&amp;LEFT(MID(MID(TRIM(MID(SUBSTITUTE(K137,";",REPT(" ",99)),397,99)),FIND(":",TRIM(MID(SUBSTITUTE(K137,";",REPT(" ",99)),397,99)))+1,999),FIND(":",MID(TRIM(MID(SUBSTITUTE(K137,";",REPT(" ",99)),397,99)),FIND(":",TRIM(MID(SUBSTITUTE(K137,";",REPT(" ",99)),397,99)))+1,999))+1,999),FIND(":",MID(MID(TRIM(MID(SUBSTITUTE(K137,";",REPT(" ",99)),397,99)),FIND(":",TRIM(MID(SUBSTITUTE(K137,";",REPT(" ",99)),397,99)))+1,999),FIND(":",MID(TRIM(MID(SUBSTITUTE(K137,";",REPT(" ",99)),397,99)),FIND(":",TRIM(MID(SUBSTITUTE(K137,";",REPT(" ",99)),397,99)))+1,999))+1,999))-1))))</f>
        <v/>
      </c>
    </row>
    <row r="138">
      <c r="D138" s="11">
        <f>IFERROR(VLOOKUP(C138,ItemData_Fish!$A:$B,2,FALSE),"")</f>
        <v/>
      </c>
      <c r="L138" s="11">
        <f>IF(K138="","",TEXTJOIN("; ",TRUE,IF(TRIM(MID(SUBSTITUTE(K138,";",REPT(" ",99)),1,99))="","",IFERROR(VLOOKUP(--LEFT(MID(TRIM(MID(SUBSTITUTE(K138,";",REPT(" ",99)),1,99)),FIND(":",TRIM(MID(SUBSTITUTE(K138,";",REPT(" ",99)),1,99)))+1,999),FIND(":",MID(TRIM(MID(SUBSTITUTE(K138,";",REPT(" ",99)),1,99)),FIND(":",TRIM(MID(SUBSTITUTE(K138,";",REPT(" ",99)),1,99)))+1,999))-1),_Lookup!$A:$B,2,FALSE),"?")&amp;"×"&amp;LEFT(MID(MID(TRIM(MID(SUBSTITUTE(K138,";",REPT(" ",99)),1,99)),FIND(":",TRIM(MID(SUBSTITUTE(K138,";",REPT(" ",99)),1,99)))+1,999),FIND(":",MID(TRIM(MID(SUBSTITUTE(K138,";",REPT(" ",99)),1,99)),FIND(":",TRIM(MID(SUBSTITUTE(K138,";",REPT(" ",99)),1,99)))+1,999))+1,999),FIND(":",MID(MID(TRIM(MID(SUBSTITUTE(K138,";",REPT(" ",99)),1,99)),FIND(":",TRIM(MID(SUBSTITUTE(K138,";",REPT(" ",99)),1,99)))+1,999),FIND(":",MID(TRIM(MID(SUBSTITUTE(K138,";",REPT(" ",99)),1,99)),FIND(":",TRIM(MID(SUBSTITUTE(K138,";",REPT(" ",99)),1,99)))+1,999))+1,999))-1)),IF(TRIM(MID(SUBSTITUTE(K138,";",REPT(" ",99)),100,99))="","",IFERROR(VLOOKUP(--LEFT(MID(TRIM(MID(SUBSTITUTE(K138,";",REPT(" ",99)),100,99)),FIND(":",TRIM(MID(SUBSTITUTE(K138,";",REPT(" ",99)),100,99)))+1,999),FIND(":",MID(TRIM(MID(SUBSTITUTE(K138,";",REPT(" ",99)),100,99)),FIND(":",TRIM(MID(SUBSTITUTE(K138,";",REPT(" ",99)),100,99)))+1,999))-1),_Lookup!$A:$B,2,FALSE),"?")&amp;"×"&amp;LEFT(MID(MID(TRIM(MID(SUBSTITUTE(K138,";",REPT(" ",99)),100,99)),FIND(":",TRIM(MID(SUBSTITUTE(K138,";",REPT(" ",99)),100,99)))+1,999),FIND(":",MID(TRIM(MID(SUBSTITUTE(K138,";",REPT(" ",99)),100,99)),FIND(":",TRIM(MID(SUBSTITUTE(K138,";",REPT(" ",99)),100,99)))+1,999))+1,999),FIND(":",MID(MID(TRIM(MID(SUBSTITUTE(K138,";",REPT(" ",99)),100,99)),FIND(":",TRIM(MID(SUBSTITUTE(K138,";",REPT(" ",99)),100,99)))+1,999),FIND(":",MID(TRIM(MID(SUBSTITUTE(K138,";",REPT(" ",99)),100,99)),FIND(":",TRIM(MID(SUBSTITUTE(K138,";",REPT(" ",99)),100,99)))+1,999))+1,999))-1)),IF(TRIM(MID(SUBSTITUTE(K138,";",REPT(" ",99)),199,99))="","",IFERROR(VLOOKUP(--LEFT(MID(TRIM(MID(SUBSTITUTE(K138,";",REPT(" ",99)),199,99)),FIND(":",TRIM(MID(SUBSTITUTE(K138,";",REPT(" ",99)),199,99)))+1,999),FIND(":",MID(TRIM(MID(SUBSTITUTE(K138,";",REPT(" ",99)),199,99)),FIND(":",TRIM(MID(SUBSTITUTE(K138,";",REPT(" ",99)),199,99)))+1,999))-1),_Lookup!$A:$B,2,FALSE),"?")&amp;"×"&amp;LEFT(MID(MID(TRIM(MID(SUBSTITUTE(K138,";",REPT(" ",99)),199,99)),FIND(":",TRIM(MID(SUBSTITUTE(K138,";",REPT(" ",99)),199,99)))+1,999),FIND(":",MID(TRIM(MID(SUBSTITUTE(K138,";",REPT(" ",99)),199,99)),FIND(":",TRIM(MID(SUBSTITUTE(K138,";",REPT(" ",99)),199,99)))+1,999))+1,999),FIND(":",MID(MID(TRIM(MID(SUBSTITUTE(K138,";",REPT(" ",99)),199,99)),FIND(":",TRIM(MID(SUBSTITUTE(K138,";",REPT(" ",99)),199,99)))+1,999),FIND(":",MID(TRIM(MID(SUBSTITUTE(K138,";",REPT(" ",99)),199,99)),FIND(":",TRIM(MID(SUBSTITUTE(K138,";",REPT(" ",99)),199,99)))+1,999))+1,999))-1)),IF(TRIM(MID(SUBSTITUTE(K138,";",REPT(" ",99)),298,99))="","",IFERROR(VLOOKUP(--LEFT(MID(TRIM(MID(SUBSTITUTE(K138,";",REPT(" ",99)),298,99)),FIND(":",TRIM(MID(SUBSTITUTE(K138,";",REPT(" ",99)),298,99)))+1,999),FIND(":",MID(TRIM(MID(SUBSTITUTE(K138,";",REPT(" ",99)),298,99)),FIND(":",TRIM(MID(SUBSTITUTE(K138,";",REPT(" ",99)),298,99)))+1,999))-1),_Lookup!$A:$B,2,FALSE),"?")&amp;"×"&amp;LEFT(MID(MID(TRIM(MID(SUBSTITUTE(K138,";",REPT(" ",99)),298,99)),FIND(":",TRIM(MID(SUBSTITUTE(K138,";",REPT(" ",99)),298,99)))+1,999),FIND(":",MID(TRIM(MID(SUBSTITUTE(K138,";",REPT(" ",99)),298,99)),FIND(":",TRIM(MID(SUBSTITUTE(K138,";",REPT(" ",99)),298,99)))+1,999))+1,999),FIND(":",MID(MID(TRIM(MID(SUBSTITUTE(K138,";",REPT(" ",99)),298,99)),FIND(":",TRIM(MID(SUBSTITUTE(K138,";",REPT(" ",99)),298,99)))+1,999),FIND(":",MID(TRIM(MID(SUBSTITUTE(K138,";",REPT(" ",99)),298,99)),FIND(":",TRIM(MID(SUBSTITUTE(K138,";",REPT(" ",99)),298,99)))+1,999))+1,999))-1)),IF(TRIM(MID(SUBSTITUTE(K138,";",REPT(" ",99)),397,99))="","",IFERROR(VLOOKUP(--LEFT(MID(TRIM(MID(SUBSTITUTE(K138,";",REPT(" ",99)),397,99)),FIND(":",TRIM(MID(SUBSTITUTE(K138,";",REPT(" ",99)),397,99)))+1,999),FIND(":",MID(TRIM(MID(SUBSTITUTE(K138,";",REPT(" ",99)),397,99)),FIND(":",TRIM(MID(SUBSTITUTE(K138,";",REPT(" ",99)),397,99)))+1,999))-1),_Lookup!$A:$B,2,FALSE),"?")&amp;"×"&amp;LEFT(MID(MID(TRIM(MID(SUBSTITUTE(K138,";",REPT(" ",99)),397,99)),FIND(":",TRIM(MID(SUBSTITUTE(K138,";",REPT(" ",99)),397,99)))+1,999),FIND(":",MID(TRIM(MID(SUBSTITUTE(K138,";",REPT(" ",99)),397,99)),FIND(":",TRIM(MID(SUBSTITUTE(K138,";",REPT(" ",99)),397,99)))+1,999))+1,999),FIND(":",MID(MID(TRIM(MID(SUBSTITUTE(K138,";",REPT(" ",99)),397,99)),FIND(":",TRIM(MID(SUBSTITUTE(K138,";",REPT(" ",99)),397,99)))+1,999),FIND(":",MID(TRIM(MID(SUBSTITUTE(K138,";",REPT(" ",99)),397,99)),FIND(":",TRIM(MID(SUBSTITUTE(K138,";",REPT(" ",99)),397,99)))+1,999))+1,999))-1))))</f>
        <v/>
      </c>
    </row>
    <row r="139">
      <c r="D139" s="11">
        <f>IFERROR(VLOOKUP(C139,ItemData_Fish!$A:$B,2,FALSE),"")</f>
        <v/>
      </c>
      <c r="L139" s="11">
        <f>IF(K139="","",TEXTJOIN("; ",TRUE,IF(TRIM(MID(SUBSTITUTE(K139,";",REPT(" ",99)),1,99))="","",IFERROR(VLOOKUP(--LEFT(MID(TRIM(MID(SUBSTITUTE(K139,";",REPT(" ",99)),1,99)),FIND(":",TRIM(MID(SUBSTITUTE(K139,";",REPT(" ",99)),1,99)))+1,999),FIND(":",MID(TRIM(MID(SUBSTITUTE(K139,";",REPT(" ",99)),1,99)),FIND(":",TRIM(MID(SUBSTITUTE(K139,";",REPT(" ",99)),1,99)))+1,999))-1),_Lookup!$A:$B,2,FALSE),"?")&amp;"×"&amp;LEFT(MID(MID(TRIM(MID(SUBSTITUTE(K139,";",REPT(" ",99)),1,99)),FIND(":",TRIM(MID(SUBSTITUTE(K139,";",REPT(" ",99)),1,99)))+1,999),FIND(":",MID(TRIM(MID(SUBSTITUTE(K139,";",REPT(" ",99)),1,99)),FIND(":",TRIM(MID(SUBSTITUTE(K139,";",REPT(" ",99)),1,99)))+1,999))+1,999),FIND(":",MID(MID(TRIM(MID(SUBSTITUTE(K139,";",REPT(" ",99)),1,99)),FIND(":",TRIM(MID(SUBSTITUTE(K139,";",REPT(" ",99)),1,99)))+1,999),FIND(":",MID(TRIM(MID(SUBSTITUTE(K139,";",REPT(" ",99)),1,99)),FIND(":",TRIM(MID(SUBSTITUTE(K139,";",REPT(" ",99)),1,99)))+1,999))+1,999))-1)),IF(TRIM(MID(SUBSTITUTE(K139,";",REPT(" ",99)),100,99))="","",IFERROR(VLOOKUP(--LEFT(MID(TRIM(MID(SUBSTITUTE(K139,";",REPT(" ",99)),100,99)),FIND(":",TRIM(MID(SUBSTITUTE(K139,";",REPT(" ",99)),100,99)))+1,999),FIND(":",MID(TRIM(MID(SUBSTITUTE(K139,";",REPT(" ",99)),100,99)),FIND(":",TRIM(MID(SUBSTITUTE(K139,";",REPT(" ",99)),100,99)))+1,999))-1),_Lookup!$A:$B,2,FALSE),"?")&amp;"×"&amp;LEFT(MID(MID(TRIM(MID(SUBSTITUTE(K139,";",REPT(" ",99)),100,99)),FIND(":",TRIM(MID(SUBSTITUTE(K139,";",REPT(" ",99)),100,99)))+1,999),FIND(":",MID(TRIM(MID(SUBSTITUTE(K139,";",REPT(" ",99)),100,99)),FIND(":",TRIM(MID(SUBSTITUTE(K139,";",REPT(" ",99)),100,99)))+1,999))+1,999),FIND(":",MID(MID(TRIM(MID(SUBSTITUTE(K139,";",REPT(" ",99)),100,99)),FIND(":",TRIM(MID(SUBSTITUTE(K139,";",REPT(" ",99)),100,99)))+1,999),FIND(":",MID(TRIM(MID(SUBSTITUTE(K139,";",REPT(" ",99)),100,99)),FIND(":",TRIM(MID(SUBSTITUTE(K139,";",REPT(" ",99)),100,99)))+1,999))+1,999))-1)),IF(TRIM(MID(SUBSTITUTE(K139,";",REPT(" ",99)),199,99))="","",IFERROR(VLOOKUP(--LEFT(MID(TRIM(MID(SUBSTITUTE(K139,";",REPT(" ",99)),199,99)),FIND(":",TRIM(MID(SUBSTITUTE(K139,";",REPT(" ",99)),199,99)))+1,999),FIND(":",MID(TRIM(MID(SUBSTITUTE(K139,";",REPT(" ",99)),199,99)),FIND(":",TRIM(MID(SUBSTITUTE(K139,";",REPT(" ",99)),199,99)))+1,999))-1),_Lookup!$A:$B,2,FALSE),"?")&amp;"×"&amp;LEFT(MID(MID(TRIM(MID(SUBSTITUTE(K139,";",REPT(" ",99)),199,99)),FIND(":",TRIM(MID(SUBSTITUTE(K139,";",REPT(" ",99)),199,99)))+1,999),FIND(":",MID(TRIM(MID(SUBSTITUTE(K139,";",REPT(" ",99)),199,99)),FIND(":",TRIM(MID(SUBSTITUTE(K139,";",REPT(" ",99)),199,99)))+1,999))+1,999),FIND(":",MID(MID(TRIM(MID(SUBSTITUTE(K139,";",REPT(" ",99)),199,99)),FIND(":",TRIM(MID(SUBSTITUTE(K139,";",REPT(" ",99)),199,99)))+1,999),FIND(":",MID(TRIM(MID(SUBSTITUTE(K139,";",REPT(" ",99)),199,99)),FIND(":",TRIM(MID(SUBSTITUTE(K139,";",REPT(" ",99)),199,99)))+1,999))+1,999))-1)),IF(TRIM(MID(SUBSTITUTE(K139,";",REPT(" ",99)),298,99))="","",IFERROR(VLOOKUP(--LEFT(MID(TRIM(MID(SUBSTITUTE(K139,";",REPT(" ",99)),298,99)),FIND(":",TRIM(MID(SUBSTITUTE(K139,";",REPT(" ",99)),298,99)))+1,999),FIND(":",MID(TRIM(MID(SUBSTITUTE(K139,";",REPT(" ",99)),298,99)),FIND(":",TRIM(MID(SUBSTITUTE(K139,";",REPT(" ",99)),298,99)))+1,999))-1),_Lookup!$A:$B,2,FALSE),"?")&amp;"×"&amp;LEFT(MID(MID(TRIM(MID(SUBSTITUTE(K139,";",REPT(" ",99)),298,99)),FIND(":",TRIM(MID(SUBSTITUTE(K139,";",REPT(" ",99)),298,99)))+1,999),FIND(":",MID(TRIM(MID(SUBSTITUTE(K139,";",REPT(" ",99)),298,99)),FIND(":",TRIM(MID(SUBSTITUTE(K139,";",REPT(" ",99)),298,99)))+1,999))+1,999),FIND(":",MID(MID(TRIM(MID(SUBSTITUTE(K139,";",REPT(" ",99)),298,99)),FIND(":",TRIM(MID(SUBSTITUTE(K139,";",REPT(" ",99)),298,99)))+1,999),FIND(":",MID(TRIM(MID(SUBSTITUTE(K139,";",REPT(" ",99)),298,99)),FIND(":",TRIM(MID(SUBSTITUTE(K139,";",REPT(" ",99)),298,99)))+1,999))+1,999))-1)),IF(TRIM(MID(SUBSTITUTE(K139,";",REPT(" ",99)),397,99))="","",IFERROR(VLOOKUP(--LEFT(MID(TRIM(MID(SUBSTITUTE(K139,";",REPT(" ",99)),397,99)),FIND(":",TRIM(MID(SUBSTITUTE(K139,";",REPT(" ",99)),397,99)))+1,999),FIND(":",MID(TRIM(MID(SUBSTITUTE(K139,";",REPT(" ",99)),397,99)),FIND(":",TRIM(MID(SUBSTITUTE(K139,";",REPT(" ",99)),397,99)))+1,999))-1),_Lookup!$A:$B,2,FALSE),"?")&amp;"×"&amp;LEFT(MID(MID(TRIM(MID(SUBSTITUTE(K139,";",REPT(" ",99)),397,99)),FIND(":",TRIM(MID(SUBSTITUTE(K139,";",REPT(" ",99)),397,99)))+1,999),FIND(":",MID(TRIM(MID(SUBSTITUTE(K139,";",REPT(" ",99)),397,99)),FIND(":",TRIM(MID(SUBSTITUTE(K139,";",REPT(" ",99)),397,99)))+1,999))+1,999),FIND(":",MID(MID(TRIM(MID(SUBSTITUTE(K139,";",REPT(" ",99)),397,99)),FIND(":",TRIM(MID(SUBSTITUTE(K139,";",REPT(" ",99)),397,99)))+1,999),FIND(":",MID(TRIM(MID(SUBSTITUTE(K139,";",REPT(" ",99)),397,99)),FIND(":",TRIM(MID(SUBSTITUTE(K139,";",REPT(" ",99)),397,99)))+1,999))+1,999))-1))))</f>
        <v/>
      </c>
    </row>
    <row r="140">
      <c r="D140" s="11">
        <f>IFERROR(VLOOKUP(C140,ItemData_Fish!$A:$B,2,FALSE),"")</f>
        <v/>
      </c>
      <c r="L140" s="11">
        <f>IF(K140="","",TEXTJOIN("; ",TRUE,IF(TRIM(MID(SUBSTITUTE(K140,";",REPT(" ",99)),1,99))="","",IFERROR(VLOOKUP(--LEFT(MID(TRIM(MID(SUBSTITUTE(K140,";",REPT(" ",99)),1,99)),FIND(":",TRIM(MID(SUBSTITUTE(K140,";",REPT(" ",99)),1,99)))+1,999),FIND(":",MID(TRIM(MID(SUBSTITUTE(K140,";",REPT(" ",99)),1,99)),FIND(":",TRIM(MID(SUBSTITUTE(K140,";",REPT(" ",99)),1,99)))+1,999))-1),_Lookup!$A:$B,2,FALSE),"?")&amp;"×"&amp;LEFT(MID(MID(TRIM(MID(SUBSTITUTE(K140,";",REPT(" ",99)),1,99)),FIND(":",TRIM(MID(SUBSTITUTE(K140,";",REPT(" ",99)),1,99)))+1,999),FIND(":",MID(TRIM(MID(SUBSTITUTE(K140,";",REPT(" ",99)),1,99)),FIND(":",TRIM(MID(SUBSTITUTE(K140,";",REPT(" ",99)),1,99)))+1,999))+1,999),FIND(":",MID(MID(TRIM(MID(SUBSTITUTE(K140,";",REPT(" ",99)),1,99)),FIND(":",TRIM(MID(SUBSTITUTE(K140,";",REPT(" ",99)),1,99)))+1,999),FIND(":",MID(TRIM(MID(SUBSTITUTE(K140,";",REPT(" ",99)),1,99)),FIND(":",TRIM(MID(SUBSTITUTE(K140,";",REPT(" ",99)),1,99)))+1,999))+1,999))-1)),IF(TRIM(MID(SUBSTITUTE(K140,";",REPT(" ",99)),100,99))="","",IFERROR(VLOOKUP(--LEFT(MID(TRIM(MID(SUBSTITUTE(K140,";",REPT(" ",99)),100,99)),FIND(":",TRIM(MID(SUBSTITUTE(K140,";",REPT(" ",99)),100,99)))+1,999),FIND(":",MID(TRIM(MID(SUBSTITUTE(K140,";",REPT(" ",99)),100,99)),FIND(":",TRIM(MID(SUBSTITUTE(K140,";",REPT(" ",99)),100,99)))+1,999))-1),_Lookup!$A:$B,2,FALSE),"?")&amp;"×"&amp;LEFT(MID(MID(TRIM(MID(SUBSTITUTE(K140,";",REPT(" ",99)),100,99)),FIND(":",TRIM(MID(SUBSTITUTE(K140,";",REPT(" ",99)),100,99)))+1,999),FIND(":",MID(TRIM(MID(SUBSTITUTE(K140,";",REPT(" ",99)),100,99)),FIND(":",TRIM(MID(SUBSTITUTE(K140,";",REPT(" ",99)),100,99)))+1,999))+1,999),FIND(":",MID(MID(TRIM(MID(SUBSTITUTE(K140,";",REPT(" ",99)),100,99)),FIND(":",TRIM(MID(SUBSTITUTE(K140,";",REPT(" ",99)),100,99)))+1,999),FIND(":",MID(TRIM(MID(SUBSTITUTE(K140,";",REPT(" ",99)),100,99)),FIND(":",TRIM(MID(SUBSTITUTE(K140,";",REPT(" ",99)),100,99)))+1,999))+1,999))-1)),IF(TRIM(MID(SUBSTITUTE(K140,";",REPT(" ",99)),199,99))="","",IFERROR(VLOOKUP(--LEFT(MID(TRIM(MID(SUBSTITUTE(K140,";",REPT(" ",99)),199,99)),FIND(":",TRIM(MID(SUBSTITUTE(K140,";",REPT(" ",99)),199,99)))+1,999),FIND(":",MID(TRIM(MID(SUBSTITUTE(K140,";",REPT(" ",99)),199,99)),FIND(":",TRIM(MID(SUBSTITUTE(K140,";",REPT(" ",99)),199,99)))+1,999))-1),_Lookup!$A:$B,2,FALSE),"?")&amp;"×"&amp;LEFT(MID(MID(TRIM(MID(SUBSTITUTE(K140,";",REPT(" ",99)),199,99)),FIND(":",TRIM(MID(SUBSTITUTE(K140,";",REPT(" ",99)),199,99)))+1,999),FIND(":",MID(TRIM(MID(SUBSTITUTE(K140,";",REPT(" ",99)),199,99)),FIND(":",TRIM(MID(SUBSTITUTE(K140,";",REPT(" ",99)),199,99)))+1,999))+1,999),FIND(":",MID(MID(TRIM(MID(SUBSTITUTE(K140,";",REPT(" ",99)),199,99)),FIND(":",TRIM(MID(SUBSTITUTE(K140,";",REPT(" ",99)),199,99)))+1,999),FIND(":",MID(TRIM(MID(SUBSTITUTE(K140,";",REPT(" ",99)),199,99)),FIND(":",TRIM(MID(SUBSTITUTE(K140,";",REPT(" ",99)),199,99)))+1,999))+1,999))-1)),IF(TRIM(MID(SUBSTITUTE(K140,";",REPT(" ",99)),298,99))="","",IFERROR(VLOOKUP(--LEFT(MID(TRIM(MID(SUBSTITUTE(K140,";",REPT(" ",99)),298,99)),FIND(":",TRIM(MID(SUBSTITUTE(K140,";",REPT(" ",99)),298,99)))+1,999),FIND(":",MID(TRIM(MID(SUBSTITUTE(K140,";",REPT(" ",99)),298,99)),FIND(":",TRIM(MID(SUBSTITUTE(K140,";",REPT(" ",99)),298,99)))+1,999))-1),_Lookup!$A:$B,2,FALSE),"?")&amp;"×"&amp;LEFT(MID(MID(TRIM(MID(SUBSTITUTE(K140,";",REPT(" ",99)),298,99)),FIND(":",TRIM(MID(SUBSTITUTE(K140,";",REPT(" ",99)),298,99)))+1,999),FIND(":",MID(TRIM(MID(SUBSTITUTE(K140,";",REPT(" ",99)),298,99)),FIND(":",TRIM(MID(SUBSTITUTE(K140,";",REPT(" ",99)),298,99)))+1,999))+1,999),FIND(":",MID(MID(TRIM(MID(SUBSTITUTE(K140,";",REPT(" ",99)),298,99)),FIND(":",TRIM(MID(SUBSTITUTE(K140,";",REPT(" ",99)),298,99)))+1,999),FIND(":",MID(TRIM(MID(SUBSTITUTE(K140,";",REPT(" ",99)),298,99)),FIND(":",TRIM(MID(SUBSTITUTE(K140,";",REPT(" ",99)),298,99)))+1,999))+1,999))-1)),IF(TRIM(MID(SUBSTITUTE(K140,";",REPT(" ",99)),397,99))="","",IFERROR(VLOOKUP(--LEFT(MID(TRIM(MID(SUBSTITUTE(K140,";",REPT(" ",99)),397,99)),FIND(":",TRIM(MID(SUBSTITUTE(K140,";",REPT(" ",99)),397,99)))+1,999),FIND(":",MID(TRIM(MID(SUBSTITUTE(K140,";",REPT(" ",99)),397,99)),FIND(":",TRIM(MID(SUBSTITUTE(K140,";",REPT(" ",99)),397,99)))+1,999))-1),_Lookup!$A:$B,2,FALSE),"?")&amp;"×"&amp;LEFT(MID(MID(TRIM(MID(SUBSTITUTE(K140,";",REPT(" ",99)),397,99)),FIND(":",TRIM(MID(SUBSTITUTE(K140,";",REPT(" ",99)),397,99)))+1,999),FIND(":",MID(TRIM(MID(SUBSTITUTE(K140,";",REPT(" ",99)),397,99)),FIND(":",TRIM(MID(SUBSTITUTE(K140,";",REPT(" ",99)),397,99)))+1,999))+1,999),FIND(":",MID(MID(TRIM(MID(SUBSTITUTE(K140,";",REPT(" ",99)),397,99)),FIND(":",TRIM(MID(SUBSTITUTE(K140,";",REPT(" ",99)),397,99)))+1,999),FIND(":",MID(TRIM(MID(SUBSTITUTE(K140,";",REPT(" ",99)),397,99)),FIND(":",TRIM(MID(SUBSTITUTE(K140,";",REPT(" ",99)),397,99)))+1,999))+1,999))-1))))</f>
        <v/>
      </c>
    </row>
    <row r="141">
      <c r="D141" s="11">
        <f>IFERROR(VLOOKUP(C141,ItemData_Fish!$A:$B,2,FALSE),"")</f>
        <v/>
      </c>
      <c r="L141" s="11">
        <f>IF(K141="","",TEXTJOIN("; ",TRUE,IF(TRIM(MID(SUBSTITUTE(K141,";",REPT(" ",99)),1,99))="","",IFERROR(VLOOKUP(--LEFT(MID(TRIM(MID(SUBSTITUTE(K141,";",REPT(" ",99)),1,99)),FIND(":",TRIM(MID(SUBSTITUTE(K141,";",REPT(" ",99)),1,99)))+1,999),FIND(":",MID(TRIM(MID(SUBSTITUTE(K141,";",REPT(" ",99)),1,99)),FIND(":",TRIM(MID(SUBSTITUTE(K141,";",REPT(" ",99)),1,99)))+1,999))-1),_Lookup!$A:$B,2,FALSE),"?")&amp;"×"&amp;LEFT(MID(MID(TRIM(MID(SUBSTITUTE(K141,";",REPT(" ",99)),1,99)),FIND(":",TRIM(MID(SUBSTITUTE(K141,";",REPT(" ",99)),1,99)))+1,999),FIND(":",MID(TRIM(MID(SUBSTITUTE(K141,";",REPT(" ",99)),1,99)),FIND(":",TRIM(MID(SUBSTITUTE(K141,";",REPT(" ",99)),1,99)))+1,999))+1,999),FIND(":",MID(MID(TRIM(MID(SUBSTITUTE(K141,";",REPT(" ",99)),1,99)),FIND(":",TRIM(MID(SUBSTITUTE(K141,";",REPT(" ",99)),1,99)))+1,999),FIND(":",MID(TRIM(MID(SUBSTITUTE(K141,";",REPT(" ",99)),1,99)),FIND(":",TRIM(MID(SUBSTITUTE(K141,";",REPT(" ",99)),1,99)))+1,999))+1,999))-1)),IF(TRIM(MID(SUBSTITUTE(K141,";",REPT(" ",99)),100,99))="","",IFERROR(VLOOKUP(--LEFT(MID(TRIM(MID(SUBSTITUTE(K141,";",REPT(" ",99)),100,99)),FIND(":",TRIM(MID(SUBSTITUTE(K141,";",REPT(" ",99)),100,99)))+1,999),FIND(":",MID(TRIM(MID(SUBSTITUTE(K141,";",REPT(" ",99)),100,99)),FIND(":",TRIM(MID(SUBSTITUTE(K141,";",REPT(" ",99)),100,99)))+1,999))-1),_Lookup!$A:$B,2,FALSE),"?")&amp;"×"&amp;LEFT(MID(MID(TRIM(MID(SUBSTITUTE(K141,";",REPT(" ",99)),100,99)),FIND(":",TRIM(MID(SUBSTITUTE(K141,";",REPT(" ",99)),100,99)))+1,999),FIND(":",MID(TRIM(MID(SUBSTITUTE(K141,";",REPT(" ",99)),100,99)),FIND(":",TRIM(MID(SUBSTITUTE(K141,";",REPT(" ",99)),100,99)))+1,999))+1,999),FIND(":",MID(MID(TRIM(MID(SUBSTITUTE(K141,";",REPT(" ",99)),100,99)),FIND(":",TRIM(MID(SUBSTITUTE(K141,";",REPT(" ",99)),100,99)))+1,999),FIND(":",MID(TRIM(MID(SUBSTITUTE(K141,";",REPT(" ",99)),100,99)),FIND(":",TRIM(MID(SUBSTITUTE(K141,";",REPT(" ",99)),100,99)))+1,999))+1,999))-1)),IF(TRIM(MID(SUBSTITUTE(K141,";",REPT(" ",99)),199,99))="","",IFERROR(VLOOKUP(--LEFT(MID(TRIM(MID(SUBSTITUTE(K141,";",REPT(" ",99)),199,99)),FIND(":",TRIM(MID(SUBSTITUTE(K141,";",REPT(" ",99)),199,99)))+1,999),FIND(":",MID(TRIM(MID(SUBSTITUTE(K141,";",REPT(" ",99)),199,99)),FIND(":",TRIM(MID(SUBSTITUTE(K141,";",REPT(" ",99)),199,99)))+1,999))-1),_Lookup!$A:$B,2,FALSE),"?")&amp;"×"&amp;LEFT(MID(MID(TRIM(MID(SUBSTITUTE(K141,";",REPT(" ",99)),199,99)),FIND(":",TRIM(MID(SUBSTITUTE(K141,";",REPT(" ",99)),199,99)))+1,999),FIND(":",MID(TRIM(MID(SUBSTITUTE(K141,";",REPT(" ",99)),199,99)),FIND(":",TRIM(MID(SUBSTITUTE(K141,";",REPT(" ",99)),199,99)))+1,999))+1,999),FIND(":",MID(MID(TRIM(MID(SUBSTITUTE(K141,";",REPT(" ",99)),199,99)),FIND(":",TRIM(MID(SUBSTITUTE(K141,";",REPT(" ",99)),199,99)))+1,999),FIND(":",MID(TRIM(MID(SUBSTITUTE(K141,";",REPT(" ",99)),199,99)),FIND(":",TRIM(MID(SUBSTITUTE(K141,";",REPT(" ",99)),199,99)))+1,999))+1,999))-1)),IF(TRIM(MID(SUBSTITUTE(K141,";",REPT(" ",99)),298,99))="","",IFERROR(VLOOKUP(--LEFT(MID(TRIM(MID(SUBSTITUTE(K141,";",REPT(" ",99)),298,99)),FIND(":",TRIM(MID(SUBSTITUTE(K141,";",REPT(" ",99)),298,99)))+1,999),FIND(":",MID(TRIM(MID(SUBSTITUTE(K141,";",REPT(" ",99)),298,99)),FIND(":",TRIM(MID(SUBSTITUTE(K141,";",REPT(" ",99)),298,99)))+1,999))-1),_Lookup!$A:$B,2,FALSE),"?")&amp;"×"&amp;LEFT(MID(MID(TRIM(MID(SUBSTITUTE(K141,";",REPT(" ",99)),298,99)),FIND(":",TRIM(MID(SUBSTITUTE(K141,";",REPT(" ",99)),298,99)))+1,999),FIND(":",MID(TRIM(MID(SUBSTITUTE(K141,";",REPT(" ",99)),298,99)),FIND(":",TRIM(MID(SUBSTITUTE(K141,";",REPT(" ",99)),298,99)))+1,999))+1,999),FIND(":",MID(MID(TRIM(MID(SUBSTITUTE(K141,";",REPT(" ",99)),298,99)),FIND(":",TRIM(MID(SUBSTITUTE(K141,";",REPT(" ",99)),298,99)))+1,999),FIND(":",MID(TRIM(MID(SUBSTITUTE(K141,";",REPT(" ",99)),298,99)),FIND(":",TRIM(MID(SUBSTITUTE(K141,";",REPT(" ",99)),298,99)))+1,999))+1,999))-1)),IF(TRIM(MID(SUBSTITUTE(K141,";",REPT(" ",99)),397,99))="","",IFERROR(VLOOKUP(--LEFT(MID(TRIM(MID(SUBSTITUTE(K141,";",REPT(" ",99)),397,99)),FIND(":",TRIM(MID(SUBSTITUTE(K141,";",REPT(" ",99)),397,99)))+1,999),FIND(":",MID(TRIM(MID(SUBSTITUTE(K141,";",REPT(" ",99)),397,99)),FIND(":",TRIM(MID(SUBSTITUTE(K141,";",REPT(" ",99)),397,99)))+1,999))-1),_Lookup!$A:$B,2,FALSE),"?")&amp;"×"&amp;LEFT(MID(MID(TRIM(MID(SUBSTITUTE(K141,";",REPT(" ",99)),397,99)),FIND(":",TRIM(MID(SUBSTITUTE(K141,";",REPT(" ",99)),397,99)))+1,999),FIND(":",MID(TRIM(MID(SUBSTITUTE(K141,";",REPT(" ",99)),397,99)),FIND(":",TRIM(MID(SUBSTITUTE(K141,";",REPT(" ",99)),397,99)))+1,999))+1,999),FIND(":",MID(MID(TRIM(MID(SUBSTITUTE(K141,";",REPT(" ",99)),397,99)),FIND(":",TRIM(MID(SUBSTITUTE(K141,";",REPT(" ",99)),397,99)))+1,999),FIND(":",MID(TRIM(MID(SUBSTITUTE(K141,";",REPT(" ",99)),397,99)),FIND(":",TRIM(MID(SUBSTITUTE(K141,";",REPT(" ",99)),397,99)))+1,999))+1,999))-1))))</f>
        <v/>
      </c>
    </row>
    <row r="142">
      <c r="D142" s="11">
        <f>IFERROR(VLOOKUP(C142,ItemData_Fish!$A:$B,2,FALSE),"")</f>
        <v/>
      </c>
      <c r="L142" s="11">
        <f>IF(K142="","",TEXTJOIN("; ",TRUE,IF(TRIM(MID(SUBSTITUTE(K142,";",REPT(" ",99)),1,99))="","",IFERROR(VLOOKUP(--LEFT(MID(TRIM(MID(SUBSTITUTE(K142,";",REPT(" ",99)),1,99)),FIND(":",TRIM(MID(SUBSTITUTE(K142,";",REPT(" ",99)),1,99)))+1,999),FIND(":",MID(TRIM(MID(SUBSTITUTE(K142,";",REPT(" ",99)),1,99)),FIND(":",TRIM(MID(SUBSTITUTE(K142,";",REPT(" ",99)),1,99)))+1,999))-1),_Lookup!$A:$B,2,FALSE),"?")&amp;"×"&amp;LEFT(MID(MID(TRIM(MID(SUBSTITUTE(K142,";",REPT(" ",99)),1,99)),FIND(":",TRIM(MID(SUBSTITUTE(K142,";",REPT(" ",99)),1,99)))+1,999),FIND(":",MID(TRIM(MID(SUBSTITUTE(K142,";",REPT(" ",99)),1,99)),FIND(":",TRIM(MID(SUBSTITUTE(K142,";",REPT(" ",99)),1,99)))+1,999))+1,999),FIND(":",MID(MID(TRIM(MID(SUBSTITUTE(K142,";",REPT(" ",99)),1,99)),FIND(":",TRIM(MID(SUBSTITUTE(K142,";",REPT(" ",99)),1,99)))+1,999),FIND(":",MID(TRIM(MID(SUBSTITUTE(K142,";",REPT(" ",99)),1,99)),FIND(":",TRIM(MID(SUBSTITUTE(K142,";",REPT(" ",99)),1,99)))+1,999))+1,999))-1)),IF(TRIM(MID(SUBSTITUTE(K142,";",REPT(" ",99)),100,99))="","",IFERROR(VLOOKUP(--LEFT(MID(TRIM(MID(SUBSTITUTE(K142,";",REPT(" ",99)),100,99)),FIND(":",TRIM(MID(SUBSTITUTE(K142,";",REPT(" ",99)),100,99)))+1,999),FIND(":",MID(TRIM(MID(SUBSTITUTE(K142,";",REPT(" ",99)),100,99)),FIND(":",TRIM(MID(SUBSTITUTE(K142,";",REPT(" ",99)),100,99)))+1,999))-1),_Lookup!$A:$B,2,FALSE),"?")&amp;"×"&amp;LEFT(MID(MID(TRIM(MID(SUBSTITUTE(K142,";",REPT(" ",99)),100,99)),FIND(":",TRIM(MID(SUBSTITUTE(K142,";",REPT(" ",99)),100,99)))+1,999),FIND(":",MID(TRIM(MID(SUBSTITUTE(K142,";",REPT(" ",99)),100,99)),FIND(":",TRIM(MID(SUBSTITUTE(K142,";",REPT(" ",99)),100,99)))+1,999))+1,999),FIND(":",MID(MID(TRIM(MID(SUBSTITUTE(K142,";",REPT(" ",99)),100,99)),FIND(":",TRIM(MID(SUBSTITUTE(K142,";",REPT(" ",99)),100,99)))+1,999),FIND(":",MID(TRIM(MID(SUBSTITUTE(K142,";",REPT(" ",99)),100,99)),FIND(":",TRIM(MID(SUBSTITUTE(K142,";",REPT(" ",99)),100,99)))+1,999))+1,999))-1)),IF(TRIM(MID(SUBSTITUTE(K142,";",REPT(" ",99)),199,99))="","",IFERROR(VLOOKUP(--LEFT(MID(TRIM(MID(SUBSTITUTE(K142,";",REPT(" ",99)),199,99)),FIND(":",TRIM(MID(SUBSTITUTE(K142,";",REPT(" ",99)),199,99)))+1,999),FIND(":",MID(TRIM(MID(SUBSTITUTE(K142,";",REPT(" ",99)),199,99)),FIND(":",TRIM(MID(SUBSTITUTE(K142,";",REPT(" ",99)),199,99)))+1,999))-1),_Lookup!$A:$B,2,FALSE),"?")&amp;"×"&amp;LEFT(MID(MID(TRIM(MID(SUBSTITUTE(K142,";",REPT(" ",99)),199,99)),FIND(":",TRIM(MID(SUBSTITUTE(K142,";",REPT(" ",99)),199,99)))+1,999),FIND(":",MID(TRIM(MID(SUBSTITUTE(K142,";",REPT(" ",99)),199,99)),FIND(":",TRIM(MID(SUBSTITUTE(K142,";",REPT(" ",99)),199,99)))+1,999))+1,999),FIND(":",MID(MID(TRIM(MID(SUBSTITUTE(K142,";",REPT(" ",99)),199,99)),FIND(":",TRIM(MID(SUBSTITUTE(K142,";",REPT(" ",99)),199,99)))+1,999),FIND(":",MID(TRIM(MID(SUBSTITUTE(K142,";",REPT(" ",99)),199,99)),FIND(":",TRIM(MID(SUBSTITUTE(K142,";",REPT(" ",99)),199,99)))+1,999))+1,999))-1)),IF(TRIM(MID(SUBSTITUTE(K142,";",REPT(" ",99)),298,99))="","",IFERROR(VLOOKUP(--LEFT(MID(TRIM(MID(SUBSTITUTE(K142,";",REPT(" ",99)),298,99)),FIND(":",TRIM(MID(SUBSTITUTE(K142,";",REPT(" ",99)),298,99)))+1,999),FIND(":",MID(TRIM(MID(SUBSTITUTE(K142,";",REPT(" ",99)),298,99)),FIND(":",TRIM(MID(SUBSTITUTE(K142,";",REPT(" ",99)),298,99)))+1,999))-1),_Lookup!$A:$B,2,FALSE),"?")&amp;"×"&amp;LEFT(MID(MID(TRIM(MID(SUBSTITUTE(K142,";",REPT(" ",99)),298,99)),FIND(":",TRIM(MID(SUBSTITUTE(K142,";",REPT(" ",99)),298,99)))+1,999),FIND(":",MID(TRIM(MID(SUBSTITUTE(K142,";",REPT(" ",99)),298,99)),FIND(":",TRIM(MID(SUBSTITUTE(K142,";",REPT(" ",99)),298,99)))+1,999))+1,999),FIND(":",MID(MID(TRIM(MID(SUBSTITUTE(K142,";",REPT(" ",99)),298,99)),FIND(":",TRIM(MID(SUBSTITUTE(K142,";",REPT(" ",99)),298,99)))+1,999),FIND(":",MID(TRIM(MID(SUBSTITUTE(K142,";",REPT(" ",99)),298,99)),FIND(":",TRIM(MID(SUBSTITUTE(K142,";",REPT(" ",99)),298,99)))+1,999))+1,999))-1)),IF(TRIM(MID(SUBSTITUTE(K142,";",REPT(" ",99)),397,99))="","",IFERROR(VLOOKUP(--LEFT(MID(TRIM(MID(SUBSTITUTE(K142,";",REPT(" ",99)),397,99)),FIND(":",TRIM(MID(SUBSTITUTE(K142,";",REPT(" ",99)),397,99)))+1,999),FIND(":",MID(TRIM(MID(SUBSTITUTE(K142,";",REPT(" ",99)),397,99)),FIND(":",TRIM(MID(SUBSTITUTE(K142,";",REPT(" ",99)),397,99)))+1,999))-1),_Lookup!$A:$B,2,FALSE),"?")&amp;"×"&amp;LEFT(MID(MID(TRIM(MID(SUBSTITUTE(K142,";",REPT(" ",99)),397,99)),FIND(":",TRIM(MID(SUBSTITUTE(K142,";",REPT(" ",99)),397,99)))+1,999),FIND(":",MID(TRIM(MID(SUBSTITUTE(K142,";",REPT(" ",99)),397,99)),FIND(":",TRIM(MID(SUBSTITUTE(K142,";",REPT(" ",99)),397,99)))+1,999))+1,999),FIND(":",MID(MID(TRIM(MID(SUBSTITUTE(K142,";",REPT(" ",99)),397,99)),FIND(":",TRIM(MID(SUBSTITUTE(K142,";",REPT(" ",99)),397,99)))+1,999),FIND(":",MID(TRIM(MID(SUBSTITUTE(K142,";",REPT(" ",99)),397,99)),FIND(":",TRIM(MID(SUBSTITUTE(K142,";",REPT(" ",99)),397,99)))+1,999))+1,999))-1))))</f>
        <v/>
      </c>
    </row>
    <row r="143">
      <c r="D143" s="11">
        <f>IFERROR(VLOOKUP(C143,ItemData_Fish!$A:$B,2,FALSE),"")</f>
        <v/>
      </c>
      <c r="L143" s="11">
        <f>IF(K143="","",TEXTJOIN("; ",TRUE,IF(TRIM(MID(SUBSTITUTE(K143,";",REPT(" ",99)),1,99))="","",IFERROR(VLOOKUP(--LEFT(MID(TRIM(MID(SUBSTITUTE(K143,";",REPT(" ",99)),1,99)),FIND(":",TRIM(MID(SUBSTITUTE(K143,";",REPT(" ",99)),1,99)))+1,999),FIND(":",MID(TRIM(MID(SUBSTITUTE(K143,";",REPT(" ",99)),1,99)),FIND(":",TRIM(MID(SUBSTITUTE(K143,";",REPT(" ",99)),1,99)))+1,999))-1),_Lookup!$A:$B,2,FALSE),"?")&amp;"×"&amp;LEFT(MID(MID(TRIM(MID(SUBSTITUTE(K143,";",REPT(" ",99)),1,99)),FIND(":",TRIM(MID(SUBSTITUTE(K143,";",REPT(" ",99)),1,99)))+1,999),FIND(":",MID(TRIM(MID(SUBSTITUTE(K143,";",REPT(" ",99)),1,99)),FIND(":",TRIM(MID(SUBSTITUTE(K143,";",REPT(" ",99)),1,99)))+1,999))+1,999),FIND(":",MID(MID(TRIM(MID(SUBSTITUTE(K143,";",REPT(" ",99)),1,99)),FIND(":",TRIM(MID(SUBSTITUTE(K143,";",REPT(" ",99)),1,99)))+1,999),FIND(":",MID(TRIM(MID(SUBSTITUTE(K143,";",REPT(" ",99)),1,99)),FIND(":",TRIM(MID(SUBSTITUTE(K143,";",REPT(" ",99)),1,99)))+1,999))+1,999))-1)),IF(TRIM(MID(SUBSTITUTE(K143,";",REPT(" ",99)),100,99))="","",IFERROR(VLOOKUP(--LEFT(MID(TRIM(MID(SUBSTITUTE(K143,";",REPT(" ",99)),100,99)),FIND(":",TRIM(MID(SUBSTITUTE(K143,";",REPT(" ",99)),100,99)))+1,999),FIND(":",MID(TRIM(MID(SUBSTITUTE(K143,";",REPT(" ",99)),100,99)),FIND(":",TRIM(MID(SUBSTITUTE(K143,";",REPT(" ",99)),100,99)))+1,999))-1),_Lookup!$A:$B,2,FALSE),"?")&amp;"×"&amp;LEFT(MID(MID(TRIM(MID(SUBSTITUTE(K143,";",REPT(" ",99)),100,99)),FIND(":",TRIM(MID(SUBSTITUTE(K143,";",REPT(" ",99)),100,99)))+1,999),FIND(":",MID(TRIM(MID(SUBSTITUTE(K143,";",REPT(" ",99)),100,99)),FIND(":",TRIM(MID(SUBSTITUTE(K143,";",REPT(" ",99)),100,99)))+1,999))+1,999),FIND(":",MID(MID(TRIM(MID(SUBSTITUTE(K143,";",REPT(" ",99)),100,99)),FIND(":",TRIM(MID(SUBSTITUTE(K143,";",REPT(" ",99)),100,99)))+1,999),FIND(":",MID(TRIM(MID(SUBSTITUTE(K143,";",REPT(" ",99)),100,99)),FIND(":",TRIM(MID(SUBSTITUTE(K143,";",REPT(" ",99)),100,99)))+1,999))+1,999))-1)),IF(TRIM(MID(SUBSTITUTE(K143,";",REPT(" ",99)),199,99))="","",IFERROR(VLOOKUP(--LEFT(MID(TRIM(MID(SUBSTITUTE(K143,";",REPT(" ",99)),199,99)),FIND(":",TRIM(MID(SUBSTITUTE(K143,";",REPT(" ",99)),199,99)))+1,999),FIND(":",MID(TRIM(MID(SUBSTITUTE(K143,";",REPT(" ",99)),199,99)),FIND(":",TRIM(MID(SUBSTITUTE(K143,";",REPT(" ",99)),199,99)))+1,999))-1),_Lookup!$A:$B,2,FALSE),"?")&amp;"×"&amp;LEFT(MID(MID(TRIM(MID(SUBSTITUTE(K143,";",REPT(" ",99)),199,99)),FIND(":",TRIM(MID(SUBSTITUTE(K143,";",REPT(" ",99)),199,99)))+1,999),FIND(":",MID(TRIM(MID(SUBSTITUTE(K143,";",REPT(" ",99)),199,99)),FIND(":",TRIM(MID(SUBSTITUTE(K143,";",REPT(" ",99)),199,99)))+1,999))+1,999),FIND(":",MID(MID(TRIM(MID(SUBSTITUTE(K143,";",REPT(" ",99)),199,99)),FIND(":",TRIM(MID(SUBSTITUTE(K143,";",REPT(" ",99)),199,99)))+1,999),FIND(":",MID(TRIM(MID(SUBSTITUTE(K143,";",REPT(" ",99)),199,99)),FIND(":",TRIM(MID(SUBSTITUTE(K143,";",REPT(" ",99)),199,99)))+1,999))+1,999))-1)),IF(TRIM(MID(SUBSTITUTE(K143,";",REPT(" ",99)),298,99))="","",IFERROR(VLOOKUP(--LEFT(MID(TRIM(MID(SUBSTITUTE(K143,";",REPT(" ",99)),298,99)),FIND(":",TRIM(MID(SUBSTITUTE(K143,";",REPT(" ",99)),298,99)))+1,999),FIND(":",MID(TRIM(MID(SUBSTITUTE(K143,";",REPT(" ",99)),298,99)),FIND(":",TRIM(MID(SUBSTITUTE(K143,";",REPT(" ",99)),298,99)))+1,999))-1),_Lookup!$A:$B,2,FALSE),"?")&amp;"×"&amp;LEFT(MID(MID(TRIM(MID(SUBSTITUTE(K143,";",REPT(" ",99)),298,99)),FIND(":",TRIM(MID(SUBSTITUTE(K143,";",REPT(" ",99)),298,99)))+1,999),FIND(":",MID(TRIM(MID(SUBSTITUTE(K143,";",REPT(" ",99)),298,99)),FIND(":",TRIM(MID(SUBSTITUTE(K143,";",REPT(" ",99)),298,99)))+1,999))+1,999),FIND(":",MID(MID(TRIM(MID(SUBSTITUTE(K143,";",REPT(" ",99)),298,99)),FIND(":",TRIM(MID(SUBSTITUTE(K143,";",REPT(" ",99)),298,99)))+1,999),FIND(":",MID(TRIM(MID(SUBSTITUTE(K143,";",REPT(" ",99)),298,99)),FIND(":",TRIM(MID(SUBSTITUTE(K143,";",REPT(" ",99)),298,99)))+1,999))+1,999))-1)),IF(TRIM(MID(SUBSTITUTE(K143,";",REPT(" ",99)),397,99))="","",IFERROR(VLOOKUP(--LEFT(MID(TRIM(MID(SUBSTITUTE(K143,";",REPT(" ",99)),397,99)),FIND(":",TRIM(MID(SUBSTITUTE(K143,";",REPT(" ",99)),397,99)))+1,999),FIND(":",MID(TRIM(MID(SUBSTITUTE(K143,";",REPT(" ",99)),397,99)),FIND(":",TRIM(MID(SUBSTITUTE(K143,";",REPT(" ",99)),397,99)))+1,999))-1),_Lookup!$A:$B,2,FALSE),"?")&amp;"×"&amp;LEFT(MID(MID(TRIM(MID(SUBSTITUTE(K143,";",REPT(" ",99)),397,99)),FIND(":",TRIM(MID(SUBSTITUTE(K143,";",REPT(" ",99)),397,99)))+1,999),FIND(":",MID(TRIM(MID(SUBSTITUTE(K143,";",REPT(" ",99)),397,99)),FIND(":",TRIM(MID(SUBSTITUTE(K143,";",REPT(" ",99)),397,99)))+1,999))+1,999),FIND(":",MID(MID(TRIM(MID(SUBSTITUTE(K143,";",REPT(" ",99)),397,99)),FIND(":",TRIM(MID(SUBSTITUTE(K143,";",REPT(" ",99)),397,99)))+1,999),FIND(":",MID(TRIM(MID(SUBSTITUTE(K143,";",REPT(" ",99)),397,99)),FIND(":",TRIM(MID(SUBSTITUTE(K143,";",REPT(" ",99)),397,99)))+1,999))+1,999))-1))))</f>
        <v/>
      </c>
    </row>
    <row r="144">
      <c r="D144" s="11">
        <f>IFERROR(VLOOKUP(C144,ItemData_Fish!$A:$B,2,FALSE),"")</f>
        <v/>
      </c>
      <c r="L144" s="11">
        <f>IF(K144="","",TEXTJOIN("; ",TRUE,IF(TRIM(MID(SUBSTITUTE(K144,";",REPT(" ",99)),1,99))="","",IFERROR(VLOOKUP(--LEFT(MID(TRIM(MID(SUBSTITUTE(K144,";",REPT(" ",99)),1,99)),FIND(":",TRIM(MID(SUBSTITUTE(K144,";",REPT(" ",99)),1,99)))+1,999),FIND(":",MID(TRIM(MID(SUBSTITUTE(K144,";",REPT(" ",99)),1,99)),FIND(":",TRIM(MID(SUBSTITUTE(K144,";",REPT(" ",99)),1,99)))+1,999))-1),_Lookup!$A:$B,2,FALSE),"?")&amp;"×"&amp;LEFT(MID(MID(TRIM(MID(SUBSTITUTE(K144,";",REPT(" ",99)),1,99)),FIND(":",TRIM(MID(SUBSTITUTE(K144,";",REPT(" ",99)),1,99)))+1,999),FIND(":",MID(TRIM(MID(SUBSTITUTE(K144,";",REPT(" ",99)),1,99)),FIND(":",TRIM(MID(SUBSTITUTE(K144,";",REPT(" ",99)),1,99)))+1,999))+1,999),FIND(":",MID(MID(TRIM(MID(SUBSTITUTE(K144,";",REPT(" ",99)),1,99)),FIND(":",TRIM(MID(SUBSTITUTE(K144,";",REPT(" ",99)),1,99)))+1,999),FIND(":",MID(TRIM(MID(SUBSTITUTE(K144,";",REPT(" ",99)),1,99)),FIND(":",TRIM(MID(SUBSTITUTE(K144,";",REPT(" ",99)),1,99)))+1,999))+1,999))-1)),IF(TRIM(MID(SUBSTITUTE(K144,";",REPT(" ",99)),100,99))="","",IFERROR(VLOOKUP(--LEFT(MID(TRIM(MID(SUBSTITUTE(K144,";",REPT(" ",99)),100,99)),FIND(":",TRIM(MID(SUBSTITUTE(K144,";",REPT(" ",99)),100,99)))+1,999),FIND(":",MID(TRIM(MID(SUBSTITUTE(K144,";",REPT(" ",99)),100,99)),FIND(":",TRIM(MID(SUBSTITUTE(K144,";",REPT(" ",99)),100,99)))+1,999))-1),_Lookup!$A:$B,2,FALSE),"?")&amp;"×"&amp;LEFT(MID(MID(TRIM(MID(SUBSTITUTE(K144,";",REPT(" ",99)),100,99)),FIND(":",TRIM(MID(SUBSTITUTE(K144,";",REPT(" ",99)),100,99)))+1,999),FIND(":",MID(TRIM(MID(SUBSTITUTE(K144,";",REPT(" ",99)),100,99)),FIND(":",TRIM(MID(SUBSTITUTE(K144,";",REPT(" ",99)),100,99)))+1,999))+1,999),FIND(":",MID(MID(TRIM(MID(SUBSTITUTE(K144,";",REPT(" ",99)),100,99)),FIND(":",TRIM(MID(SUBSTITUTE(K144,";",REPT(" ",99)),100,99)))+1,999),FIND(":",MID(TRIM(MID(SUBSTITUTE(K144,";",REPT(" ",99)),100,99)),FIND(":",TRIM(MID(SUBSTITUTE(K144,";",REPT(" ",99)),100,99)))+1,999))+1,999))-1)),IF(TRIM(MID(SUBSTITUTE(K144,";",REPT(" ",99)),199,99))="","",IFERROR(VLOOKUP(--LEFT(MID(TRIM(MID(SUBSTITUTE(K144,";",REPT(" ",99)),199,99)),FIND(":",TRIM(MID(SUBSTITUTE(K144,";",REPT(" ",99)),199,99)))+1,999),FIND(":",MID(TRIM(MID(SUBSTITUTE(K144,";",REPT(" ",99)),199,99)),FIND(":",TRIM(MID(SUBSTITUTE(K144,";",REPT(" ",99)),199,99)))+1,999))-1),_Lookup!$A:$B,2,FALSE),"?")&amp;"×"&amp;LEFT(MID(MID(TRIM(MID(SUBSTITUTE(K144,";",REPT(" ",99)),199,99)),FIND(":",TRIM(MID(SUBSTITUTE(K144,";",REPT(" ",99)),199,99)))+1,999),FIND(":",MID(TRIM(MID(SUBSTITUTE(K144,";",REPT(" ",99)),199,99)),FIND(":",TRIM(MID(SUBSTITUTE(K144,";",REPT(" ",99)),199,99)))+1,999))+1,999),FIND(":",MID(MID(TRIM(MID(SUBSTITUTE(K144,";",REPT(" ",99)),199,99)),FIND(":",TRIM(MID(SUBSTITUTE(K144,";",REPT(" ",99)),199,99)))+1,999),FIND(":",MID(TRIM(MID(SUBSTITUTE(K144,";",REPT(" ",99)),199,99)),FIND(":",TRIM(MID(SUBSTITUTE(K144,";",REPT(" ",99)),199,99)))+1,999))+1,999))-1)),IF(TRIM(MID(SUBSTITUTE(K144,";",REPT(" ",99)),298,99))="","",IFERROR(VLOOKUP(--LEFT(MID(TRIM(MID(SUBSTITUTE(K144,";",REPT(" ",99)),298,99)),FIND(":",TRIM(MID(SUBSTITUTE(K144,";",REPT(" ",99)),298,99)))+1,999),FIND(":",MID(TRIM(MID(SUBSTITUTE(K144,";",REPT(" ",99)),298,99)),FIND(":",TRIM(MID(SUBSTITUTE(K144,";",REPT(" ",99)),298,99)))+1,999))-1),_Lookup!$A:$B,2,FALSE),"?")&amp;"×"&amp;LEFT(MID(MID(TRIM(MID(SUBSTITUTE(K144,";",REPT(" ",99)),298,99)),FIND(":",TRIM(MID(SUBSTITUTE(K144,";",REPT(" ",99)),298,99)))+1,999),FIND(":",MID(TRIM(MID(SUBSTITUTE(K144,";",REPT(" ",99)),298,99)),FIND(":",TRIM(MID(SUBSTITUTE(K144,";",REPT(" ",99)),298,99)))+1,999))+1,999),FIND(":",MID(MID(TRIM(MID(SUBSTITUTE(K144,";",REPT(" ",99)),298,99)),FIND(":",TRIM(MID(SUBSTITUTE(K144,";",REPT(" ",99)),298,99)))+1,999),FIND(":",MID(TRIM(MID(SUBSTITUTE(K144,";",REPT(" ",99)),298,99)),FIND(":",TRIM(MID(SUBSTITUTE(K144,";",REPT(" ",99)),298,99)))+1,999))+1,999))-1)),IF(TRIM(MID(SUBSTITUTE(K144,";",REPT(" ",99)),397,99))="","",IFERROR(VLOOKUP(--LEFT(MID(TRIM(MID(SUBSTITUTE(K144,";",REPT(" ",99)),397,99)),FIND(":",TRIM(MID(SUBSTITUTE(K144,";",REPT(" ",99)),397,99)))+1,999),FIND(":",MID(TRIM(MID(SUBSTITUTE(K144,";",REPT(" ",99)),397,99)),FIND(":",TRIM(MID(SUBSTITUTE(K144,";",REPT(" ",99)),397,99)))+1,999))-1),_Lookup!$A:$B,2,FALSE),"?")&amp;"×"&amp;LEFT(MID(MID(TRIM(MID(SUBSTITUTE(K144,";",REPT(" ",99)),397,99)),FIND(":",TRIM(MID(SUBSTITUTE(K144,";",REPT(" ",99)),397,99)))+1,999),FIND(":",MID(TRIM(MID(SUBSTITUTE(K144,";",REPT(" ",99)),397,99)),FIND(":",TRIM(MID(SUBSTITUTE(K144,";",REPT(" ",99)),397,99)))+1,999))+1,999),FIND(":",MID(MID(TRIM(MID(SUBSTITUTE(K144,";",REPT(" ",99)),397,99)),FIND(":",TRIM(MID(SUBSTITUTE(K144,";",REPT(" ",99)),397,99)))+1,999),FIND(":",MID(TRIM(MID(SUBSTITUTE(K144,";",REPT(" ",99)),397,99)),FIND(":",TRIM(MID(SUBSTITUTE(K144,";",REPT(" ",99)),397,99)))+1,999))+1,999))-1))))</f>
        <v/>
      </c>
    </row>
    <row r="145">
      <c r="D145" s="11">
        <f>IFERROR(VLOOKUP(C145,ItemData_Fish!$A:$B,2,FALSE),"")</f>
        <v/>
      </c>
      <c r="L145" s="11">
        <f>IF(K145="","",TEXTJOIN("; ",TRUE,IF(TRIM(MID(SUBSTITUTE(K145,";",REPT(" ",99)),1,99))="","",IFERROR(VLOOKUP(--LEFT(MID(TRIM(MID(SUBSTITUTE(K145,";",REPT(" ",99)),1,99)),FIND(":",TRIM(MID(SUBSTITUTE(K145,";",REPT(" ",99)),1,99)))+1,999),FIND(":",MID(TRIM(MID(SUBSTITUTE(K145,";",REPT(" ",99)),1,99)),FIND(":",TRIM(MID(SUBSTITUTE(K145,";",REPT(" ",99)),1,99)))+1,999))-1),_Lookup!$A:$B,2,FALSE),"?")&amp;"×"&amp;LEFT(MID(MID(TRIM(MID(SUBSTITUTE(K145,";",REPT(" ",99)),1,99)),FIND(":",TRIM(MID(SUBSTITUTE(K145,";",REPT(" ",99)),1,99)))+1,999),FIND(":",MID(TRIM(MID(SUBSTITUTE(K145,";",REPT(" ",99)),1,99)),FIND(":",TRIM(MID(SUBSTITUTE(K145,";",REPT(" ",99)),1,99)))+1,999))+1,999),FIND(":",MID(MID(TRIM(MID(SUBSTITUTE(K145,";",REPT(" ",99)),1,99)),FIND(":",TRIM(MID(SUBSTITUTE(K145,";",REPT(" ",99)),1,99)))+1,999),FIND(":",MID(TRIM(MID(SUBSTITUTE(K145,";",REPT(" ",99)),1,99)),FIND(":",TRIM(MID(SUBSTITUTE(K145,";",REPT(" ",99)),1,99)))+1,999))+1,999))-1)),IF(TRIM(MID(SUBSTITUTE(K145,";",REPT(" ",99)),100,99))="","",IFERROR(VLOOKUP(--LEFT(MID(TRIM(MID(SUBSTITUTE(K145,";",REPT(" ",99)),100,99)),FIND(":",TRIM(MID(SUBSTITUTE(K145,";",REPT(" ",99)),100,99)))+1,999),FIND(":",MID(TRIM(MID(SUBSTITUTE(K145,";",REPT(" ",99)),100,99)),FIND(":",TRIM(MID(SUBSTITUTE(K145,";",REPT(" ",99)),100,99)))+1,999))-1),_Lookup!$A:$B,2,FALSE),"?")&amp;"×"&amp;LEFT(MID(MID(TRIM(MID(SUBSTITUTE(K145,";",REPT(" ",99)),100,99)),FIND(":",TRIM(MID(SUBSTITUTE(K145,";",REPT(" ",99)),100,99)))+1,999),FIND(":",MID(TRIM(MID(SUBSTITUTE(K145,";",REPT(" ",99)),100,99)),FIND(":",TRIM(MID(SUBSTITUTE(K145,";",REPT(" ",99)),100,99)))+1,999))+1,999),FIND(":",MID(MID(TRIM(MID(SUBSTITUTE(K145,";",REPT(" ",99)),100,99)),FIND(":",TRIM(MID(SUBSTITUTE(K145,";",REPT(" ",99)),100,99)))+1,999),FIND(":",MID(TRIM(MID(SUBSTITUTE(K145,";",REPT(" ",99)),100,99)),FIND(":",TRIM(MID(SUBSTITUTE(K145,";",REPT(" ",99)),100,99)))+1,999))+1,999))-1)),IF(TRIM(MID(SUBSTITUTE(K145,";",REPT(" ",99)),199,99))="","",IFERROR(VLOOKUP(--LEFT(MID(TRIM(MID(SUBSTITUTE(K145,";",REPT(" ",99)),199,99)),FIND(":",TRIM(MID(SUBSTITUTE(K145,";",REPT(" ",99)),199,99)))+1,999),FIND(":",MID(TRIM(MID(SUBSTITUTE(K145,";",REPT(" ",99)),199,99)),FIND(":",TRIM(MID(SUBSTITUTE(K145,";",REPT(" ",99)),199,99)))+1,999))-1),_Lookup!$A:$B,2,FALSE),"?")&amp;"×"&amp;LEFT(MID(MID(TRIM(MID(SUBSTITUTE(K145,";",REPT(" ",99)),199,99)),FIND(":",TRIM(MID(SUBSTITUTE(K145,";",REPT(" ",99)),199,99)))+1,999),FIND(":",MID(TRIM(MID(SUBSTITUTE(K145,";",REPT(" ",99)),199,99)),FIND(":",TRIM(MID(SUBSTITUTE(K145,";",REPT(" ",99)),199,99)))+1,999))+1,999),FIND(":",MID(MID(TRIM(MID(SUBSTITUTE(K145,";",REPT(" ",99)),199,99)),FIND(":",TRIM(MID(SUBSTITUTE(K145,";",REPT(" ",99)),199,99)))+1,999),FIND(":",MID(TRIM(MID(SUBSTITUTE(K145,";",REPT(" ",99)),199,99)),FIND(":",TRIM(MID(SUBSTITUTE(K145,";",REPT(" ",99)),199,99)))+1,999))+1,999))-1)),IF(TRIM(MID(SUBSTITUTE(K145,";",REPT(" ",99)),298,99))="","",IFERROR(VLOOKUP(--LEFT(MID(TRIM(MID(SUBSTITUTE(K145,";",REPT(" ",99)),298,99)),FIND(":",TRIM(MID(SUBSTITUTE(K145,";",REPT(" ",99)),298,99)))+1,999),FIND(":",MID(TRIM(MID(SUBSTITUTE(K145,";",REPT(" ",99)),298,99)),FIND(":",TRIM(MID(SUBSTITUTE(K145,";",REPT(" ",99)),298,99)))+1,999))-1),_Lookup!$A:$B,2,FALSE),"?")&amp;"×"&amp;LEFT(MID(MID(TRIM(MID(SUBSTITUTE(K145,";",REPT(" ",99)),298,99)),FIND(":",TRIM(MID(SUBSTITUTE(K145,";",REPT(" ",99)),298,99)))+1,999),FIND(":",MID(TRIM(MID(SUBSTITUTE(K145,";",REPT(" ",99)),298,99)),FIND(":",TRIM(MID(SUBSTITUTE(K145,";",REPT(" ",99)),298,99)))+1,999))+1,999),FIND(":",MID(MID(TRIM(MID(SUBSTITUTE(K145,";",REPT(" ",99)),298,99)),FIND(":",TRIM(MID(SUBSTITUTE(K145,";",REPT(" ",99)),298,99)))+1,999),FIND(":",MID(TRIM(MID(SUBSTITUTE(K145,";",REPT(" ",99)),298,99)),FIND(":",TRIM(MID(SUBSTITUTE(K145,";",REPT(" ",99)),298,99)))+1,999))+1,999))-1)),IF(TRIM(MID(SUBSTITUTE(K145,";",REPT(" ",99)),397,99))="","",IFERROR(VLOOKUP(--LEFT(MID(TRIM(MID(SUBSTITUTE(K145,";",REPT(" ",99)),397,99)),FIND(":",TRIM(MID(SUBSTITUTE(K145,";",REPT(" ",99)),397,99)))+1,999),FIND(":",MID(TRIM(MID(SUBSTITUTE(K145,";",REPT(" ",99)),397,99)),FIND(":",TRIM(MID(SUBSTITUTE(K145,";",REPT(" ",99)),397,99)))+1,999))-1),_Lookup!$A:$B,2,FALSE),"?")&amp;"×"&amp;LEFT(MID(MID(TRIM(MID(SUBSTITUTE(K145,";",REPT(" ",99)),397,99)),FIND(":",TRIM(MID(SUBSTITUTE(K145,";",REPT(" ",99)),397,99)))+1,999),FIND(":",MID(TRIM(MID(SUBSTITUTE(K145,";",REPT(" ",99)),397,99)),FIND(":",TRIM(MID(SUBSTITUTE(K145,";",REPT(" ",99)),397,99)))+1,999))+1,999),FIND(":",MID(MID(TRIM(MID(SUBSTITUTE(K145,";",REPT(" ",99)),397,99)),FIND(":",TRIM(MID(SUBSTITUTE(K145,";",REPT(" ",99)),397,99)))+1,999),FIND(":",MID(TRIM(MID(SUBSTITUTE(K145,";",REPT(" ",99)),397,99)),FIND(":",TRIM(MID(SUBSTITUTE(K145,";",REPT(" ",99)),397,99)))+1,999))+1,999))-1))))</f>
        <v/>
      </c>
    </row>
    <row r="146">
      <c r="D146" s="11">
        <f>IFERROR(VLOOKUP(C146,ItemData_Fish!$A:$B,2,FALSE),"")</f>
        <v/>
      </c>
      <c r="L146" s="11">
        <f>IF(K146="","",TEXTJOIN("; ",TRUE,IF(TRIM(MID(SUBSTITUTE(K146,";",REPT(" ",99)),1,99))="","",IFERROR(VLOOKUP(--LEFT(MID(TRIM(MID(SUBSTITUTE(K146,";",REPT(" ",99)),1,99)),FIND(":",TRIM(MID(SUBSTITUTE(K146,";",REPT(" ",99)),1,99)))+1,999),FIND(":",MID(TRIM(MID(SUBSTITUTE(K146,";",REPT(" ",99)),1,99)),FIND(":",TRIM(MID(SUBSTITUTE(K146,";",REPT(" ",99)),1,99)))+1,999))-1),_Lookup!$A:$B,2,FALSE),"?")&amp;"×"&amp;LEFT(MID(MID(TRIM(MID(SUBSTITUTE(K146,";",REPT(" ",99)),1,99)),FIND(":",TRIM(MID(SUBSTITUTE(K146,";",REPT(" ",99)),1,99)))+1,999),FIND(":",MID(TRIM(MID(SUBSTITUTE(K146,";",REPT(" ",99)),1,99)),FIND(":",TRIM(MID(SUBSTITUTE(K146,";",REPT(" ",99)),1,99)))+1,999))+1,999),FIND(":",MID(MID(TRIM(MID(SUBSTITUTE(K146,";",REPT(" ",99)),1,99)),FIND(":",TRIM(MID(SUBSTITUTE(K146,";",REPT(" ",99)),1,99)))+1,999),FIND(":",MID(TRIM(MID(SUBSTITUTE(K146,";",REPT(" ",99)),1,99)),FIND(":",TRIM(MID(SUBSTITUTE(K146,";",REPT(" ",99)),1,99)))+1,999))+1,999))-1)),IF(TRIM(MID(SUBSTITUTE(K146,";",REPT(" ",99)),100,99))="","",IFERROR(VLOOKUP(--LEFT(MID(TRIM(MID(SUBSTITUTE(K146,";",REPT(" ",99)),100,99)),FIND(":",TRIM(MID(SUBSTITUTE(K146,";",REPT(" ",99)),100,99)))+1,999),FIND(":",MID(TRIM(MID(SUBSTITUTE(K146,";",REPT(" ",99)),100,99)),FIND(":",TRIM(MID(SUBSTITUTE(K146,";",REPT(" ",99)),100,99)))+1,999))-1),_Lookup!$A:$B,2,FALSE),"?")&amp;"×"&amp;LEFT(MID(MID(TRIM(MID(SUBSTITUTE(K146,";",REPT(" ",99)),100,99)),FIND(":",TRIM(MID(SUBSTITUTE(K146,";",REPT(" ",99)),100,99)))+1,999),FIND(":",MID(TRIM(MID(SUBSTITUTE(K146,";",REPT(" ",99)),100,99)),FIND(":",TRIM(MID(SUBSTITUTE(K146,";",REPT(" ",99)),100,99)))+1,999))+1,999),FIND(":",MID(MID(TRIM(MID(SUBSTITUTE(K146,";",REPT(" ",99)),100,99)),FIND(":",TRIM(MID(SUBSTITUTE(K146,";",REPT(" ",99)),100,99)))+1,999),FIND(":",MID(TRIM(MID(SUBSTITUTE(K146,";",REPT(" ",99)),100,99)),FIND(":",TRIM(MID(SUBSTITUTE(K146,";",REPT(" ",99)),100,99)))+1,999))+1,999))-1)),IF(TRIM(MID(SUBSTITUTE(K146,";",REPT(" ",99)),199,99))="","",IFERROR(VLOOKUP(--LEFT(MID(TRIM(MID(SUBSTITUTE(K146,";",REPT(" ",99)),199,99)),FIND(":",TRIM(MID(SUBSTITUTE(K146,";",REPT(" ",99)),199,99)))+1,999),FIND(":",MID(TRIM(MID(SUBSTITUTE(K146,";",REPT(" ",99)),199,99)),FIND(":",TRIM(MID(SUBSTITUTE(K146,";",REPT(" ",99)),199,99)))+1,999))-1),_Lookup!$A:$B,2,FALSE),"?")&amp;"×"&amp;LEFT(MID(MID(TRIM(MID(SUBSTITUTE(K146,";",REPT(" ",99)),199,99)),FIND(":",TRIM(MID(SUBSTITUTE(K146,";",REPT(" ",99)),199,99)))+1,999),FIND(":",MID(TRIM(MID(SUBSTITUTE(K146,";",REPT(" ",99)),199,99)),FIND(":",TRIM(MID(SUBSTITUTE(K146,";",REPT(" ",99)),199,99)))+1,999))+1,999),FIND(":",MID(MID(TRIM(MID(SUBSTITUTE(K146,";",REPT(" ",99)),199,99)),FIND(":",TRIM(MID(SUBSTITUTE(K146,";",REPT(" ",99)),199,99)))+1,999),FIND(":",MID(TRIM(MID(SUBSTITUTE(K146,";",REPT(" ",99)),199,99)),FIND(":",TRIM(MID(SUBSTITUTE(K146,";",REPT(" ",99)),199,99)))+1,999))+1,999))-1)),IF(TRIM(MID(SUBSTITUTE(K146,";",REPT(" ",99)),298,99))="","",IFERROR(VLOOKUP(--LEFT(MID(TRIM(MID(SUBSTITUTE(K146,";",REPT(" ",99)),298,99)),FIND(":",TRIM(MID(SUBSTITUTE(K146,";",REPT(" ",99)),298,99)))+1,999),FIND(":",MID(TRIM(MID(SUBSTITUTE(K146,";",REPT(" ",99)),298,99)),FIND(":",TRIM(MID(SUBSTITUTE(K146,";",REPT(" ",99)),298,99)))+1,999))-1),_Lookup!$A:$B,2,FALSE),"?")&amp;"×"&amp;LEFT(MID(MID(TRIM(MID(SUBSTITUTE(K146,";",REPT(" ",99)),298,99)),FIND(":",TRIM(MID(SUBSTITUTE(K146,";",REPT(" ",99)),298,99)))+1,999),FIND(":",MID(TRIM(MID(SUBSTITUTE(K146,";",REPT(" ",99)),298,99)),FIND(":",TRIM(MID(SUBSTITUTE(K146,";",REPT(" ",99)),298,99)))+1,999))+1,999),FIND(":",MID(MID(TRIM(MID(SUBSTITUTE(K146,";",REPT(" ",99)),298,99)),FIND(":",TRIM(MID(SUBSTITUTE(K146,";",REPT(" ",99)),298,99)))+1,999),FIND(":",MID(TRIM(MID(SUBSTITUTE(K146,";",REPT(" ",99)),298,99)),FIND(":",TRIM(MID(SUBSTITUTE(K146,";",REPT(" ",99)),298,99)))+1,999))+1,999))-1)),IF(TRIM(MID(SUBSTITUTE(K146,";",REPT(" ",99)),397,99))="","",IFERROR(VLOOKUP(--LEFT(MID(TRIM(MID(SUBSTITUTE(K146,";",REPT(" ",99)),397,99)),FIND(":",TRIM(MID(SUBSTITUTE(K146,";",REPT(" ",99)),397,99)))+1,999),FIND(":",MID(TRIM(MID(SUBSTITUTE(K146,";",REPT(" ",99)),397,99)),FIND(":",TRIM(MID(SUBSTITUTE(K146,";",REPT(" ",99)),397,99)))+1,999))-1),_Lookup!$A:$B,2,FALSE),"?")&amp;"×"&amp;LEFT(MID(MID(TRIM(MID(SUBSTITUTE(K146,";",REPT(" ",99)),397,99)),FIND(":",TRIM(MID(SUBSTITUTE(K146,";",REPT(" ",99)),397,99)))+1,999),FIND(":",MID(TRIM(MID(SUBSTITUTE(K146,";",REPT(" ",99)),397,99)),FIND(":",TRIM(MID(SUBSTITUTE(K146,";",REPT(" ",99)),397,99)))+1,999))+1,999),FIND(":",MID(MID(TRIM(MID(SUBSTITUTE(K146,";",REPT(" ",99)),397,99)),FIND(":",TRIM(MID(SUBSTITUTE(K146,";",REPT(" ",99)),397,99)))+1,999),FIND(":",MID(TRIM(MID(SUBSTITUTE(K146,";",REPT(" ",99)),397,99)),FIND(":",TRIM(MID(SUBSTITUTE(K146,";",REPT(" ",99)),397,99)))+1,999))+1,999))-1))))</f>
        <v/>
      </c>
    </row>
    <row r="147">
      <c r="D147" s="11">
        <f>IFERROR(VLOOKUP(C147,ItemData_Fish!$A:$B,2,FALSE),"")</f>
        <v/>
      </c>
      <c r="L147" s="11">
        <f>IF(K147="","",TEXTJOIN("; ",TRUE,IF(TRIM(MID(SUBSTITUTE(K147,";",REPT(" ",99)),1,99))="","",IFERROR(VLOOKUP(--LEFT(MID(TRIM(MID(SUBSTITUTE(K147,";",REPT(" ",99)),1,99)),FIND(":",TRIM(MID(SUBSTITUTE(K147,";",REPT(" ",99)),1,99)))+1,999),FIND(":",MID(TRIM(MID(SUBSTITUTE(K147,";",REPT(" ",99)),1,99)),FIND(":",TRIM(MID(SUBSTITUTE(K147,";",REPT(" ",99)),1,99)))+1,999))-1),_Lookup!$A:$B,2,FALSE),"?")&amp;"×"&amp;LEFT(MID(MID(TRIM(MID(SUBSTITUTE(K147,";",REPT(" ",99)),1,99)),FIND(":",TRIM(MID(SUBSTITUTE(K147,";",REPT(" ",99)),1,99)))+1,999),FIND(":",MID(TRIM(MID(SUBSTITUTE(K147,";",REPT(" ",99)),1,99)),FIND(":",TRIM(MID(SUBSTITUTE(K147,";",REPT(" ",99)),1,99)))+1,999))+1,999),FIND(":",MID(MID(TRIM(MID(SUBSTITUTE(K147,";",REPT(" ",99)),1,99)),FIND(":",TRIM(MID(SUBSTITUTE(K147,";",REPT(" ",99)),1,99)))+1,999),FIND(":",MID(TRIM(MID(SUBSTITUTE(K147,";",REPT(" ",99)),1,99)),FIND(":",TRIM(MID(SUBSTITUTE(K147,";",REPT(" ",99)),1,99)))+1,999))+1,999))-1)),IF(TRIM(MID(SUBSTITUTE(K147,";",REPT(" ",99)),100,99))="","",IFERROR(VLOOKUP(--LEFT(MID(TRIM(MID(SUBSTITUTE(K147,";",REPT(" ",99)),100,99)),FIND(":",TRIM(MID(SUBSTITUTE(K147,";",REPT(" ",99)),100,99)))+1,999),FIND(":",MID(TRIM(MID(SUBSTITUTE(K147,";",REPT(" ",99)),100,99)),FIND(":",TRIM(MID(SUBSTITUTE(K147,";",REPT(" ",99)),100,99)))+1,999))-1),_Lookup!$A:$B,2,FALSE),"?")&amp;"×"&amp;LEFT(MID(MID(TRIM(MID(SUBSTITUTE(K147,";",REPT(" ",99)),100,99)),FIND(":",TRIM(MID(SUBSTITUTE(K147,";",REPT(" ",99)),100,99)))+1,999),FIND(":",MID(TRIM(MID(SUBSTITUTE(K147,";",REPT(" ",99)),100,99)),FIND(":",TRIM(MID(SUBSTITUTE(K147,";",REPT(" ",99)),100,99)))+1,999))+1,999),FIND(":",MID(MID(TRIM(MID(SUBSTITUTE(K147,";",REPT(" ",99)),100,99)),FIND(":",TRIM(MID(SUBSTITUTE(K147,";",REPT(" ",99)),100,99)))+1,999),FIND(":",MID(TRIM(MID(SUBSTITUTE(K147,";",REPT(" ",99)),100,99)),FIND(":",TRIM(MID(SUBSTITUTE(K147,";",REPT(" ",99)),100,99)))+1,999))+1,999))-1)),IF(TRIM(MID(SUBSTITUTE(K147,";",REPT(" ",99)),199,99))="","",IFERROR(VLOOKUP(--LEFT(MID(TRIM(MID(SUBSTITUTE(K147,";",REPT(" ",99)),199,99)),FIND(":",TRIM(MID(SUBSTITUTE(K147,";",REPT(" ",99)),199,99)))+1,999),FIND(":",MID(TRIM(MID(SUBSTITUTE(K147,";",REPT(" ",99)),199,99)),FIND(":",TRIM(MID(SUBSTITUTE(K147,";",REPT(" ",99)),199,99)))+1,999))-1),_Lookup!$A:$B,2,FALSE),"?")&amp;"×"&amp;LEFT(MID(MID(TRIM(MID(SUBSTITUTE(K147,";",REPT(" ",99)),199,99)),FIND(":",TRIM(MID(SUBSTITUTE(K147,";",REPT(" ",99)),199,99)))+1,999),FIND(":",MID(TRIM(MID(SUBSTITUTE(K147,";",REPT(" ",99)),199,99)),FIND(":",TRIM(MID(SUBSTITUTE(K147,";",REPT(" ",99)),199,99)))+1,999))+1,999),FIND(":",MID(MID(TRIM(MID(SUBSTITUTE(K147,";",REPT(" ",99)),199,99)),FIND(":",TRIM(MID(SUBSTITUTE(K147,";",REPT(" ",99)),199,99)))+1,999),FIND(":",MID(TRIM(MID(SUBSTITUTE(K147,";",REPT(" ",99)),199,99)),FIND(":",TRIM(MID(SUBSTITUTE(K147,";",REPT(" ",99)),199,99)))+1,999))+1,999))-1)),IF(TRIM(MID(SUBSTITUTE(K147,";",REPT(" ",99)),298,99))="","",IFERROR(VLOOKUP(--LEFT(MID(TRIM(MID(SUBSTITUTE(K147,";",REPT(" ",99)),298,99)),FIND(":",TRIM(MID(SUBSTITUTE(K147,";",REPT(" ",99)),298,99)))+1,999),FIND(":",MID(TRIM(MID(SUBSTITUTE(K147,";",REPT(" ",99)),298,99)),FIND(":",TRIM(MID(SUBSTITUTE(K147,";",REPT(" ",99)),298,99)))+1,999))-1),_Lookup!$A:$B,2,FALSE),"?")&amp;"×"&amp;LEFT(MID(MID(TRIM(MID(SUBSTITUTE(K147,";",REPT(" ",99)),298,99)),FIND(":",TRIM(MID(SUBSTITUTE(K147,";",REPT(" ",99)),298,99)))+1,999),FIND(":",MID(TRIM(MID(SUBSTITUTE(K147,";",REPT(" ",99)),298,99)),FIND(":",TRIM(MID(SUBSTITUTE(K147,";",REPT(" ",99)),298,99)))+1,999))+1,999),FIND(":",MID(MID(TRIM(MID(SUBSTITUTE(K147,";",REPT(" ",99)),298,99)),FIND(":",TRIM(MID(SUBSTITUTE(K147,";",REPT(" ",99)),298,99)))+1,999),FIND(":",MID(TRIM(MID(SUBSTITUTE(K147,";",REPT(" ",99)),298,99)),FIND(":",TRIM(MID(SUBSTITUTE(K147,";",REPT(" ",99)),298,99)))+1,999))+1,999))-1)),IF(TRIM(MID(SUBSTITUTE(K147,";",REPT(" ",99)),397,99))="","",IFERROR(VLOOKUP(--LEFT(MID(TRIM(MID(SUBSTITUTE(K147,";",REPT(" ",99)),397,99)),FIND(":",TRIM(MID(SUBSTITUTE(K147,";",REPT(" ",99)),397,99)))+1,999),FIND(":",MID(TRIM(MID(SUBSTITUTE(K147,";",REPT(" ",99)),397,99)),FIND(":",TRIM(MID(SUBSTITUTE(K147,";",REPT(" ",99)),397,99)))+1,999))-1),_Lookup!$A:$B,2,FALSE),"?")&amp;"×"&amp;LEFT(MID(MID(TRIM(MID(SUBSTITUTE(K147,";",REPT(" ",99)),397,99)),FIND(":",TRIM(MID(SUBSTITUTE(K147,";",REPT(" ",99)),397,99)))+1,999),FIND(":",MID(TRIM(MID(SUBSTITUTE(K147,";",REPT(" ",99)),397,99)),FIND(":",TRIM(MID(SUBSTITUTE(K147,";",REPT(" ",99)),397,99)))+1,999))+1,999),FIND(":",MID(MID(TRIM(MID(SUBSTITUTE(K147,";",REPT(" ",99)),397,99)),FIND(":",TRIM(MID(SUBSTITUTE(K147,";",REPT(" ",99)),397,99)))+1,999),FIND(":",MID(TRIM(MID(SUBSTITUTE(K147,";",REPT(" ",99)),397,99)),FIND(":",TRIM(MID(SUBSTITUTE(K147,";",REPT(" ",99)),397,99)))+1,999))+1,999))-1))))</f>
        <v/>
      </c>
    </row>
    <row r="148">
      <c r="D148" s="11">
        <f>IFERROR(VLOOKUP(C148,ItemData_Fish!$A:$B,2,FALSE),"")</f>
        <v/>
      </c>
      <c r="L148" s="11">
        <f>IF(K148="","",TEXTJOIN("; ",TRUE,IF(TRIM(MID(SUBSTITUTE(K148,";",REPT(" ",99)),1,99))="","",IFERROR(VLOOKUP(--LEFT(MID(TRIM(MID(SUBSTITUTE(K148,";",REPT(" ",99)),1,99)),FIND(":",TRIM(MID(SUBSTITUTE(K148,";",REPT(" ",99)),1,99)))+1,999),FIND(":",MID(TRIM(MID(SUBSTITUTE(K148,";",REPT(" ",99)),1,99)),FIND(":",TRIM(MID(SUBSTITUTE(K148,";",REPT(" ",99)),1,99)))+1,999))-1),_Lookup!$A:$B,2,FALSE),"?")&amp;"×"&amp;LEFT(MID(MID(TRIM(MID(SUBSTITUTE(K148,";",REPT(" ",99)),1,99)),FIND(":",TRIM(MID(SUBSTITUTE(K148,";",REPT(" ",99)),1,99)))+1,999),FIND(":",MID(TRIM(MID(SUBSTITUTE(K148,";",REPT(" ",99)),1,99)),FIND(":",TRIM(MID(SUBSTITUTE(K148,";",REPT(" ",99)),1,99)))+1,999))+1,999),FIND(":",MID(MID(TRIM(MID(SUBSTITUTE(K148,";",REPT(" ",99)),1,99)),FIND(":",TRIM(MID(SUBSTITUTE(K148,";",REPT(" ",99)),1,99)))+1,999),FIND(":",MID(TRIM(MID(SUBSTITUTE(K148,";",REPT(" ",99)),1,99)),FIND(":",TRIM(MID(SUBSTITUTE(K148,";",REPT(" ",99)),1,99)))+1,999))+1,999))-1)),IF(TRIM(MID(SUBSTITUTE(K148,";",REPT(" ",99)),100,99))="","",IFERROR(VLOOKUP(--LEFT(MID(TRIM(MID(SUBSTITUTE(K148,";",REPT(" ",99)),100,99)),FIND(":",TRIM(MID(SUBSTITUTE(K148,";",REPT(" ",99)),100,99)))+1,999),FIND(":",MID(TRIM(MID(SUBSTITUTE(K148,";",REPT(" ",99)),100,99)),FIND(":",TRIM(MID(SUBSTITUTE(K148,";",REPT(" ",99)),100,99)))+1,999))-1),_Lookup!$A:$B,2,FALSE),"?")&amp;"×"&amp;LEFT(MID(MID(TRIM(MID(SUBSTITUTE(K148,";",REPT(" ",99)),100,99)),FIND(":",TRIM(MID(SUBSTITUTE(K148,";",REPT(" ",99)),100,99)))+1,999),FIND(":",MID(TRIM(MID(SUBSTITUTE(K148,";",REPT(" ",99)),100,99)),FIND(":",TRIM(MID(SUBSTITUTE(K148,";",REPT(" ",99)),100,99)))+1,999))+1,999),FIND(":",MID(MID(TRIM(MID(SUBSTITUTE(K148,";",REPT(" ",99)),100,99)),FIND(":",TRIM(MID(SUBSTITUTE(K148,";",REPT(" ",99)),100,99)))+1,999),FIND(":",MID(TRIM(MID(SUBSTITUTE(K148,";",REPT(" ",99)),100,99)),FIND(":",TRIM(MID(SUBSTITUTE(K148,";",REPT(" ",99)),100,99)))+1,999))+1,999))-1)),IF(TRIM(MID(SUBSTITUTE(K148,";",REPT(" ",99)),199,99))="","",IFERROR(VLOOKUP(--LEFT(MID(TRIM(MID(SUBSTITUTE(K148,";",REPT(" ",99)),199,99)),FIND(":",TRIM(MID(SUBSTITUTE(K148,";",REPT(" ",99)),199,99)))+1,999),FIND(":",MID(TRIM(MID(SUBSTITUTE(K148,";",REPT(" ",99)),199,99)),FIND(":",TRIM(MID(SUBSTITUTE(K148,";",REPT(" ",99)),199,99)))+1,999))-1),_Lookup!$A:$B,2,FALSE),"?")&amp;"×"&amp;LEFT(MID(MID(TRIM(MID(SUBSTITUTE(K148,";",REPT(" ",99)),199,99)),FIND(":",TRIM(MID(SUBSTITUTE(K148,";",REPT(" ",99)),199,99)))+1,999),FIND(":",MID(TRIM(MID(SUBSTITUTE(K148,";",REPT(" ",99)),199,99)),FIND(":",TRIM(MID(SUBSTITUTE(K148,";",REPT(" ",99)),199,99)))+1,999))+1,999),FIND(":",MID(MID(TRIM(MID(SUBSTITUTE(K148,";",REPT(" ",99)),199,99)),FIND(":",TRIM(MID(SUBSTITUTE(K148,";",REPT(" ",99)),199,99)))+1,999),FIND(":",MID(TRIM(MID(SUBSTITUTE(K148,";",REPT(" ",99)),199,99)),FIND(":",TRIM(MID(SUBSTITUTE(K148,";",REPT(" ",99)),199,99)))+1,999))+1,999))-1)),IF(TRIM(MID(SUBSTITUTE(K148,";",REPT(" ",99)),298,99))="","",IFERROR(VLOOKUP(--LEFT(MID(TRIM(MID(SUBSTITUTE(K148,";",REPT(" ",99)),298,99)),FIND(":",TRIM(MID(SUBSTITUTE(K148,";",REPT(" ",99)),298,99)))+1,999),FIND(":",MID(TRIM(MID(SUBSTITUTE(K148,";",REPT(" ",99)),298,99)),FIND(":",TRIM(MID(SUBSTITUTE(K148,";",REPT(" ",99)),298,99)))+1,999))-1),_Lookup!$A:$B,2,FALSE),"?")&amp;"×"&amp;LEFT(MID(MID(TRIM(MID(SUBSTITUTE(K148,";",REPT(" ",99)),298,99)),FIND(":",TRIM(MID(SUBSTITUTE(K148,";",REPT(" ",99)),298,99)))+1,999),FIND(":",MID(TRIM(MID(SUBSTITUTE(K148,";",REPT(" ",99)),298,99)),FIND(":",TRIM(MID(SUBSTITUTE(K148,";",REPT(" ",99)),298,99)))+1,999))+1,999),FIND(":",MID(MID(TRIM(MID(SUBSTITUTE(K148,";",REPT(" ",99)),298,99)),FIND(":",TRIM(MID(SUBSTITUTE(K148,";",REPT(" ",99)),298,99)))+1,999),FIND(":",MID(TRIM(MID(SUBSTITUTE(K148,";",REPT(" ",99)),298,99)),FIND(":",TRIM(MID(SUBSTITUTE(K148,";",REPT(" ",99)),298,99)))+1,999))+1,999))-1)),IF(TRIM(MID(SUBSTITUTE(K148,";",REPT(" ",99)),397,99))="","",IFERROR(VLOOKUP(--LEFT(MID(TRIM(MID(SUBSTITUTE(K148,";",REPT(" ",99)),397,99)),FIND(":",TRIM(MID(SUBSTITUTE(K148,";",REPT(" ",99)),397,99)))+1,999),FIND(":",MID(TRIM(MID(SUBSTITUTE(K148,";",REPT(" ",99)),397,99)),FIND(":",TRIM(MID(SUBSTITUTE(K148,";",REPT(" ",99)),397,99)))+1,999))-1),_Lookup!$A:$B,2,FALSE),"?")&amp;"×"&amp;LEFT(MID(MID(TRIM(MID(SUBSTITUTE(K148,";",REPT(" ",99)),397,99)),FIND(":",TRIM(MID(SUBSTITUTE(K148,";",REPT(" ",99)),397,99)))+1,999),FIND(":",MID(TRIM(MID(SUBSTITUTE(K148,";",REPT(" ",99)),397,99)),FIND(":",TRIM(MID(SUBSTITUTE(K148,";",REPT(" ",99)),397,99)))+1,999))+1,999),FIND(":",MID(MID(TRIM(MID(SUBSTITUTE(K148,";",REPT(" ",99)),397,99)),FIND(":",TRIM(MID(SUBSTITUTE(K148,";",REPT(" ",99)),397,99)))+1,999),FIND(":",MID(TRIM(MID(SUBSTITUTE(K148,";",REPT(" ",99)),397,99)),FIND(":",TRIM(MID(SUBSTITUTE(K148,";",REPT(" ",99)),397,99)))+1,999))+1,999))-1))))</f>
        <v/>
      </c>
    </row>
    <row r="149">
      <c r="D149" s="11">
        <f>IFERROR(VLOOKUP(C149,ItemData_Fish!$A:$B,2,FALSE),"")</f>
        <v/>
      </c>
      <c r="L149" s="11">
        <f>IF(K149="","",TEXTJOIN("; ",TRUE,IF(TRIM(MID(SUBSTITUTE(K149,";",REPT(" ",99)),1,99))="","",IFERROR(VLOOKUP(--LEFT(MID(TRIM(MID(SUBSTITUTE(K149,";",REPT(" ",99)),1,99)),FIND(":",TRIM(MID(SUBSTITUTE(K149,";",REPT(" ",99)),1,99)))+1,999),FIND(":",MID(TRIM(MID(SUBSTITUTE(K149,";",REPT(" ",99)),1,99)),FIND(":",TRIM(MID(SUBSTITUTE(K149,";",REPT(" ",99)),1,99)))+1,999))-1),_Lookup!$A:$B,2,FALSE),"?")&amp;"×"&amp;LEFT(MID(MID(TRIM(MID(SUBSTITUTE(K149,";",REPT(" ",99)),1,99)),FIND(":",TRIM(MID(SUBSTITUTE(K149,";",REPT(" ",99)),1,99)))+1,999),FIND(":",MID(TRIM(MID(SUBSTITUTE(K149,";",REPT(" ",99)),1,99)),FIND(":",TRIM(MID(SUBSTITUTE(K149,";",REPT(" ",99)),1,99)))+1,999))+1,999),FIND(":",MID(MID(TRIM(MID(SUBSTITUTE(K149,";",REPT(" ",99)),1,99)),FIND(":",TRIM(MID(SUBSTITUTE(K149,";",REPT(" ",99)),1,99)))+1,999),FIND(":",MID(TRIM(MID(SUBSTITUTE(K149,";",REPT(" ",99)),1,99)),FIND(":",TRIM(MID(SUBSTITUTE(K149,";",REPT(" ",99)),1,99)))+1,999))+1,999))-1)),IF(TRIM(MID(SUBSTITUTE(K149,";",REPT(" ",99)),100,99))="","",IFERROR(VLOOKUP(--LEFT(MID(TRIM(MID(SUBSTITUTE(K149,";",REPT(" ",99)),100,99)),FIND(":",TRIM(MID(SUBSTITUTE(K149,";",REPT(" ",99)),100,99)))+1,999),FIND(":",MID(TRIM(MID(SUBSTITUTE(K149,";",REPT(" ",99)),100,99)),FIND(":",TRIM(MID(SUBSTITUTE(K149,";",REPT(" ",99)),100,99)))+1,999))-1),_Lookup!$A:$B,2,FALSE),"?")&amp;"×"&amp;LEFT(MID(MID(TRIM(MID(SUBSTITUTE(K149,";",REPT(" ",99)),100,99)),FIND(":",TRIM(MID(SUBSTITUTE(K149,";",REPT(" ",99)),100,99)))+1,999),FIND(":",MID(TRIM(MID(SUBSTITUTE(K149,";",REPT(" ",99)),100,99)),FIND(":",TRIM(MID(SUBSTITUTE(K149,";",REPT(" ",99)),100,99)))+1,999))+1,999),FIND(":",MID(MID(TRIM(MID(SUBSTITUTE(K149,";",REPT(" ",99)),100,99)),FIND(":",TRIM(MID(SUBSTITUTE(K149,";",REPT(" ",99)),100,99)))+1,999),FIND(":",MID(TRIM(MID(SUBSTITUTE(K149,";",REPT(" ",99)),100,99)),FIND(":",TRIM(MID(SUBSTITUTE(K149,";",REPT(" ",99)),100,99)))+1,999))+1,999))-1)),IF(TRIM(MID(SUBSTITUTE(K149,";",REPT(" ",99)),199,99))="","",IFERROR(VLOOKUP(--LEFT(MID(TRIM(MID(SUBSTITUTE(K149,";",REPT(" ",99)),199,99)),FIND(":",TRIM(MID(SUBSTITUTE(K149,";",REPT(" ",99)),199,99)))+1,999),FIND(":",MID(TRIM(MID(SUBSTITUTE(K149,";",REPT(" ",99)),199,99)),FIND(":",TRIM(MID(SUBSTITUTE(K149,";",REPT(" ",99)),199,99)))+1,999))-1),_Lookup!$A:$B,2,FALSE),"?")&amp;"×"&amp;LEFT(MID(MID(TRIM(MID(SUBSTITUTE(K149,";",REPT(" ",99)),199,99)),FIND(":",TRIM(MID(SUBSTITUTE(K149,";",REPT(" ",99)),199,99)))+1,999),FIND(":",MID(TRIM(MID(SUBSTITUTE(K149,";",REPT(" ",99)),199,99)),FIND(":",TRIM(MID(SUBSTITUTE(K149,";",REPT(" ",99)),199,99)))+1,999))+1,999),FIND(":",MID(MID(TRIM(MID(SUBSTITUTE(K149,";",REPT(" ",99)),199,99)),FIND(":",TRIM(MID(SUBSTITUTE(K149,";",REPT(" ",99)),199,99)))+1,999),FIND(":",MID(TRIM(MID(SUBSTITUTE(K149,";",REPT(" ",99)),199,99)),FIND(":",TRIM(MID(SUBSTITUTE(K149,";",REPT(" ",99)),199,99)))+1,999))+1,999))-1)),IF(TRIM(MID(SUBSTITUTE(K149,";",REPT(" ",99)),298,99))="","",IFERROR(VLOOKUP(--LEFT(MID(TRIM(MID(SUBSTITUTE(K149,";",REPT(" ",99)),298,99)),FIND(":",TRIM(MID(SUBSTITUTE(K149,";",REPT(" ",99)),298,99)))+1,999),FIND(":",MID(TRIM(MID(SUBSTITUTE(K149,";",REPT(" ",99)),298,99)),FIND(":",TRIM(MID(SUBSTITUTE(K149,";",REPT(" ",99)),298,99)))+1,999))-1),_Lookup!$A:$B,2,FALSE),"?")&amp;"×"&amp;LEFT(MID(MID(TRIM(MID(SUBSTITUTE(K149,";",REPT(" ",99)),298,99)),FIND(":",TRIM(MID(SUBSTITUTE(K149,";",REPT(" ",99)),298,99)))+1,999),FIND(":",MID(TRIM(MID(SUBSTITUTE(K149,";",REPT(" ",99)),298,99)),FIND(":",TRIM(MID(SUBSTITUTE(K149,";",REPT(" ",99)),298,99)))+1,999))+1,999),FIND(":",MID(MID(TRIM(MID(SUBSTITUTE(K149,";",REPT(" ",99)),298,99)),FIND(":",TRIM(MID(SUBSTITUTE(K149,";",REPT(" ",99)),298,99)))+1,999),FIND(":",MID(TRIM(MID(SUBSTITUTE(K149,";",REPT(" ",99)),298,99)),FIND(":",TRIM(MID(SUBSTITUTE(K149,";",REPT(" ",99)),298,99)))+1,999))+1,999))-1)),IF(TRIM(MID(SUBSTITUTE(K149,";",REPT(" ",99)),397,99))="","",IFERROR(VLOOKUP(--LEFT(MID(TRIM(MID(SUBSTITUTE(K149,";",REPT(" ",99)),397,99)),FIND(":",TRIM(MID(SUBSTITUTE(K149,";",REPT(" ",99)),397,99)))+1,999),FIND(":",MID(TRIM(MID(SUBSTITUTE(K149,";",REPT(" ",99)),397,99)),FIND(":",TRIM(MID(SUBSTITUTE(K149,";",REPT(" ",99)),397,99)))+1,999))-1),_Lookup!$A:$B,2,FALSE),"?")&amp;"×"&amp;LEFT(MID(MID(TRIM(MID(SUBSTITUTE(K149,";",REPT(" ",99)),397,99)),FIND(":",TRIM(MID(SUBSTITUTE(K149,";",REPT(" ",99)),397,99)))+1,999),FIND(":",MID(TRIM(MID(SUBSTITUTE(K149,";",REPT(" ",99)),397,99)),FIND(":",TRIM(MID(SUBSTITUTE(K149,";",REPT(" ",99)),397,99)))+1,999))+1,999),FIND(":",MID(MID(TRIM(MID(SUBSTITUTE(K149,";",REPT(" ",99)),397,99)),FIND(":",TRIM(MID(SUBSTITUTE(K149,";",REPT(" ",99)),397,99)))+1,999),FIND(":",MID(TRIM(MID(SUBSTITUTE(K149,";",REPT(" ",99)),397,99)),FIND(":",TRIM(MID(SUBSTITUTE(K149,";",REPT(" ",99)),397,99)))+1,999))+1,999))-1))))</f>
        <v/>
      </c>
    </row>
    <row r="150">
      <c r="D150" s="11">
        <f>IFERROR(VLOOKUP(C150,ItemData_Fish!$A:$B,2,FALSE),"")</f>
        <v/>
      </c>
      <c r="L150" s="11">
        <f>IF(K150="","",TEXTJOIN("; ",TRUE,IF(TRIM(MID(SUBSTITUTE(K150,";",REPT(" ",99)),1,99))="","",IFERROR(VLOOKUP(--LEFT(MID(TRIM(MID(SUBSTITUTE(K150,";",REPT(" ",99)),1,99)),FIND(":",TRIM(MID(SUBSTITUTE(K150,";",REPT(" ",99)),1,99)))+1,999),FIND(":",MID(TRIM(MID(SUBSTITUTE(K150,";",REPT(" ",99)),1,99)),FIND(":",TRIM(MID(SUBSTITUTE(K150,";",REPT(" ",99)),1,99)))+1,999))-1),_Lookup!$A:$B,2,FALSE),"?")&amp;"×"&amp;LEFT(MID(MID(TRIM(MID(SUBSTITUTE(K150,";",REPT(" ",99)),1,99)),FIND(":",TRIM(MID(SUBSTITUTE(K150,";",REPT(" ",99)),1,99)))+1,999),FIND(":",MID(TRIM(MID(SUBSTITUTE(K150,";",REPT(" ",99)),1,99)),FIND(":",TRIM(MID(SUBSTITUTE(K150,";",REPT(" ",99)),1,99)))+1,999))+1,999),FIND(":",MID(MID(TRIM(MID(SUBSTITUTE(K150,";",REPT(" ",99)),1,99)),FIND(":",TRIM(MID(SUBSTITUTE(K150,";",REPT(" ",99)),1,99)))+1,999),FIND(":",MID(TRIM(MID(SUBSTITUTE(K150,";",REPT(" ",99)),1,99)),FIND(":",TRIM(MID(SUBSTITUTE(K150,";",REPT(" ",99)),1,99)))+1,999))+1,999))-1)),IF(TRIM(MID(SUBSTITUTE(K150,";",REPT(" ",99)),100,99))="","",IFERROR(VLOOKUP(--LEFT(MID(TRIM(MID(SUBSTITUTE(K150,";",REPT(" ",99)),100,99)),FIND(":",TRIM(MID(SUBSTITUTE(K150,";",REPT(" ",99)),100,99)))+1,999),FIND(":",MID(TRIM(MID(SUBSTITUTE(K150,";",REPT(" ",99)),100,99)),FIND(":",TRIM(MID(SUBSTITUTE(K150,";",REPT(" ",99)),100,99)))+1,999))-1),_Lookup!$A:$B,2,FALSE),"?")&amp;"×"&amp;LEFT(MID(MID(TRIM(MID(SUBSTITUTE(K150,";",REPT(" ",99)),100,99)),FIND(":",TRIM(MID(SUBSTITUTE(K150,";",REPT(" ",99)),100,99)))+1,999),FIND(":",MID(TRIM(MID(SUBSTITUTE(K150,";",REPT(" ",99)),100,99)),FIND(":",TRIM(MID(SUBSTITUTE(K150,";",REPT(" ",99)),100,99)))+1,999))+1,999),FIND(":",MID(MID(TRIM(MID(SUBSTITUTE(K150,";",REPT(" ",99)),100,99)),FIND(":",TRIM(MID(SUBSTITUTE(K150,";",REPT(" ",99)),100,99)))+1,999),FIND(":",MID(TRIM(MID(SUBSTITUTE(K150,";",REPT(" ",99)),100,99)),FIND(":",TRIM(MID(SUBSTITUTE(K150,";",REPT(" ",99)),100,99)))+1,999))+1,999))-1)),IF(TRIM(MID(SUBSTITUTE(K150,";",REPT(" ",99)),199,99))="","",IFERROR(VLOOKUP(--LEFT(MID(TRIM(MID(SUBSTITUTE(K150,";",REPT(" ",99)),199,99)),FIND(":",TRIM(MID(SUBSTITUTE(K150,";",REPT(" ",99)),199,99)))+1,999),FIND(":",MID(TRIM(MID(SUBSTITUTE(K150,";",REPT(" ",99)),199,99)),FIND(":",TRIM(MID(SUBSTITUTE(K150,";",REPT(" ",99)),199,99)))+1,999))-1),_Lookup!$A:$B,2,FALSE),"?")&amp;"×"&amp;LEFT(MID(MID(TRIM(MID(SUBSTITUTE(K150,";",REPT(" ",99)),199,99)),FIND(":",TRIM(MID(SUBSTITUTE(K150,";",REPT(" ",99)),199,99)))+1,999),FIND(":",MID(TRIM(MID(SUBSTITUTE(K150,";",REPT(" ",99)),199,99)),FIND(":",TRIM(MID(SUBSTITUTE(K150,";",REPT(" ",99)),199,99)))+1,999))+1,999),FIND(":",MID(MID(TRIM(MID(SUBSTITUTE(K150,";",REPT(" ",99)),199,99)),FIND(":",TRIM(MID(SUBSTITUTE(K150,";",REPT(" ",99)),199,99)))+1,999),FIND(":",MID(TRIM(MID(SUBSTITUTE(K150,";",REPT(" ",99)),199,99)),FIND(":",TRIM(MID(SUBSTITUTE(K150,";",REPT(" ",99)),199,99)))+1,999))+1,999))-1)),IF(TRIM(MID(SUBSTITUTE(K150,";",REPT(" ",99)),298,99))="","",IFERROR(VLOOKUP(--LEFT(MID(TRIM(MID(SUBSTITUTE(K150,";",REPT(" ",99)),298,99)),FIND(":",TRIM(MID(SUBSTITUTE(K150,";",REPT(" ",99)),298,99)))+1,999),FIND(":",MID(TRIM(MID(SUBSTITUTE(K150,";",REPT(" ",99)),298,99)),FIND(":",TRIM(MID(SUBSTITUTE(K150,";",REPT(" ",99)),298,99)))+1,999))-1),_Lookup!$A:$B,2,FALSE),"?")&amp;"×"&amp;LEFT(MID(MID(TRIM(MID(SUBSTITUTE(K150,";",REPT(" ",99)),298,99)),FIND(":",TRIM(MID(SUBSTITUTE(K150,";",REPT(" ",99)),298,99)))+1,999),FIND(":",MID(TRIM(MID(SUBSTITUTE(K150,";",REPT(" ",99)),298,99)),FIND(":",TRIM(MID(SUBSTITUTE(K150,";",REPT(" ",99)),298,99)))+1,999))+1,999),FIND(":",MID(MID(TRIM(MID(SUBSTITUTE(K150,";",REPT(" ",99)),298,99)),FIND(":",TRIM(MID(SUBSTITUTE(K150,";",REPT(" ",99)),298,99)))+1,999),FIND(":",MID(TRIM(MID(SUBSTITUTE(K150,";",REPT(" ",99)),298,99)),FIND(":",TRIM(MID(SUBSTITUTE(K150,";",REPT(" ",99)),298,99)))+1,999))+1,999))-1)),IF(TRIM(MID(SUBSTITUTE(K150,";",REPT(" ",99)),397,99))="","",IFERROR(VLOOKUP(--LEFT(MID(TRIM(MID(SUBSTITUTE(K150,";",REPT(" ",99)),397,99)),FIND(":",TRIM(MID(SUBSTITUTE(K150,";",REPT(" ",99)),397,99)))+1,999),FIND(":",MID(TRIM(MID(SUBSTITUTE(K150,";",REPT(" ",99)),397,99)),FIND(":",TRIM(MID(SUBSTITUTE(K150,";",REPT(" ",99)),397,99)))+1,999))-1),_Lookup!$A:$B,2,FALSE),"?")&amp;"×"&amp;LEFT(MID(MID(TRIM(MID(SUBSTITUTE(K150,";",REPT(" ",99)),397,99)),FIND(":",TRIM(MID(SUBSTITUTE(K150,";",REPT(" ",99)),397,99)))+1,999),FIND(":",MID(TRIM(MID(SUBSTITUTE(K150,";",REPT(" ",99)),397,99)),FIND(":",TRIM(MID(SUBSTITUTE(K150,";",REPT(" ",99)),397,99)))+1,999))+1,999),FIND(":",MID(MID(TRIM(MID(SUBSTITUTE(K150,";",REPT(" ",99)),397,99)),FIND(":",TRIM(MID(SUBSTITUTE(K150,";",REPT(" ",99)),397,99)))+1,999),FIND(":",MID(TRIM(MID(SUBSTITUTE(K150,";",REPT(" ",99)),397,99)),FIND(":",TRIM(MID(SUBSTITUTE(K150,";",REPT(" ",99)),397,99)))+1,999))+1,999))-1))))</f>
        <v/>
      </c>
    </row>
    <row r="151">
      <c r="D151" s="11">
        <f>IFERROR(VLOOKUP(C151,ItemData_Fish!$A:$B,2,FALSE),"")</f>
        <v/>
      </c>
      <c r="L151" s="11">
        <f>IF(K151="","",TEXTJOIN("; ",TRUE,IF(TRIM(MID(SUBSTITUTE(K151,";",REPT(" ",99)),1,99))="","",IFERROR(VLOOKUP(--LEFT(MID(TRIM(MID(SUBSTITUTE(K151,";",REPT(" ",99)),1,99)),FIND(":",TRIM(MID(SUBSTITUTE(K151,";",REPT(" ",99)),1,99)))+1,999),FIND(":",MID(TRIM(MID(SUBSTITUTE(K151,";",REPT(" ",99)),1,99)),FIND(":",TRIM(MID(SUBSTITUTE(K151,";",REPT(" ",99)),1,99)))+1,999))-1),_Lookup!$A:$B,2,FALSE),"?")&amp;"×"&amp;LEFT(MID(MID(TRIM(MID(SUBSTITUTE(K151,";",REPT(" ",99)),1,99)),FIND(":",TRIM(MID(SUBSTITUTE(K151,";",REPT(" ",99)),1,99)))+1,999),FIND(":",MID(TRIM(MID(SUBSTITUTE(K151,";",REPT(" ",99)),1,99)),FIND(":",TRIM(MID(SUBSTITUTE(K151,";",REPT(" ",99)),1,99)))+1,999))+1,999),FIND(":",MID(MID(TRIM(MID(SUBSTITUTE(K151,";",REPT(" ",99)),1,99)),FIND(":",TRIM(MID(SUBSTITUTE(K151,";",REPT(" ",99)),1,99)))+1,999),FIND(":",MID(TRIM(MID(SUBSTITUTE(K151,";",REPT(" ",99)),1,99)),FIND(":",TRIM(MID(SUBSTITUTE(K151,";",REPT(" ",99)),1,99)))+1,999))+1,999))-1)),IF(TRIM(MID(SUBSTITUTE(K151,";",REPT(" ",99)),100,99))="","",IFERROR(VLOOKUP(--LEFT(MID(TRIM(MID(SUBSTITUTE(K151,";",REPT(" ",99)),100,99)),FIND(":",TRIM(MID(SUBSTITUTE(K151,";",REPT(" ",99)),100,99)))+1,999),FIND(":",MID(TRIM(MID(SUBSTITUTE(K151,";",REPT(" ",99)),100,99)),FIND(":",TRIM(MID(SUBSTITUTE(K151,";",REPT(" ",99)),100,99)))+1,999))-1),_Lookup!$A:$B,2,FALSE),"?")&amp;"×"&amp;LEFT(MID(MID(TRIM(MID(SUBSTITUTE(K151,";",REPT(" ",99)),100,99)),FIND(":",TRIM(MID(SUBSTITUTE(K151,";",REPT(" ",99)),100,99)))+1,999),FIND(":",MID(TRIM(MID(SUBSTITUTE(K151,";",REPT(" ",99)),100,99)),FIND(":",TRIM(MID(SUBSTITUTE(K151,";",REPT(" ",99)),100,99)))+1,999))+1,999),FIND(":",MID(MID(TRIM(MID(SUBSTITUTE(K151,";",REPT(" ",99)),100,99)),FIND(":",TRIM(MID(SUBSTITUTE(K151,";",REPT(" ",99)),100,99)))+1,999),FIND(":",MID(TRIM(MID(SUBSTITUTE(K151,";",REPT(" ",99)),100,99)),FIND(":",TRIM(MID(SUBSTITUTE(K151,";",REPT(" ",99)),100,99)))+1,999))+1,999))-1)),IF(TRIM(MID(SUBSTITUTE(K151,";",REPT(" ",99)),199,99))="","",IFERROR(VLOOKUP(--LEFT(MID(TRIM(MID(SUBSTITUTE(K151,";",REPT(" ",99)),199,99)),FIND(":",TRIM(MID(SUBSTITUTE(K151,";",REPT(" ",99)),199,99)))+1,999),FIND(":",MID(TRIM(MID(SUBSTITUTE(K151,";",REPT(" ",99)),199,99)),FIND(":",TRIM(MID(SUBSTITUTE(K151,";",REPT(" ",99)),199,99)))+1,999))-1),_Lookup!$A:$B,2,FALSE),"?")&amp;"×"&amp;LEFT(MID(MID(TRIM(MID(SUBSTITUTE(K151,";",REPT(" ",99)),199,99)),FIND(":",TRIM(MID(SUBSTITUTE(K151,";",REPT(" ",99)),199,99)))+1,999),FIND(":",MID(TRIM(MID(SUBSTITUTE(K151,";",REPT(" ",99)),199,99)),FIND(":",TRIM(MID(SUBSTITUTE(K151,";",REPT(" ",99)),199,99)))+1,999))+1,999),FIND(":",MID(MID(TRIM(MID(SUBSTITUTE(K151,";",REPT(" ",99)),199,99)),FIND(":",TRIM(MID(SUBSTITUTE(K151,";",REPT(" ",99)),199,99)))+1,999),FIND(":",MID(TRIM(MID(SUBSTITUTE(K151,";",REPT(" ",99)),199,99)),FIND(":",TRIM(MID(SUBSTITUTE(K151,";",REPT(" ",99)),199,99)))+1,999))+1,999))-1)),IF(TRIM(MID(SUBSTITUTE(K151,";",REPT(" ",99)),298,99))="","",IFERROR(VLOOKUP(--LEFT(MID(TRIM(MID(SUBSTITUTE(K151,";",REPT(" ",99)),298,99)),FIND(":",TRIM(MID(SUBSTITUTE(K151,";",REPT(" ",99)),298,99)))+1,999),FIND(":",MID(TRIM(MID(SUBSTITUTE(K151,";",REPT(" ",99)),298,99)),FIND(":",TRIM(MID(SUBSTITUTE(K151,";",REPT(" ",99)),298,99)))+1,999))-1),_Lookup!$A:$B,2,FALSE),"?")&amp;"×"&amp;LEFT(MID(MID(TRIM(MID(SUBSTITUTE(K151,";",REPT(" ",99)),298,99)),FIND(":",TRIM(MID(SUBSTITUTE(K151,";",REPT(" ",99)),298,99)))+1,999),FIND(":",MID(TRIM(MID(SUBSTITUTE(K151,";",REPT(" ",99)),298,99)),FIND(":",TRIM(MID(SUBSTITUTE(K151,";",REPT(" ",99)),298,99)))+1,999))+1,999),FIND(":",MID(MID(TRIM(MID(SUBSTITUTE(K151,";",REPT(" ",99)),298,99)),FIND(":",TRIM(MID(SUBSTITUTE(K151,";",REPT(" ",99)),298,99)))+1,999),FIND(":",MID(TRIM(MID(SUBSTITUTE(K151,";",REPT(" ",99)),298,99)),FIND(":",TRIM(MID(SUBSTITUTE(K151,";",REPT(" ",99)),298,99)))+1,999))+1,999))-1)),IF(TRIM(MID(SUBSTITUTE(K151,";",REPT(" ",99)),397,99))="","",IFERROR(VLOOKUP(--LEFT(MID(TRIM(MID(SUBSTITUTE(K151,";",REPT(" ",99)),397,99)),FIND(":",TRIM(MID(SUBSTITUTE(K151,";",REPT(" ",99)),397,99)))+1,999),FIND(":",MID(TRIM(MID(SUBSTITUTE(K151,";",REPT(" ",99)),397,99)),FIND(":",TRIM(MID(SUBSTITUTE(K151,";",REPT(" ",99)),397,99)))+1,999))-1),_Lookup!$A:$B,2,FALSE),"?")&amp;"×"&amp;LEFT(MID(MID(TRIM(MID(SUBSTITUTE(K151,";",REPT(" ",99)),397,99)),FIND(":",TRIM(MID(SUBSTITUTE(K151,";",REPT(" ",99)),397,99)))+1,999),FIND(":",MID(TRIM(MID(SUBSTITUTE(K151,";",REPT(" ",99)),397,99)),FIND(":",TRIM(MID(SUBSTITUTE(K151,";",REPT(" ",99)),397,99)))+1,999))+1,999),FIND(":",MID(MID(TRIM(MID(SUBSTITUTE(K151,";",REPT(" ",99)),397,99)),FIND(":",TRIM(MID(SUBSTITUTE(K151,";",REPT(" ",99)),397,99)))+1,999),FIND(":",MID(TRIM(MID(SUBSTITUTE(K151,";",REPT(" ",99)),397,99)),FIND(":",TRIM(MID(SUBSTITUTE(K151,";",REPT(" ",99)),397,99)))+1,999))+1,999))-1))))</f>
        <v/>
      </c>
    </row>
    <row r="152">
      <c r="D152" s="11">
        <f>IFERROR(VLOOKUP(C152,ItemData_Fish!$A:$B,2,FALSE),"")</f>
        <v/>
      </c>
      <c r="L152" s="11">
        <f>IF(K152="","",TEXTJOIN("; ",TRUE,IF(TRIM(MID(SUBSTITUTE(K152,";",REPT(" ",99)),1,99))="","",IFERROR(VLOOKUP(--LEFT(MID(TRIM(MID(SUBSTITUTE(K152,";",REPT(" ",99)),1,99)),FIND(":",TRIM(MID(SUBSTITUTE(K152,";",REPT(" ",99)),1,99)))+1,999),FIND(":",MID(TRIM(MID(SUBSTITUTE(K152,";",REPT(" ",99)),1,99)),FIND(":",TRIM(MID(SUBSTITUTE(K152,";",REPT(" ",99)),1,99)))+1,999))-1),_Lookup!$A:$B,2,FALSE),"?")&amp;"×"&amp;LEFT(MID(MID(TRIM(MID(SUBSTITUTE(K152,";",REPT(" ",99)),1,99)),FIND(":",TRIM(MID(SUBSTITUTE(K152,";",REPT(" ",99)),1,99)))+1,999),FIND(":",MID(TRIM(MID(SUBSTITUTE(K152,";",REPT(" ",99)),1,99)),FIND(":",TRIM(MID(SUBSTITUTE(K152,";",REPT(" ",99)),1,99)))+1,999))+1,999),FIND(":",MID(MID(TRIM(MID(SUBSTITUTE(K152,";",REPT(" ",99)),1,99)),FIND(":",TRIM(MID(SUBSTITUTE(K152,";",REPT(" ",99)),1,99)))+1,999),FIND(":",MID(TRIM(MID(SUBSTITUTE(K152,";",REPT(" ",99)),1,99)),FIND(":",TRIM(MID(SUBSTITUTE(K152,";",REPT(" ",99)),1,99)))+1,999))+1,999))-1)),IF(TRIM(MID(SUBSTITUTE(K152,";",REPT(" ",99)),100,99))="","",IFERROR(VLOOKUP(--LEFT(MID(TRIM(MID(SUBSTITUTE(K152,";",REPT(" ",99)),100,99)),FIND(":",TRIM(MID(SUBSTITUTE(K152,";",REPT(" ",99)),100,99)))+1,999),FIND(":",MID(TRIM(MID(SUBSTITUTE(K152,";",REPT(" ",99)),100,99)),FIND(":",TRIM(MID(SUBSTITUTE(K152,";",REPT(" ",99)),100,99)))+1,999))-1),_Lookup!$A:$B,2,FALSE),"?")&amp;"×"&amp;LEFT(MID(MID(TRIM(MID(SUBSTITUTE(K152,";",REPT(" ",99)),100,99)),FIND(":",TRIM(MID(SUBSTITUTE(K152,";",REPT(" ",99)),100,99)))+1,999),FIND(":",MID(TRIM(MID(SUBSTITUTE(K152,";",REPT(" ",99)),100,99)),FIND(":",TRIM(MID(SUBSTITUTE(K152,";",REPT(" ",99)),100,99)))+1,999))+1,999),FIND(":",MID(MID(TRIM(MID(SUBSTITUTE(K152,";",REPT(" ",99)),100,99)),FIND(":",TRIM(MID(SUBSTITUTE(K152,";",REPT(" ",99)),100,99)))+1,999),FIND(":",MID(TRIM(MID(SUBSTITUTE(K152,";",REPT(" ",99)),100,99)),FIND(":",TRIM(MID(SUBSTITUTE(K152,";",REPT(" ",99)),100,99)))+1,999))+1,999))-1)),IF(TRIM(MID(SUBSTITUTE(K152,";",REPT(" ",99)),199,99))="","",IFERROR(VLOOKUP(--LEFT(MID(TRIM(MID(SUBSTITUTE(K152,";",REPT(" ",99)),199,99)),FIND(":",TRIM(MID(SUBSTITUTE(K152,";",REPT(" ",99)),199,99)))+1,999),FIND(":",MID(TRIM(MID(SUBSTITUTE(K152,";",REPT(" ",99)),199,99)),FIND(":",TRIM(MID(SUBSTITUTE(K152,";",REPT(" ",99)),199,99)))+1,999))-1),_Lookup!$A:$B,2,FALSE),"?")&amp;"×"&amp;LEFT(MID(MID(TRIM(MID(SUBSTITUTE(K152,";",REPT(" ",99)),199,99)),FIND(":",TRIM(MID(SUBSTITUTE(K152,";",REPT(" ",99)),199,99)))+1,999),FIND(":",MID(TRIM(MID(SUBSTITUTE(K152,";",REPT(" ",99)),199,99)),FIND(":",TRIM(MID(SUBSTITUTE(K152,";",REPT(" ",99)),199,99)))+1,999))+1,999),FIND(":",MID(MID(TRIM(MID(SUBSTITUTE(K152,";",REPT(" ",99)),199,99)),FIND(":",TRIM(MID(SUBSTITUTE(K152,";",REPT(" ",99)),199,99)))+1,999),FIND(":",MID(TRIM(MID(SUBSTITUTE(K152,";",REPT(" ",99)),199,99)),FIND(":",TRIM(MID(SUBSTITUTE(K152,";",REPT(" ",99)),199,99)))+1,999))+1,999))-1)),IF(TRIM(MID(SUBSTITUTE(K152,";",REPT(" ",99)),298,99))="","",IFERROR(VLOOKUP(--LEFT(MID(TRIM(MID(SUBSTITUTE(K152,";",REPT(" ",99)),298,99)),FIND(":",TRIM(MID(SUBSTITUTE(K152,";",REPT(" ",99)),298,99)))+1,999),FIND(":",MID(TRIM(MID(SUBSTITUTE(K152,";",REPT(" ",99)),298,99)),FIND(":",TRIM(MID(SUBSTITUTE(K152,";",REPT(" ",99)),298,99)))+1,999))-1),_Lookup!$A:$B,2,FALSE),"?")&amp;"×"&amp;LEFT(MID(MID(TRIM(MID(SUBSTITUTE(K152,";",REPT(" ",99)),298,99)),FIND(":",TRIM(MID(SUBSTITUTE(K152,";",REPT(" ",99)),298,99)))+1,999),FIND(":",MID(TRIM(MID(SUBSTITUTE(K152,";",REPT(" ",99)),298,99)),FIND(":",TRIM(MID(SUBSTITUTE(K152,";",REPT(" ",99)),298,99)))+1,999))+1,999),FIND(":",MID(MID(TRIM(MID(SUBSTITUTE(K152,";",REPT(" ",99)),298,99)),FIND(":",TRIM(MID(SUBSTITUTE(K152,";",REPT(" ",99)),298,99)))+1,999),FIND(":",MID(TRIM(MID(SUBSTITUTE(K152,";",REPT(" ",99)),298,99)),FIND(":",TRIM(MID(SUBSTITUTE(K152,";",REPT(" ",99)),298,99)))+1,999))+1,999))-1)),IF(TRIM(MID(SUBSTITUTE(K152,";",REPT(" ",99)),397,99))="","",IFERROR(VLOOKUP(--LEFT(MID(TRIM(MID(SUBSTITUTE(K152,";",REPT(" ",99)),397,99)),FIND(":",TRIM(MID(SUBSTITUTE(K152,";",REPT(" ",99)),397,99)))+1,999),FIND(":",MID(TRIM(MID(SUBSTITUTE(K152,";",REPT(" ",99)),397,99)),FIND(":",TRIM(MID(SUBSTITUTE(K152,";",REPT(" ",99)),397,99)))+1,999))-1),_Lookup!$A:$B,2,FALSE),"?")&amp;"×"&amp;LEFT(MID(MID(TRIM(MID(SUBSTITUTE(K152,";",REPT(" ",99)),397,99)),FIND(":",TRIM(MID(SUBSTITUTE(K152,";",REPT(" ",99)),397,99)))+1,999),FIND(":",MID(TRIM(MID(SUBSTITUTE(K152,";",REPT(" ",99)),397,99)),FIND(":",TRIM(MID(SUBSTITUTE(K152,";",REPT(" ",99)),397,99)))+1,999))+1,999),FIND(":",MID(MID(TRIM(MID(SUBSTITUTE(K152,";",REPT(" ",99)),397,99)),FIND(":",TRIM(MID(SUBSTITUTE(K152,";",REPT(" ",99)),397,99)))+1,999),FIND(":",MID(TRIM(MID(SUBSTITUTE(K152,";",REPT(" ",99)),397,99)),FIND(":",TRIM(MID(SUBSTITUTE(K152,";",REPT(" ",99)),397,99)))+1,999))+1,999))-1))))</f>
        <v/>
      </c>
    </row>
    <row r="153">
      <c r="D153" s="11">
        <f>IFERROR(VLOOKUP(C153,ItemData_Fish!$A:$B,2,FALSE),"")</f>
        <v/>
      </c>
      <c r="L153" s="11">
        <f>IF(K153="","",TEXTJOIN("; ",TRUE,IF(TRIM(MID(SUBSTITUTE(K153,";",REPT(" ",99)),1,99))="","",IFERROR(VLOOKUP(--LEFT(MID(TRIM(MID(SUBSTITUTE(K153,";",REPT(" ",99)),1,99)),FIND(":",TRIM(MID(SUBSTITUTE(K153,";",REPT(" ",99)),1,99)))+1,999),FIND(":",MID(TRIM(MID(SUBSTITUTE(K153,";",REPT(" ",99)),1,99)),FIND(":",TRIM(MID(SUBSTITUTE(K153,";",REPT(" ",99)),1,99)))+1,999))-1),_Lookup!$A:$B,2,FALSE),"?")&amp;"×"&amp;LEFT(MID(MID(TRIM(MID(SUBSTITUTE(K153,";",REPT(" ",99)),1,99)),FIND(":",TRIM(MID(SUBSTITUTE(K153,";",REPT(" ",99)),1,99)))+1,999),FIND(":",MID(TRIM(MID(SUBSTITUTE(K153,";",REPT(" ",99)),1,99)),FIND(":",TRIM(MID(SUBSTITUTE(K153,";",REPT(" ",99)),1,99)))+1,999))+1,999),FIND(":",MID(MID(TRIM(MID(SUBSTITUTE(K153,";",REPT(" ",99)),1,99)),FIND(":",TRIM(MID(SUBSTITUTE(K153,";",REPT(" ",99)),1,99)))+1,999),FIND(":",MID(TRIM(MID(SUBSTITUTE(K153,";",REPT(" ",99)),1,99)),FIND(":",TRIM(MID(SUBSTITUTE(K153,";",REPT(" ",99)),1,99)))+1,999))+1,999))-1)),IF(TRIM(MID(SUBSTITUTE(K153,";",REPT(" ",99)),100,99))="","",IFERROR(VLOOKUP(--LEFT(MID(TRIM(MID(SUBSTITUTE(K153,";",REPT(" ",99)),100,99)),FIND(":",TRIM(MID(SUBSTITUTE(K153,";",REPT(" ",99)),100,99)))+1,999),FIND(":",MID(TRIM(MID(SUBSTITUTE(K153,";",REPT(" ",99)),100,99)),FIND(":",TRIM(MID(SUBSTITUTE(K153,";",REPT(" ",99)),100,99)))+1,999))-1),_Lookup!$A:$B,2,FALSE),"?")&amp;"×"&amp;LEFT(MID(MID(TRIM(MID(SUBSTITUTE(K153,";",REPT(" ",99)),100,99)),FIND(":",TRIM(MID(SUBSTITUTE(K153,";",REPT(" ",99)),100,99)))+1,999),FIND(":",MID(TRIM(MID(SUBSTITUTE(K153,";",REPT(" ",99)),100,99)),FIND(":",TRIM(MID(SUBSTITUTE(K153,";",REPT(" ",99)),100,99)))+1,999))+1,999),FIND(":",MID(MID(TRIM(MID(SUBSTITUTE(K153,";",REPT(" ",99)),100,99)),FIND(":",TRIM(MID(SUBSTITUTE(K153,";",REPT(" ",99)),100,99)))+1,999),FIND(":",MID(TRIM(MID(SUBSTITUTE(K153,";",REPT(" ",99)),100,99)),FIND(":",TRIM(MID(SUBSTITUTE(K153,";",REPT(" ",99)),100,99)))+1,999))+1,999))-1)),IF(TRIM(MID(SUBSTITUTE(K153,";",REPT(" ",99)),199,99))="","",IFERROR(VLOOKUP(--LEFT(MID(TRIM(MID(SUBSTITUTE(K153,";",REPT(" ",99)),199,99)),FIND(":",TRIM(MID(SUBSTITUTE(K153,";",REPT(" ",99)),199,99)))+1,999),FIND(":",MID(TRIM(MID(SUBSTITUTE(K153,";",REPT(" ",99)),199,99)),FIND(":",TRIM(MID(SUBSTITUTE(K153,";",REPT(" ",99)),199,99)))+1,999))-1),_Lookup!$A:$B,2,FALSE),"?")&amp;"×"&amp;LEFT(MID(MID(TRIM(MID(SUBSTITUTE(K153,";",REPT(" ",99)),199,99)),FIND(":",TRIM(MID(SUBSTITUTE(K153,";",REPT(" ",99)),199,99)))+1,999),FIND(":",MID(TRIM(MID(SUBSTITUTE(K153,";",REPT(" ",99)),199,99)),FIND(":",TRIM(MID(SUBSTITUTE(K153,";",REPT(" ",99)),199,99)))+1,999))+1,999),FIND(":",MID(MID(TRIM(MID(SUBSTITUTE(K153,";",REPT(" ",99)),199,99)),FIND(":",TRIM(MID(SUBSTITUTE(K153,";",REPT(" ",99)),199,99)))+1,999),FIND(":",MID(TRIM(MID(SUBSTITUTE(K153,";",REPT(" ",99)),199,99)),FIND(":",TRIM(MID(SUBSTITUTE(K153,";",REPT(" ",99)),199,99)))+1,999))+1,999))-1)),IF(TRIM(MID(SUBSTITUTE(K153,";",REPT(" ",99)),298,99))="","",IFERROR(VLOOKUP(--LEFT(MID(TRIM(MID(SUBSTITUTE(K153,";",REPT(" ",99)),298,99)),FIND(":",TRIM(MID(SUBSTITUTE(K153,";",REPT(" ",99)),298,99)))+1,999),FIND(":",MID(TRIM(MID(SUBSTITUTE(K153,";",REPT(" ",99)),298,99)),FIND(":",TRIM(MID(SUBSTITUTE(K153,";",REPT(" ",99)),298,99)))+1,999))-1),_Lookup!$A:$B,2,FALSE),"?")&amp;"×"&amp;LEFT(MID(MID(TRIM(MID(SUBSTITUTE(K153,";",REPT(" ",99)),298,99)),FIND(":",TRIM(MID(SUBSTITUTE(K153,";",REPT(" ",99)),298,99)))+1,999),FIND(":",MID(TRIM(MID(SUBSTITUTE(K153,";",REPT(" ",99)),298,99)),FIND(":",TRIM(MID(SUBSTITUTE(K153,";",REPT(" ",99)),298,99)))+1,999))+1,999),FIND(":",MID(MID(TRIM(MID(SUBSTITUTE(K153,";",REPT(" ",99)),298,99)),FIND(":",TRIM(MID(SUBSTITUTE(K153,";",REPT(" ",99)),298,99)))+1,999),FIND(":",MID(TRIM(MID(SUBSTITUTE(K153,";",REPT(" ",99)),298,99)),FIND(":",TRIM(MID(SUBSTITUTE(K153,";",REPT(" ",99)),298,99)))+1,999))+1,999))-1)),IF(TRIM(MID(SUBSTITUTE(K153,";",REPT(" ",99)),397,99))="","",IFERROR(VLOOKUP(--LEFT(MID(TRIM(MID(SUBSTITUTE(K153,";",REPT(" ",99)),397,99)),FIND(":",TRIM(MID(SUBSTITUTE(K153,";",REPT(" ",99)),397,99)))+1,999),FIND(":",MID(TRIM(MID(SUBSTITUTE(K153,";",REPT(" ",99)),397,99)),FIND(":",TRIM(MID(SUBSTITUTE(K153,";",REPT(" ",99)),397,99)))+1,999))-1),_Lookup!$A:$B,2,FALSE),"?")&amp;"×"&amp;LEFT(MID(MID(TRIM(MID(SUBSTITUTE(K153,";",REPT(" ",99)),397,99)),FIND(":",TRIM(MID(SUBSTITUTE(K153,";",REPT(" ",99)),397,99)))+1,999),FIND(":",MID(TRIM(MID(SUBSTITUTE(K153,";",REPT(" ",99)),397,99)),FIND(":",TRIM(MID(SUBSTITUTE(K153,";",REPT(" ",99)),397,99)))+1,999))+1,999),FIND(":",MID(MID(TRIM(MID(SUBSTITUTE(K153,";",REPT(" ",99)),397,99)),FIND(":",TRIM(MID(SUBSTITUTE(K153,";",REPT(" ",99)),397,99)))+1,999),FIND(":",MID(TRIM(MID(SUBSTITUTE(K153,";",REPT(" ",99)),397,99)),FIND(":",TRIM(MID(SUBSTITUTE(K153,";",REPT(" ",99)),397,99)))+1,999))+1,999))-1))))</f>
        <v/>
      </c>
    </row>
    <row r="154">
      <c r="D154" s="11">
        <f>IFERROR(VLOOKUP(C154,ItemData_Fish!$A:$B,2,FALSE),"")</f>
        <v/>
      </c>
      <c r="L154" s="11">
        <f>IF(K154="","",TEXTJOIN("; ",TRUE,IF(TRIM(MID(SUBSTITUTE(K154,";",REPT(" ",99)),1,99))="","",IFERROR(VLOOKUP(--LEFT(MID(TRIM(MID(SUBSTITUTE(K154,";",REPT(" ",99)),1,99)),FIND(":",TRIM(MID(SUBSTITUTE(K154,";",REPT(" ",99)),1,99)))+1,999),FIND(":",MID(TRIM(MID(SUBSTITUTE(K154,";",REPT(" ",99)),1,99)),FIND(":",TRIM(MID(SUBSTITUTE(K154,";",REPT(" ",99)),1,99)))+1,999))-1),_Lookup!$A:$B,2,FALSE),"?")&amp;"×"&amp;LEFT(MID(MID(TRIM(MID(SUBSTITUTE(K154,";",REPT(" ",99)),1,99)),FIND(":",TRIM(MID(SUBSTITUTE(K154,";",REPT(" ",99)),1,99)))+1,999),FIND(":",MID(TRIM(MID(SUBSTITUTE(K154,";",REPT(" ",99)),1,99)),FIND(":",TRIM(MID(SUBSTITUTE(K154,";",REPT(" ",99)),1,99)))+1,999))+1,999),FIND(":",MID(MID(TRIM(MID(SUBSTITUTE(K154,";",REPT(" ",99)),1,99)),FIND(":",TRIM(MID(SUBSTITUTE(K154,";",REPT(" ",99)),1,99)))+1,999),FIND(":",MID(TRIM(MID(SUBSTITUTE(K154,";",REPT(" ",99)),1,99)),FIND(":",TRIM(MID(SUBSTITUTE(K154,";",REPT(" ",99)),1,99)))+1,999))+1,999))-1)),IF(TRIM(MID(SUBSTITUTE(K154,";",REPT(" ",99)),100,99))="","",IFERROR(VLOOKUP(--LEFT(MID(TRIM(MID(SUBSTITUTE(K154,";",REPT(" ",99)),100,99)),FIND(":",TRIM(MID(SUBSTITUTE(K154,";",REPT(" ",99)),100,99)))+1,999),FIND(":",MID(TRIM(MID(SUBSTITUTE(K154,";",REPT(" ",99)),100,99)),FIND(":",TRIM(MID(SUBSTITUTE(K154,";",REPT(" ",99)),100,99)))+1,999))-1),_Lookup!$A:$B,2,FALSE),"?")&amp;"×"&amp;LEFT(MID(MID(TRIM(MID(SUBSTITUTE(K154,";",REPT(" ",99)),100,99)),FIND(":",TRIM(MID(SUBSTITUTE(K154,";",REPT(" ",99)),100,99)))+1,999),FIND(":",MID(TRIM(MID(SUBSTITUTE(K154,";",REPT(" ",99)),100,99)),FIND(":",TRIM(MID(SUBSTITUTE(K154,";",REPT(" ",99)),100,99)))+1,999))+1,999),FIND(":",MID(MID(TRIM(MID(SUBSTITUTE(K154,";",REPT(" ",99)),100,99)),FIND(":",TRIM(MID(SUBSTITUTE(K154,";",REPT(" ",99)),100,99)))+1,999),FIND(":",MID(TRIM(MID(SUBSTITUTE(K154,";",REPT(" ",99)),100,99)),FIND(":",TRIM(MID(SUBSTITUTE(K154,";",REPT(" ",99)),100,99)))+1,999))+1,999))-1)),IF(TRIM(MID(SUBSTITUTE(K154,";",REPT(" ",99)),199,99))="","",IFERROR(VLOOKUP(--LEFT(MID(TRIM(MID(SUBSTITUTE(K154,";",REPT(" ",99)),199,99)),FIND(":",TRIM(MID(SUBSTITUTE(K154,";",REPT(" ",99)),199,99)))+1,999),FIND(":",MID(TRIM(MID(SUBSTITUTE(K154,";",REPT(" ",99)),199,99)),FIND(":",TRIM(MID(SUBSTITUTE(K154,";",REPT(" ",99)),199,99)))+1,999))-1),_Lookup!$A:$B,2,FALSE),"?")&amp;"×"&amp;LEFT(MID(MID(TRIM(MID(SUBSTITUTE(K154,";",REPT(" ",99)),199,99)),FIND(":",TRIM(MID(SUBSTITUTE(K154,";",REPT(" ",99)),199,99)))+1,999),FIND(":",MID(TRIM(MID(SUBSTITUTE(K154,";",REPT(" ",99)),199,99)),FIND(":",TRIM(MID(SUBSTITUTE(K154,";",REPT(" ",99)),199,99)))+1,999))+1,999),FIND(":",MID(MID(TRIM(MID(SUBSTITUTE(K154,";",REPT(" ",99)),199,99)),FIND(":",TRIM(MID(SUBSTITUTE(K154,";",REPT(" ",99)),199,99)))+1,999),FIND(":",MID(TRIM(MID(SUBSTITUTE(K154,";",REPT(" ",99)),199,99)),FIND(":",TRIM(MID(SUBSTITUTE(K154,";",REPT(" ",99)),199,99)))+1,999))+1,999))-1)),IF(TRIM(MID(SUBSTITUTE(K154,";",REPT(" ",99)),298,99))="","",IFERROR(VLOOKUP(--LEFT(MID(TRIM(MID(SUBSTITUTE(K154,";",REPT(" ",99)),298,99)),FIND(":",TRIM(MID(SUBSTITUTE(K154,";",REPT(" ",99)),298,99)))+1,999),FIND(":",MID(TRIM(MID(SUBSTITUTE(K154,";",REPT(" ",99)),298,99)),FIND(":",TRIM(MID(SUBSTITUTE(K154,";",REPT(" ",99)),298,99)))+1,999))-1),_Lookup!$A:$B,2,FALSE),"?")&amp;"×"&amp;LEFT(MID(MID(TRIM(MID(SUBSTITUTE(K154,";",REPT(" ",99)),298,99)),FIND(":",TRIM(MID(SUBSTITUTE(K154,";",REPT(" ",99)),298,99)))+1,999),FIND(":",MID(TRIM(MID(SUBSTITUTE(K154,";",REPT(" ",99)),298,99)),FIND(":",TRIM(MID(SUBSTITUTE(K154,";",REPT(" ",99)),298,99)))+1,999))+1,999),FIND(":",MID(MID(TRIM(MID(SUBSTITUTE(K154,";",REPT(" ",99)),298,99)),FIND(":",TRIM(MID(SUBSTITUTE(K154,";",REPT(" ",99)),298,99)))+1,999),FIND(":",MID(TRIM(MID(SUBSTITUTE(K154,";",REPT(" ",99)),298,99)),FIND(":",TRIM(MID(SUBSTITUTE(K154,";",REPT(" ",99)),298,99)))+1,999))+1,999))-1)),IF(TRIM(MID(SUBSTITUTE(K154,";",REPT(" ",99)),397,99))="","",IFERROR(VLOOKUP(--LEFT(MID(TRIM(MID(SUBSTITUTE(K154,";",REPT(" ",99)),397,99)),FIND(":",TRIM(MID(SUBSTITUTE(K154,";",REPT(" ",99)),397,99)))+1,999),FIND(":",MID(TRIM(MID(SUBSTITUTE(K154,";",REPT(" ",99)),397,99)),FIND(":",TRIM(MID(SUBSTITUTE(K154,";",REPT(" ",99)),397,99)))+1,999))-1),_Lookup!$A:$B,2,FALSE),"?")&amp;"×"&amp;LEFT(MID(MID(TRIM(MID(SUBSTITUTE(K154,";",REPT(" ",99)),397,99)),FIND(":",TRIM(MID(SUBSTITUTE(K154,";",REPT(" ",99)),397,99)))+1,999),FIND(":",MID(TRIM(MID(SUBSTITUTE(K154,";",REPT(" ",99)),397,99)),FIND(":",TRIM(MID(SUBSTITUTE(K154,";",REPT(" ",99)),397,99)))+1,999))+1,999),FIND(":",MID(MID(TRIM(MID(SUBSTITUTE(K154,";",REPT(" ",99)),397,99)),FIND(":",TRIM(MID(SUBSTITUTE(K154,";",REPT(" ",99)),397,99)))+1,999),FIND(":",MID(TRIM(MID(SUBSTITUTE(K154,";",REPT(" ",99)),397,99)),FIND(":",TRIM(MID(SUBSTITUTE(K154,";",REPT(" ",99)),397,99)))+1,999))+1,999))-1))))</f>
        <v/>
      </c>
    </row>
    <row r="155">
      <c r="D155" s="11">
        <f>IFERROR(VLOOKUP(C155,ItemData_Fish!$A:$B,2,FALSE),"")</f>
        <v/>
      </c>
      <c r="L155" s="11">
        <f>IF(K155="","",TEXTJOIN("; ",TRUE,IF(TRIM(MID(SUBSTITUTE(K155,";",REPT(" ",99)),1,99))="","",IFERROR(VLOOKUP(--LEFT(MID(TRIM(MID(SUBSTITUTE(K155,";",REPT(" ",99)),1,99)),FIND(":",TRIM(MID(SUBSTITUTE(K155,";",REPT(" ",99)),1,99)))+1,999),FIND(":",MID(TRIM(MID(SUBSTITUTE(K155,";",REPT(" ",99)),1,99)),FIND(":",TRIM(MID(SUBSTITUTE(K155,";",REPT(" ",99)),1,99)))+1,999))-1),_Lookup!$A:$B,2,FALSE),"?")&amp;"×"&amp;LEFT(MID(MID(TRIM(MID(SUBSTITUTE(K155,";",REPT(" ",99)),1,99)),FIND(":",TRIM(MID(SUBSTITUTE(K155,";",REPT(" ",99)),1,99)))+1,999),FIND(":",MID(TRIM(MID(SUBSTITUTE(K155,";",REPT(" ",99)),1,99)),FIND(":",TRIM(MID(SUBSTITUTE(K155,";",REPT(" ",99)),1,99)))+1,999))+1,999),FIND(":",MID(MID(TRIM(MID(SUBSTITUTE(K155,";",REPT(" ",99)),1,99)),FIND(":",TRIM(MID(SUBSTITUTE(K155,";",REPT(" ",99)),1,99)))+1,999),FIND(":",MID(TRIM(MID(SUBSTITUTE(K155,";",REPT(" ",99)),1,99)),FIND(":",TRIM(MID(SUBSTITUTE(K155,";",REPT(" ",99)),1,99)))+1,999))+1,999))-1)),IF(TRIM(MID(SUBSTITUTE(K155,";",REPT(" ",99)),100,99))="","",IFERROR(VLOOKUP(--LEFT(MID(TRIM(MID(SUBSTITUTE(K155,";",REPT(" ",99)),100,99)),FIND(":",TRIM(MID(SUBSTITUTE(K155,";",REPT(" ",99)),100,99)))+1,999),FIND(":",MID(TRIM(MID(SUBSTITUTE(K155,";",REPT(" ",99)),100,99)),FIND(":",TRIM(MID(SUBSTITUTE(K155,";",REPT(" ",99)),100,99)))+1,999))-1),_Lookup!$A:$B,2,FALSE),"?")&amp;"×"&amp;LEFT(MID(MID(TRIM(MID(SUBSTITUTE(K155,";",REPT(" ",99)),100,99)),FIND(":",TRIM(MID(SUBSTITUTE(K155,";",REPT(" ",99)),100,99)))+1,999),FIND(":",MID(TRIM(MID(SUBSTITUTE(K155,";",REPT(" ",99)),100,99)),FIND(":",TRIM(MID(SUBSTITUTE(K155,";",REPT(" ",99)),100,99)))+1,999))+1,999),FIND(":",MID(MID(TRIM(MID(SUBSTITUTE(K155,";",REPT(" ",99)),100,99)),FIND(":",TRIM(MID(SUBSTITUTE(K155,";",REPT(" ",99)),100,99)))+1,999),FIND(":",MID(TRIM(MID(SUBSTITUTE(K155,";",REPT(" ",99)),100,99)),FIND(":",TRIM(MID(SUBSTITUTE(K155,";",REPT(" ",99)),100,99)))+1,999))+1,999))-1)),IF(TRIM(MID(SUBSTITUTE(K155,";",REPT(" ",99)),199,99))="","",IFERROR(VLOOKUP(--LEFT(MID(TRIM(MID(SUBSTITUTE(K155,";",REPT(" ",99)),199,99)),FIND(":",TRIM(MID(SUBSTITUTE(K155,";",REPT(" ",99)),199,99)))+1,999),FIND(":",MID(TRIM(MID(SUBSTITUTE(K155,";",REPT(" ",99)),199,99)),FIND(":",TRIM(MID(SUBSTITUTE(K155,";",REPT(" ",99)),199,99)))+1,999))-1),_Lookup!$A:$B,2,FALSE),"?")&amp;"×"&amp;LEFT(MID(MID(TRIM(MID(SUBSTITUTE(K155,";",REPT(" ",99)),199,99)),FIND(":",TRIM(MID(SUBSTITUTE(K155,";",REPT(" ",99)),199,99)))+1,999),FIND(":",MID(TRIM(MID(SUBSTITUTE(K155,";",REPT(" ",99)),199,99)),FIND(":",TRIM(MID(SUBSTITUTE(K155,";",REPT(" ",99)),199,99)))+1,999))+1,999),FIND(":",MID(MID(TRIM(MID(SUBSTITUTE(K155,";",REPT(" ",99)),199,99)),FIND(":",TRIM(MID(SUBSTITUTE(K155,";",REPT(" ",99)),199,99)))+1,999),FIND(":",MID(TRIM(MID(SUBSTITUTE(K155,";",REPT(" ",99)),199,99)),FIND(":",TRIM(MID(SUBSTITUTE(K155,";",REPT(" ",99)),199,99)))+1,999))+1,999))-1)),IF(TRIM(MID(SUBSTITUTE(K155,";",REPT(" ",99)),298,99))="","",IFERROR(VLOOKUP(--LEFT(MID(TRIM(MID(SUBSTITUTE(K155,";",REPT(" ",99)),298,99)),FIND(":",TRIM(MID(SUBSTITUTE(K155,";",REPT(" ",99)),298,99)))+1,999),FIND(":",MID(TRIM(MID(SUBSTITUTE(K155,";",REPT(" ",99)),298,99)),FIND(":",TRIM(MID(SUBSTITUTE(K155,";",REPT(" ",99)),298,99)))+1,999))-1),_Lookup!$A:$B,2,FALSE),"?")&amp;"×"&amp;LEFT(MID(MID(TRIM(MID(SUBSTITUTE(K155,";",REPT(" ",99)),298,99)),FIND(":",TRIM(MID(SUBSTITUTE(K155,";",REPT(" ",99)),298,99)))+1,999),FIND(":",MID(TRIM(MID(SUBSTITUTE(K155,";",REPT(" ",99)),298,99)),FIND(":",TRIM(MID(SUBSTITUTE(K155,";",REPT(" ",99)),298,99)))+1,999))+1,999),FIND(":",MID(MID(TRIM(MID(SUBSTITUTE(K155,";",REPT(" ",99)),298,99)),FIND(":",TRIM(MID(SUBSTITUTE(K155,";",REPT(" ",99)),298,99)))+1,999),FIND(":",MID(TRIM(MID(SUBSTITUTE(K155,";",REPT(" ",99)),298,99)),FIND(":",TRIM(MID(SUBSTITUTE(K155,";",REPT(" ",99)),298,99)))+1,999))+1,999))-1)),IF(TRIM(MID(SUBSTITUTE(K155,";",REPT(" ",99)),397,99))="","",IFERROR(VLOOKUP(--LEFT(MID(TRIM(MID(SUBSTITUTE(K155,";",REPT(" ",99)),397,99)),FIND(":",TRIM(MID(SUBSTITUTE(K155,";",REPT(" ",99)),397,99)))+1,999),FIND(":",MID(TRIM(MID(SUBSTITUTE(K155,";",REPT(" ",99)),397,99)),FIND(":",TRIM(MID(SUBSTITUTE(K155,";",REPT(" ",99)),397,99)))+1,999))-1),_Lookup!$A:$B,2,FALSE),"?")&amp;"×"&amp;LEFT(MID(MID(TRIM(MID(SUBSTITUTE(K155,";",REPT(" ",99)),397,99)),FIND(":",TRIM(MID(SUBSTITUTE(K155,";",REPT(" ",99)),397,99)))+1,999),FIND(":",MID(TRIM(MID(SUBSTITUTE(K155,";",REPT(" ",99)),397,99)),FIND(":",TRIM(MID(SUBSTITUTE(K155,";",REPT(" ",99)),397,99)))+1,999))+1,999),FIND(":",MID(MID(TRIM(MID(SUBSTITUTE(K155,";",REPT(" ",99)),397,99)),FIND(":",TRIM(MID(SUBSTITUTE(K155,";",REPT(" ",99)),397,99)))+1,999),FIND(":",MID(TRIM(MID(SUBSTITUTE(K155,";",REPT(" ",99)),397,99)),FIND(":",TRIM(MID(SUBSTITUTE(K155,";",REPT(" ",99)),397,99)))+1,999))+1,999))-1))))</f>
        <v/>
      </c>
    </row>
    <row r="156">
      <c r="D156" s="11">
        <f>IFERROR(VLOOKUP(C156,ItemData_Fish!$A:$B,2,FALSE),"")</f>
        <v/>
      </c>
      <c r="L156" s="11">
        <f>IF(K156="","",TEXTJOIN("; ",TRUE,IF(TRIM(MID(SUBSTITUTE(K156,";",REPT(" ",99)),1,99))="","",IFERROR(VLOOKUP(--LEFT(MID(TRIM(MID(SUBSTITUTE(K156,";",REPT(" ",99)),1,99)),FIND(":",TRIM(MID(SUBSTITUTE(K156,";",REPT(" ",99)),1,99)))+1,999),FIND(":",MID(TRIM(MID(SUBSTITUTE(K156,";",REPT(" ",99)),1,99)),FIND(":",TRIM(MID(SUBSTITUTE(K156,";",REPT(" ",99)),1,99)))+1,999))-1),_Lookup!$A:$B,2,FALSE),"?")&amp;"×"&amp;LEFT(MID(MID(TRIM(MID(SUBSTITUTE(K156,";",REPT(" ",99)),1,99)),FIND(":",TRIM(MID(SUBSTITUTE(K156,";",REPT(" ",99)),1,99)))+1,999),FIND(":",MID(TRIM(MID(SUBSTITUTE(K156,";",REPT(" ",99)),1,99)),FIND(":",TRIM(MID(SUBSTITUTE(K156,";",REPT(" ",99)),1,99)))+1,999))+1,999),FIND(":",MID(MID(TRIM(MID(SUBSTITUTE(K156,";",REPT(" ",99)),1,99)),FIND(":",TRIM(MID(SUBSTITUTE(K156,";",REPT(" ",99)),1,99)))+1,999),FIND(":",MID(TRIM(MID(SUBSTITUTE(K156,";",REPT(" ",99)),1,99)),FIND(":",TRIM(MID(SUBSTITUTE(K156,";",REPT(" ",99)),1,99)))+1,999))+1,999))-1)),IF(TRIM(MID(SUBSTITUTE(K156,";",REPT(" ",99)),100,99))="","",IFERROR(VLOOKUP(--LEFT(MID(TRIM(MID(SUBSTITUTE(K156,";",REPT(" ",99)),100,99)),FIND(":",TRIM(MID(SUBSTITUTE(K156,";",REPT(" ",99)),100,99)))+1,999),FIND(":",MID(TRIM(MID(SUBSTITUTE(K156,";",REPT(" ",99)),100,99)),FIND(":",TRIM(MID(SUBSTITUTE(K156,";",REPT(" ",99)),100,99)))+1,999))-1),_Lookup!$A:$B,2,FALSE),"?")&amp;"×"&amp;LEFT(MID(MID(TRIM(MID(SUBSTITUTE(K156,";",REPT(" ",99)),100,99)),FIND(":",TRIM(MID(SUBSTITUTE(K156,";",REPT(" ",99)),100,99)))+1,999),FIND(":",MID(TRIM(MID(SUBSTITUTE(K156,";",REPT(" ",99)),100,99)),FIND(":",TRIM(MID(SUBSTITUTE(K156,";",REPT(" ",99)),100,99)))+1,999))+1,999),FIND(":",MID(MID(TRIM(MID(SUBSTITUTE(K156,";",REPT(" ",99)),100,99)),FIND(":",TRIM(MID(SUBSTITUTE(K156,";",REPT(" ",99)),100,99)))+1,999),FIND(":",MID(TRIM(MID(SUBSTITUTE(K156,";",REPT(" ",99)),100,99)),FIND(":",TRIM(MID(SUBSTITUTE(K156,";",REPT(" ",99)),100,99)))+1,999))+1,999))-1)),IF(TRIM(MID(SUBSTITUTE(K156,";",REPT(" ",99)),199,99))="","",IFERROR(VLOOKUP(--LEFT(MID(TRIM(MID(SUBSTITUTE(K156,";",REPT(" ",99)),199,99)),FIND(":",TRIM(MID(SUBSTITUTE(K156,";",REPT(" ",99)),199,99)))+1,999),FIND(":",MID(TRIM(MID(SUBSTITUTE(K156,";",REPT(" ",99)),199,99)),FIND(":",TRIM(MID(SUBSTITUTE(K156,";",REPT(" ",99)),199,99)))+1,999))-1),_Lookup!$A:$B,2,FALSE),"?")&amp;"×"&amp;LEFT(MID(MID(TRIM(MID(SUBSTITUTE(K156,";",REPT(" ",99)),199,99)),FIND(":",TRIM(MID(SUBSTITUTE(K156,";",REPT(" ",99)),199,99)))+1,999),FIND(":",MID(TRIM(MID(SUBSTITUTE(K156,";",REPT(" ",99)),199,99)),FIND(":",TRIM(MID(SUBSTITUTE(K156,";",REPT(" ",99)),199,99)))+1,999))+1,999),FIND(":",MID(MID(TRIM(MID(SUBSTITUTE(K156,";",REPT(" ",99)),199,99)),FIND(":",TRIM(MID(SUBSTITUTE(K156,";",REPT(" ",99)),199,99)))+1,999),FIND(":",MID(TRIM(MID(SUBSTITUTE(K156,";",REPT(" ",99)),199,99)),FIND(":",TRIM(MID(SUBSTITUTE(K156,";",REPT(" ",99)),199,99)))+1,999))+1,999))-1)),IF(TRIM(MID(SUBSTITUTE(K156,";",REPT(" ",99)),298,99))="","",IFERROR(VLOOKUP(--LEFT(MID(TRIM(MID(SUBSTITUTE(K156,";",REPT(" ",99)),298,99)),FIND(":",TRIM(MID(SUBSTITUTE(K156,";",REPT(" ",99)),298,99)))+1,999),FIND(":",MID(TRIM(MID(SUBSTITUTE(K156,";",REPT(" ",99)),298,99)),FIND(":",TRIM(MID(SUBSTITUTE(K156,";",REPT(" ",99)),298,99)))+1,999))-1),_Lookup!$A:$B,2,FALSE),"?")&amp;"×"&amp;LEFT(MID(MID(TRIM(MID(SUBSTITUTE(K156,";",REPT(" ",99)),298,99)),FIND(":",TRIM(MID(SUBSTITUTE(K156,";",REPT(" ",99)),298,99)))+1,999),FIND(":",MID(TRIM(MID(SUBSTITUTE(K156,";",REPT(" ",99)),298,99)),FIND(":",TRIM(MID(SUBSTITUTE(K156,";",REPT(" ",99)),298,99)))+1,999))+1,999),FIND(":",MID(MID(TRIM(MID(SUBSTITUTE(K156,";",REPT(" ",99)),298,99)),FIND(":",TRIM(MID(SUBSTITUTE(K156,";",REPT(" ",99)),298,99)))+1,999),FIND(":",MID(TRIM(MID(SUBSTITUTE(K156,";",REPT(" ",99)),298,99)),FIND(":",TRIM(MID(SUBSTITUTE(K156,";",REPT(" ",99)),298,99)))+1,999))+1,999))-1)),IF(TRIM(MID(SUBSTITUTE(K156,";",REPT(" ",99)),397,99))="","",IFERROR(VLOOKUP(--LEFT(MID(TRIM(MID(SUBSTITUTE(K156,";",REPT(" ",99)),397,99)),FIND(":",TRIM(MID(SUBSTITUTE(K156,";",REPT(" ",99)),397,99)))+1,999),FIND(":",MID(TRIM(MID(SUBSTITUTE(K156,";",REPT(" ",99)),397,99)),FIND(":",TRIM(MID(SUBSTITUTE(K156,";",REPT(" ",99)),397,99)))+1,999))-1),_Lookup!$A:$B,2,FALSE),"?")&amp;"×"&amp;LEFT(MID(MID(TRIM(MID(SUBSTITUTE(K156,";",REPT(" ",99)),397,99)),FIND(":",TRIM(MID(SUBSTITUTE(K156,";",REPT(" ",99)),397,99)))+1,999),FIND(":",MID(TRIM(MID(SUBSTITUTE(K156,";",REPT(" ",99)),397,99)),FIND(":",TRIM(MID(SUBSTITUTE(K156,";",REPT(" ",99)),397,99)))+1,999))+1,999),FIND(":",MID(MID(TRIM(MID(SUBSTITUTE(K156,";",REPT(" ",99)),397,99)),FIND(":",TRIM(MID(SUBSTITUTE(K156,";",REPT(" ",99)),397,99)))+1,999),FIND(":",MID(TRIM(MID(SUBSTITUTE(K156,";",REPT(" ",99)),397,99)),FIND(":",TRIM(MID(SUBSTITUTE(K156,";",REPT(" ",99)),397,99)))+1,999))+1,999))-1))))</f>
        <v/>
      </c>
    </row>
    <row r="157">
      <c r="D157" s="11">
        <f>IFERROR(VLOOKUP(C157,ItemData_Fish!$A:$B,2,FALSE),"")</f>
        <v/>
      </c>
      <c r="L157" s="11">
        <f>IF(K157="","",TEXTJOIN("; ",TRUE,IF(TRIM(MID(SUBSTITUTE(K157,";",REPT(" ",99)),1,99))="","",IFERROR(VLOOKUP(--LEFT(MID(TRIM(MID(SUBSTITUTE(K157,";",REPT(" ",99)),1,99)),FIND(":",TRIM(MID(SUBSTITUTE(K157,";",REPT(" ",99)),1,99)))+1,999),FIND(":",MID(TRIM(MID(SUBSTITUTE(K157,";",REPT(" ",99)),1,99)),FIND(":",TRIM(MID(SUBSTITUTE(K157,";",REPT(" ",99)),1,99)))+1,999))-1),_Lookup!$A:$B,2,FALSE),"?")&amp;"×"&amp;LEFT(MID(MID(TRIM(MID(SUBSTITUTE(K157,";",REPT(" ",99)),1,99)),FIND(":",TRIM(MID(SUBSTITUTE(K157,";",REPT(" ",99)),1,99)))+1,999),FIND(":",MID(TRIM(MID(SUBSTITUTE(K157,";",REPT(" ",99)),1,99)),FIND(":",TRIM(MID(SUBSTITUTE(K157,";",REPT(" ",99)),1,99)))+1,999))+1,999),FIND(":",MID(MID(TRIM(MID(SUBSTITUTE(K157,";",REPT(" ",99)),1,99)),FIND(":",TRIM(MID(SUBSTITUTE(K157,";",REPT(" ",99)),1,99)))+1,999),FIND(":",MID(TRIM(MID(SUBSTITUTE(K157,";",REPT(" ",99)),1,99)),FIND(":",TRIM(MID(SUBSTITUTE(K157,";",REPT(" ",99)),1,99)))+1,999))+1,999))-1)),IF(TRIM(MID(SUBSTITUTE(K157,";",REPT(" ",99)),100,99))="","",IFERROR(VLOOKUP(--LEFT(MID(TRIM(MID(SUBSTITUTE(K157,";",REPT(" ",99)),100,99)),FIND(":",TRIM(MID(SUBSTITUTE(K157,";",REPT(" ",99)),100,99)))+1,999),FIND(":",MID(TRIM(MID(SUBSTITUTE(K157,";",REPT(" ",99)),100,99)),FIND(":",TRIM(MID(SUBSTITUTE(K157,";",REPT(" ",99)),100,99)))+1,999))-1),_Lookup!$A:$B,2,FALSE),"?")&amp;"×"&amp;LEFT(MID(MID(TRIM(MID(SUBSTITUTE(K157,";",REPT(" ",99)),100,99)),FIND(":",TRIM(MID(SUBSTITUTE(K157,";",REPT(" ",99)),100,99)))+1,999),FIND(":",MID(TRIM(MID(SUBSTITUTE(K157,";",REPT(" ",99)),100,99)),FIND(":",TRIM(MID(SUBSTITUTE(K157,";",REPT(" ",99)),100,99)))+1,999))+1,999),FIND(":",MID(MID(TRIM(MID(SUBSTITUTE(K157,";",REPT(" ",99)),100,99)),FIND(":",TRIM(MID(SUBSTITUTE(K157,";",REPT(" ",99)),100,99)))+1,999),FIND(":",MID(TRIM(MID(SUBSTITUTE(K157,";",REPT(" ",99)),100,99)),FIND(":",TRIM(MID(SUBSTITUTE(K157,";",REPT(" ",99)),100,99)))+1,999))+1,999))-1)),IF(TRIM(MID(SUBSTITUTE(K157,";",REPT(" ",99)),199,99))="","",IFERROR(VLOOKUP(--LEFT(MID(TRIM(MID(SUBSTITUTE(K157,";",REPT(" ",99)),199,99)),FIND(":",TRIM(MID(SUBSTITUTE(K157,";",REPT(" ",99)),199,99)))+1,999),FIND(":",MID(TRIM(MID(SUBSTITUTE(K157,";",REPT(" ",99)),199,99)),FIND(":",TRIM(MID(SUBSTITUTE(K157,";",REPT(" ",99)),199,99)))+1,999))-1),_Lookup!$A:$B,2,FALSE),"?")&amp;"×"&amp;LEFT(MID(MID(TRIM(MID(SUBSTITUTE(K157,";",REPT(" ",99)),199,99)),FIND(":",TRIM(MID(SUBSTITUTE(K157,";",REPT(" ",99)),199,99)))+1,999),FIND(":",MID(TRIM(MID(SUBSTITUTE(K157,";",REPT(" ",99)),199,99)),FIND(":",TRIM(MID(SUBSTITUTE(K157,";",REPT(" ",99)),199,99)))+1,999))+1,999),FIND(":",MID(MID(TRIM(MID(SUBSTITUTE(K157,";",REPT(" ",99)),199,99)),FIND(":",TRIM(MID(SUBSTITUTE(K157,";",REPT(" ",99)),199,99)))+1,999),FIND(":",MID(TRIM(MID(SUBSTITUTE(K157,";",REPT(" ",99)),199,99)),FIND(":",TRIM(MID(SUBSTITUTE(K157,";",REPT(" ",99)),199,99)))+1,999))+1,999))-1)),IF(TRIM(MID(SUBSTITUTE(K157,";",REPT(" ",99)),298,99))="","",IFERROR(VLOOKUP(--LEFT(MID(TRIM(MID(SUBSTITUTE(K157,";",REPT(" ",99)),298,99)),FIND(":",TRIM(MID(SUBSTITUTE(K157,";",REPT(" ",99)),298,99)))+1,999),FIND(":",MID(TRIM(MID(SUBSTITUTE(K157,";",REPT(" ",99)),298,99)),FIND(":",TRIM(MID(SUBSTITUTE(K157,";",REPT(" ",99)),298,99)))+1,999))-1),_Lookup!$A:$B,2,FALSE),"?")&amp;"×"&amp;LEFT(MID(MID(TRIM(MID(SUBSTITUTE(K157,";",REPT(" ",99)),298,99)),FIND(":",TRIM(MID(SUBSTITUTE(K157,";",REPT(" ",99)),298,99)))+1,999),FIND(":",MID(TRIM(MID(SUBSTITUTE(K157,";",REPT(" ",99)),298,99)),FIND(":",TRIM(MID(SUBSTITUTE(K157,";",REPT(" ",99)),298,99)))+1,999))+1,999),FIND(":",MID(MID(TRIM(MID(SUBSTITUTE(K157,";",REPT(" ",99)),298,99)),FIND(":",TRIM(MID(SUBSTITUTE(K157,";",REPT(" ",99)),298,99)))+1,999),FIND(":",MID(TRIM(MID(SUBSTITUTE(K157,";",REPT(" ",99)),298,99)),FIND(":",TRIM(MID(SUBSTITUTE(K157,";",REPT(" ",99)),298,99)))+1,999))+1,999))-1)),IF(TRIM(MID(SUBSTITUTE(K157,";",REPT(" ",99)),397,99))="","",IFERROR(VLOOKUP(--LEFT(MID(TRIM(MID(SUBSTITUTE(K157,";",REPT(" ",99)),397,99)),FIND(":",TRIM(MID(SUBSTITUTE(K157,";",REPT(" ",99)),397,99)))+1,999),FIND(":",MID(TRIM(MID(SUBSTITUTE(K157,";",REPT(" ",99)),397,99)),FIND(":",TRIM(MID(SUBSTITUTE(K157,";",REPT(" ",99)),397,99)))+1,999))-1),_Lookup!$A:$B,2,FALSE),"?")&amp;"×"&amp;LEFT(MID(MID(TRIM(MID(SUBSTITUTE(K157,";",REPT(" ",99)),397,99)),FIND(":",TRIM(MID(SUBSTITUTE(K157,";",REPT(" ",99)),397,99)))+1,999),FIND(":",MID(TRIM(MID(SUBSTITUTE(K157,";",REPT(" ",99)),397,99)),FIND(":",TRIM(MID(SUBSTITUTE(K157,";",REPT(" ",99)),397,99)))+1,999))+1,999),FIND(":",MID(MID(TRIM(MID(SUBSTITUTE(K157,";",REPT(" ",99)),397,99)),FIND(":",TRIM(MID(SUBSTITUTE(K157,";",REPT(" ",99)),397,99)))+1,999),FIND(":",MID(TRIM(MID(SUBSTITUTE(K157,";",REPT(" ",99)),397,99)),FIND(":",TRIM(MID(SUBSTITUTE(K157,";",REPT(" ",99)),397,99)))+1,999))+1,999))-1))))</f>
        <v/>
      </c>
    </row>
    <row r="158">
      <c r="D158" s="11">
        <f>IFERROR(VLOOKUP(C158,ItemData_Fish!$A:$B,2,FALSE),"")</f>
        <v/>
      </c>
      <c r="L158" s="11">
        <f>IF(K158="","",TEXTJOIN("; ",TRUE,IF(TRIM(MID(SUBSTITUTE(K158,";",REPT(" ",99)),1,99))="","",IFERROR(VLOOKUP(--LEFT(MID(TRIM(MID(SUBSTITUTE(K158,";",REPT(" ",99)),1,99)),FIND(":",TRIM(MID(SUBSTITUTE(K158,";",REPT(" ",99)),1,99)))+1,999),FIND(":",MID(TRIM(MID(SUBSTITUTE(K158,";",REPT(" ",99)),1,99)),FIND(":",TRIM(MID(SUBSTITUTE(K158,";",REPT(" ",99)),1,99)))+1,999))-1),_Lookup!$A:$B,2,FALSE),"?")&amp;"×"&amp;LEFT(MID(MID(TRIM(MID(SUBSTITUTE(K158,";",REPT(" ",99)),1,99)),FIND(":",TRIM(MID(SUBSTITUTE(K158,";",REPT(" ",99)),1,99)))+1,999),FIND(":",MID(TRIM(MID(SUBSTITUTE(K158,";",REPT(" ",99)),1,99)),FIND(":",TRIM(MID(SUBSTITUTE(K158,";",REPT(" ",99)),1,99)))+1,999))+1,999),FIND(":",MID(MID(TRIM(MID(SUBSTITUTE(K158,";",REPT(" ",99)),1,99)),FIND(":",TRIM(MID(SUBSTITUTE(K158,";",REPT(" ",99)),1,99)))+1,999),FIND(":",MID(TRIM(MID(SUBSTITUTE(K158,";",REPT(" ",99)),1,99)),FIND(":",TRIM(MID(SUBSTITUTE(K158,";",REPT(" ",99)),1,99)))+1,999))+1,999))-1)),IF(TRIM(MID(SUBSTITUTE(K158,";",REPT(" ",99)),100,99))="","",IFERROR(VLOOKUP(--LEFT(MID(TRIM(MID(SUBSTITUTE(K158,";",REPT(" ",99)),100,99)),FIND(":",TRIM(MID(SUBSTITUTE(K158,";",REPT(" ",99)),100,99)))+1,999),FIND(":",MID(TRIM(MID(SUBSTITUTE(K158,";",REPT(" ",99)),100,99)),FIND(":",TRIM(MID(SUBSTITUTE(K158,";",REPT(" ",99)),100,99)))+1,999))-1),_Lookup!$A:$B,2,FALSE),"?")&amp;"×"&amp;LEFT(MID(MID(TRIM(MID(SUBSTITUTE(K158,";",REPT(" ",99)),100,99)),FIND(":",TRIM(MID(SUBSTITUTE(K158,";",REPT(" ",99)),100,99)))+1,999),FIND(":",MID(TRIM(MID(SUBSTITUTE(K158,";",REPT(" ",99)),100,99)),FIND(":",TRIM(MID(SUBSTITUTE(K158,";",REPT(" ",99)),100,99)))+1,999))+1,999),FIND(":",MID(MID(TRIM(MID(SUBSTITUTE(K158,";",REPT(" ",99)),100,99)),FIND(":",TRIM(MID(SUBSTITUTE(K158,";",REPT(" ",99)),100,99)))+1,999),FIND(":",MID(TRIM(MID(SUBSTITUTE(K158,";",REPT(" ",99)),100,99)),FIND(":",TRIM(MID(SUBSTITUTE(K158,";",REPT(" ",99)),100,99)))+1,999))+1,999))-1)),IF(TRIM(MID(SUBSTITUTE(K158,";",REPT(" ",99)),199,99))="","",IFERROR(VLOOKUP(--LEFT(MID(TRIM(MID(SUBSTITUTE(K158,";",REPT(" ",99)),199,99)),FIND(":",TRIM(MID(SUBSTITUTE(K158,";",REPT(" ",99)),199,99)))+1,999),FIND(":",MID(TRIM(MID(SUBSTITUTE(K158,";",REPT(" ",99)),199,99)),FIND(":",TRIM(MID(SUBSTITUTE(K158,";",REPT(" ",99)),199,99)))+1,999))-1),_Lookup!$A:$B,2,FALSE),"?")&amp;"×"&amp;LEFT(MID(MID(TRIM(MID(SUBSTITUTE(K158,";",REPT(" ",99)),199,99)),FIND(":",TRIM(MID(SUBSTITUTE(K158,";",REPT(" ",99)),199,99)))+1,999),FIND(":",MID(TRIM(MID(SUBSTITUTE(K158,";",REPT(" ",99)),199,99)),FIND(":",TRIM(MID(SUBSTITUTE(K158,";",REPT(" ",99)),199,99)))+1,999))+1,999),FIND(":",MID(MID(TRIM(MID(SUBSTITUTE(K158,";",REPT(" ",99)),199,99)),FIND(":",TRIM(MID(SUBSTITUTE(K158,";",REPT(" ",99)),199,99)))+1,999),FIND(":",MID(TRIM(MID(SUBSTITUTE(K158,";",REPT(" ",99)),199,99)),FIND(":",TRIM(MID(SUBSTITUTE(K158,";",REPT(" ",99)),199,99)))+1,999))+1,999))-1)),IF(TRIM(MID(SUBSTITUTE(K158,";",REPT(" ",99)),298,99))="","",IFERROR(VLOOKUP(--LEFT(MID(TRIM(MID(SUBSTITUTE(K158,";",REPT(" ",99)),298,99)),FIND(":",TRIM(MID(SUBSTITUTE(K158,";",REPT(" ",99)),298,99)))+1,999),FIND(":",MID(TRIM(MID(SUBSTITUTE(K158,";",REPT(" ",99)),298,99)),FIND(":",TRIM(MID(SUBSTITUTE(K158,";",REPT(" ",99)),298,99)))+1,999))-1),_Lookup!$A:$B,2,FALSE),"?")&amp;"×"&amp;LEFT(MID(MID(TRIM(MID(SUBSTITUTE(K158,";",REPT(" ",99)),298,99)),FIND(":",TRIM(MID(SUBSTITUTE(K158,";",REPT(" ",99)),298,99)))+1,999),FIND(":",MID(TRIM(MID(SUBSTITUTE(K158,";",REPT(" ",99)),298,99)),FIND(":",TRIM(MID(SUBSTITUTE(K158,";",REPT(" ",99)),298,99)))+1,999))+1,999),FIND(":",MID(MID(TRIM(MID(SUBSTITUTE(K158,";",REPT(" ",99)),298,99)),FIND(":",TRIM(MID(SUBSTITUTE(K158,";",REPT(" ",99)),298,99)))+1,999),FIND(":",MID(TRIM(MID(SUBSTITUTE(K158,";",REPT(" ",99)),298,99)),FIND(":",TRIM(MID(SUBSTITUTE(K158,";",REPT(" ",99)),298,99)))+1,999))+1,999))-1)),IF(TRIM(MID(SUBSTITUTE(K158,";",REPT(" ",99)),397,99))="","",IFERROR(VLOOKUP(--LEFT(MID(TRIM(MID(SUBSTITUTE(K158,";",REPT(" ",99)),397,99)),FIND(":",TRIM(MID(SUBSTITUTE(K158,";",REPT(" ",99)),397,99)))+1,999),FIND(":",MID(TRIM(MID(SUBSTITUTE(K158,";",REPT(" ",99)),397,99)),FIND(":",TRIM(MID(SUBSTITUTE(K158,";",REPT(" ",99)),397,99)))+1,999))-1),_Lookup!$A:$B,2,FALSE),"?")&amp;"×"&amp;LEFT(MID(MID(TRIM(MID(SUBSTITUTE(K158,";",REPT(" ",99)),397,99)),FIND(":",TRIM(MID(SUBSTITUTE(K158,";",REPT(" ",99)),397,99)))+1,999),FIND(":",MID(TRIM(MID(SUBSTITUTE(K158,";",REPT(" ",99)),397,99)),FIND(":",TRIM(MID(SUBSTITUTE(K158,";",REPT(" ",99)),397,99)))+1,999))+1,999),FIND(":",MID(MID(TRIM(MID(SUBSTITUTE(K158,";",REPT(" ",99)),397,99)),FIND(":",TRIM(MID(SUBSTITUTE(K158,";",REPT(" ",99)),397,99)))+1,999),FIND(":",MID(TRIM(MID(SUBSTITUTE(K158,";",REPT(" ",99)),397,99)),FIND(":",TRIM(MID(SUBSTITUTE(K158,";",REPT(" ",99)),397,99)))+1,999))+1,999))-1))))</f>
        <v/>
      </c>
    </row>
    <row r="159">
      <c r="D159" s="11">
        <f>IFERROR(VLOOKUP(C159,ItemData_Fish!$A:$B,2,FALSE),"")</f>
        <v/>
      </c>
      <c r="L159" s="11">
        <f>IF(K159="","",TEXTJOIN("; ",TRUE,IF(TRIM(MID(SUBSTITUTE(K159,";",REPT(" ",99)),1,99))="","",IFERROR(VLOOKUP(--LEFT(MID(TRIM(MID(SUBSTITUTE(K159,";",REPT(" ",99)),1,99)),FIND(":",TRIM(MID(SUBSTITUTE(K159,";",REPT(" ",99)),1,99)))+1,999),FIND(":",MID(TRIM(MID(SUBSTITUTE(K159,";",REPT(" ",99)),1,99)),FIND(":",TRIM(MID(SUBSTITUTE(K159,";",REPT(" ",99)),1,99)))+1,999))-1),_Lookup!$A:$B,2,FALSE),"?")&amp;"×"&amp;LEFT(MID(MID(TRIM(MID(SUBSTITUTE(K159,";",REPT(" ",99)),1,99)),FIND(":",TRIM(MID(SUBSTITUTE(K159,";",REPT(" ",99)),1,99)))+1,999),FIND(":",MID(TRIM(MID(SUBSTITUTE(K159,";",REPT(" ",99)),1,99)),FIND(":",TRIM(MID(SUBSTITUTE(K159,";",REPT(" ",99)),1,99)))+1,999))+1,999),FIND(":",MID(MID(TRIM(MID(SUBSTITUTE(K159,";",REPT(" ",99)),1,99)),FIND(":",TRIM(MID(SUBSTITUTE(K159,";",REPT(" ",99)),1,99)))+1,999),FIND(":",MID(TRIM(MID(SUBSTITUTE(K159,";",REPT(" ",99)),1,99)),FIND(":",TRIM(MID(SUBSTITUTE(K159,";",REPT(" ",99)),1,99)))+1,999))+1,999))-1)),IF(TRIM(MID(SUBSTITUTE(K159,";",REPT(" ",99)),100,99))="","",IFERROR(VLOOKUP(--LEFT(MID(TRIM(MID(SUBSTITUTE(K159,";",REPT(" ",99)),100,99)),FIND(":",TRIM(MID(SUBSTITUTE(K159,";",REPT(" ",99)),100,99)))+1,999),FIND(":",MID(TRIM(MID(SUBSTITUTE(K159,";",REPT(" ",99)),100,99)),FIND(":",TRIM(MID(SUBSTITUTE(K159,";",REPT(" ",99)),100,99)))+1,999))-1),_Lookup!$A:$B,2,FALSE),"?")&amp;"×"&amp;LEFT(MID(MID(TRIM(MID(SUBSTITUTE(K159,";",REPT(" ",99)),100,99)),FIND(":",TRIM(MID(SUBSTITUTE(K159,";",REPT(" ",99)),100,99)))+1,999),FIND(":",MID(TRIM(MID(SUBSTITUTE(K159,";",REPT(" ",99)),100,99)),FIND(":",TRIM(MID(SUBSTITUTE(K159,";",REPT(" ",99)),100,99)))+1,999))+1,999),FIND(":",MID(MID(TRIM(MID(SUBSTITUTE(K159,";",REPT(" ",99)),100,99)),FIND(":",TRIM(MID(SUBSTITUTE(K159,";",REPT(" ",99)),100,99)))+1,999),FIND(":",MID(TRIM(MID(SUBSTITUTE(K159,";",REPT(" ",99)),100,99)),FIND(":",TRIM(MID(SUBSTITUTE(K159,";",REPT(" ",99)),100,99)))+1,999))+1,999))-1)),IF(TRIM(MID(SUBSTITUTE(K159,";",REPT(" ",99)),199,99))="","",IFERROR(VLOOKUP(--LEFT(MID(TRIM(MID(SUBSTITUTE(K159,";",REPT(" ",99)),199,99)),FIND(":",TRIM(MID(SUBSTITUTE(K159,";",REPT(" ",99)),199,99)))+1,999),FIND(":",MID(TRIM(MID(SUBSTITUTE(K159,";",REPT(" ",99)),199,99)),FIND(":",TRIM(MID(SUBSTITUTE(K159,";",REPT(" ",99)),199,99)))+1,999))-1),_Lookup!$A:$B,2,FALSE),"?")&amp;"×"&amp;LEFT(MID(MID(TRIM(MID(SUBSTITUTE(K159,";",REPT(" ",99)),199,99)),FIND(":",TRIM(MID(SUBSTITUTE(K159,";",REPT(" ",99)),199,99)))+1,999),FIND(":",MID(TRIM(MID(SUBSTITUTE(K159,";",REPT(" ",99)),199,99)),FIND(":",TRIM(MID(SUBSTITUTE(K159,";",REPT(" ",99)),199,99)))+1,999))+1,999),FIND(":",MID(MID(TRIM(MID(SUBSTITUTE(K159,";",REPT(" ",99)),199,99)),FIND(":",TRIM(MID(SUBSTITUTE(K159,";",REPT(" ",99)),199,99)))+1,999),FIND(":",MID(TRIM(MID(SUBSTITUTE(K159,";",REPT(" ",99)),199,99)),FIND(":",TRIM(MID(SUBSTITUTE(K159,";",REPT(" ",99)),199,99)))+1,999))+1,999))-1)),IF(TRIM(MID(SUBSTITUTE(K159,";",REPT(" ",99)),298,99))="","",IFERROR(VLOOKUP(--LEFT(MID(TRIM(MID(SUBSTITUTE(K159,";",REPT(" ",99)),298,99)),FIND(":",TRIM(MID(SUBSTITUTE(K159,";",REPT(" ",99)),298,99)))+1,999),FIND(":",MID(TRIM(MID(SUBSTITUTE(K159,";",REPT(" ",99)),298,99)),FIND(":",TRIM(MID(SUBSTITUTE(K159,";",REPT(" ",99)),298,99)))+1,999))-1),_Lookup!$A:$B,2,FALSE),"?")&amp;"×"&amp;LEFT(MID(MID(TRIM(MID(SUBSTITUTE(K159,";",REPT(" ",99)),298,99)),FIND(":",TRIM(MID(SUBSTITUTE(K159,";",REPT(" ",99)),298,99)))+1,999),FIND(":",MID(TRIM(MID(SUBSTITUTE(K159,";",REPT(" ",99)),298,99)),FIND(":",TRIM(MID(SUBSTITUTE(K159,";",REPT(" ",99)),298,99)))+1,999))+1,999),FIND(":",MID(MID(TRIM(MID(SUBSTITUTE(K159,";",REPT(" ",99)),298,99)),FIND(":",TRIM(MID(SUBSTITUTE(K159,";",REPT(" ",99)),298,99)))+1,999),FIND(":",MID(TRIM(MID(SUBSTITUTE(K159,";",REPT(" ",99)),298,99)),FIND(":",TRIM(MID(SUBSTITUTE(K159,";",REPT(" ",99)),298,99)))+1,999))+1,999))-1)),IF(TRIM(MID(SUBSTITUTE(K159,";",REPT(" ",99)),397,99))="","",IFERROR(VLOOKUP(--LEFT(MID(TRIM(MID(SUBSTITUTE(K159,";",REPT(" ",99)),397,99)),FIND(":",TRIM(MID(SUBSTITUTE(K159,";",REPT(" ",99)),397,99)))+1,999),FIND(":",MID(TRIM(MID(SUBSTITUTE(K159,";",REPT(" ",99)),397,99)),FIND(":",TRIM(MID(SUBSTITUTE(K159,";",REPT(" ",99)),397,99)))+1,999))-1),_Lookup!$A:$B,2,FALSE),"?")&amp;"×"&amp;LEFT(MID(MID(TRIM(MID(SUBSTITUTE(K159,";",REPT(" ",99)),397,99)),FIND(":",TRIM(MID(SUBSTITUTE(K159,";",REPT(" ",99)),397,99)))+1,999),FIND(":",MID(TRIM(MID(SUBSTITUTE(K159,";",REPT(" ",99)),397,99)),FIND(":",TRIM(MID(SUBSTITUTE(K159,";",REPT(" ",99)),397,99)))+1,999))+1,999),FIND(":",MID(MID(TRIM(MID(SUBSTITUTE(K159,";",REPT(" ",99)),397,99)),FIND(":",TRIM(MID(SUBSTITUTE(K159,";",REPT(" ",99)),397,99)))+1,999),FIND(":",MID(TRIM(MID(SUBSTITUTE(K159,";",REPT(" ",99)),397,99)),FIND(":",TRIM(MID(SUBSTITUTE(K159,";",REPT(" ",99)),397,99)))+1,999))+1,999))-1))))</f>
        <v/>
      </c>
    </row>
    <row r="160">
      <c r="D160" s="11">
        <f>IFERROR(VLOOKUP(C160,ItemData_Fish!$A:$B,2,FALSE),"")</f>
        <v/>
      </c>
      <c r="L160" s="11">
        <f>IF(K160="","",TEXTJOIN("; ",TRUE,IF(TRIM(MID(SUBSTITUTE(K160,";",REPT(" ",99)),1,99))="","",IFERROR(VLOOKUP(--LEFT(MID(TRIM(MID(SUBSTITUTE(K160,";",REPT(" ",99)),1,99)),FIND(":",TRIM(MID(SUBSTITUTE(K160,";",REPT(" ",99)),1,99)))+1,999),FIND(":",MID(TRIM(MID(SUBSTITUTE(K160,";",REPT(" ",99)),1,99)),FIND(":",TRIM(MID(SUBSTITUTE(K160,";",REPT(" ",99)),1,99)))+1,999))-1),_Lookup!$A:$B,2,FALSE),"?")&amp;"×"&amp;LEFT(MID(MID(TRIM(MID(SUBSTITUTE(K160,";",REPT(" ",99)),1,99)),FIND(":",TRIM(MID(SUBSTITUTE(K160,";",REPT(" ",99)),1,99)))+1,999),FIND(":",MID(TRIM(MID(SUBSTITUTE(K160,";",REPT(" ",99)),1,99)),FIND(":",TRIM(MID(SUBSTITUTE(K160,";",REPT(" ",99)),1,99)))+1,999))+1,999),FIND(":",MID(MID(TRIM(MID(SUBSTITUTE(K160,";",REPT(" ",99)),1,99)),FIND(":",TRIM(MID(SUBSTITUTE(K160,";",REPT(" ",99)),1,99)))+1,999),FIND(":",MID(TRIM(MID(SUBSTITUTE(K160,";",REPT(" ",99)),1,99)),FIND(":",TRIM(MID(SUBSTITUTE(K160,";",REPT(" ",99)),1,99)))+1,999))+1,999))-1)),IF(TRIM(MID(SUBSTITUTE(K160,";",REPT(" ",99)),100,99))="","",IFERROR(VLOOKUP(--LEFT(MID(TRIM(MID(SUBSTITUTE(K160,";",REPT(" ",99)),100,99)),FIND(":",TRIM(MID(SUBSTITUTE(K160,";",REPT(" ",99)),100,99)))+1,999),FIND(":",MID(TRIM(MID(SUBSTITUTE(K160,";",REPT(" ",99)),100,99)),FIND(":",TRIM(MID(SUBSTITUTE(K160,";",REPT(" ",99)),100,99)))+1,999))-1),_Lookup!$A:$B,2,FALSE),"?")&amp;"×"&amp;LEFT(MID(MID(TRIM(MID(SUBSTITUTE(K160,";",REPT(" ",99)),100,99)),FIND(":",TRIM(MID(SUBSTITUTE(K160,";",REPT(" ",99)),100,99)))+1,999),FIND(":",MID(TRIM(MID(SUBSTITUTE(K160,";",REPT(" ",99)),100,99)),FIND(":",TRIM(MID(SUBSTITUTE(K160,";",REPT(" ",99)),100,99)))+1,999))+1,999),FIND(":",MID(MID(TRIM(MID(SUBSTITUTE(K160,";",REPT(" ",99)),100,99)),FIND(":",TRIM(MID(SUBSTITUTE(K160,";",REPT(" ",99)),100,99)))+1,999),FIND(":",MID(TRIM(MID(SUBSTITUTE(K160,";",REPT(" ",99)),100,99)),FIND(":",TRIM(MID(SUBSTITUTE(K160,";",REPT(" ",99)),100,99)))+1,999))+1,999))-1)),IF(TRIM(MID(SUBSTITUTE(K160,";",REPT(" ",99)),199,99))="","",IFERROR(VLOOKUP(--LEFT(MID(TRIM(MID(SUBSTITUTE(K160,";",REPT(" ",99)),199,99)),FIND(":",TRIM(MID(SUBSTITUTE(K160,";",REPT(" ",99)),199,99)))+1,999),FIND(":",MID(TRIM(MID(SUBSTITUTE(K160,";",REPT(" ",99)),199,99)),FIND(":",TRIM(MID(SUBSTITUTE(K160,";",REPT(" ",99)),199,99)))+1,999))-1),_Lookup!$A:$B,2,FALSE),"?")&amp;"×"&amp;LEFT(MID(MID(TRIM(MID(SUBSTITUTE(K160,";",REPT(" ",99)),199,99)),FIND(":",TRIM(MID(SUBSTITUTE(K160,";",REPT(" ",99)),199,99)))+1,999),FIND(":",MID(TRIM(MID(SUBSTITUTE(K160,";",REPT(" ",99)),199,99)),FIND(":",TRIM(MID(SUBSTITUTE(K160,";",REPT(" ",99)),199,99)))+1,999))+1,999),FIND(":",MID(MID(TRIM(MID(SUBSTITUTE(K160,";",REPT(" ",99)),199,99)),FIND(":",TRIM(MID(SUBSTITUTE(K160,";",REPT(" ",99)),199,99)))+1,999),FIND(":",MID(TRIM(MID(SUBSTITUTE(K160,";",REPT(" ",99)),199,99)),FIND(":",TRIM(MID(SUBSTITUTE(K160,";",REPT(" ",99)),199,99)))+1,999))+1,999))-1)),IF(TRIM(MID(SUBSTITUTE(K160,";",REPT(" ",99)),298,99))="","",IFERROR(VLOOKUP(--LEFT(MID(TRIM(MID(SUBSTITUTE(K160,";",REPT(" ",99)),298,99)),FIND(":",TRIM(MID(SUBSTITUTE(K160,";",REPT(" ",99)),298,99)))+1,999),FIND(":",MID(TRIM(MID(SUBSTITUTE(K160,";",REPT(" ",99)),298,99)),FIND(":",TRIM(MID(SUBSTITUTE(K160,";",REPT(" ",99)),298,99)))+1,999))-1),_Lookup!$A:$B,2,FALSE),"?")&amp;"×"&amp;LEFT(MID(MID(TRIM(MID(SUBSTITUTE(K160,";",REPT(" ",99)),298,99)),FIND(":",TRIM(MID(SUBSTITUTE(K160,";",REPT(" ",99)),298,99)))+1,999),FIND(":",MID(TRIM(MID(SUBSTITUTE(K160,";",REPT(" ",99)),298,99)),FIND(":",TRIM(MID(SUBSTITUTE(K160,";",REPT(" ",99)),298,99)))+1,999))+1,999),FIND(":",MID(MID(TRIM(MID(SUBSTITUTE(K160,";",REPT(" ",99)),298,99)),FIND(":",TRIM(MID(SUBSTITUTE(K160,";",REPT(" ",99)),298,99)))+1,999),FIND(":",MID(TRIM(MID(SUBSTITUTE(K160,";",REPT(" ",99)),298,99)),FIND(":",TRIM(MID(SUBSTITUTE(K160,";",REPT(" ",99)),298,99)))+1,999))+1,999))-1)),IF(TRIM(MID(SUBSTITUTE(K160,";",REPT(" ",99)),397,99))="","",IFERROR(VLOOKUP(--LEFT(MID(TRIM(MID(SUBSTITUTE(K160,";",REPT(" ",99)),397,99)),FIND(":",TRIM(MID(SUBSTITUTE(K160,";",REPT(" ",99)),397,99)))+1,999),FIND(":",MID(TRIM(MID(SUBSTITUTE(K160,";",REPT(" ",99)),397,99)),FIND(":",TRIM(MID(SUBSTITUTE(K160,";",REPT(" ",99)),397,99)))+1,999))-1),_Lookup!$A:$B,2,FALSE),"?")&amp;"×"&amp;LEFT(MID(MID(TRIM(MID(SUBSTITUTE(K160,";",REPT(" ",99)),397,99)),FIND(":",TRIM(MID(SUBSTITUTE(K160,";",REPT(" ",99)),397,99)))+1,999),FIND(":",MID(TRIM(MID(SUBSTITUTE(K160,";",REPT(" ",99)),397,99)),FIND(":",TRIM(MID(SUBSTITUTE(K160,";",REPT(" ",99)),397,99)))+1,999))+1,999),FIND(":",MID(MID(TRIM(MID(SUBSTITUTE(K160,";",REPT(" ",99)),397,99)),FIND(":",TRIM(MID(SUBSTITUTE(K160,";",REPT(" ",99)),397,99)))+1,999),FIND(":",MID(TRIM(MID(SUBSTITUTE(K160,";",REPT(" ",99)),397,99)),FIND(":",TRIM(MID(SUBSTITUTE(K160,";",REPT(" ",99)),397,99)))+1,999))+1,999))-1))))</f>
        <v/>
      </c>
    </row>
    <row r="161">
      <c r="D161" s="11">
        <f>IFERROR(VLOOKUP(C161,ItemData_Fish!$A:$B,2,FALSE),"")</f>
        <v/>
      </c>
      <c r="L161" s="11">
        <f>IF(K161="","",TEXTJOIN("; ",TRUE,IF(TRIM(MID(SUBSTITUTE(K161,";",REPT(" ",99)),1,99))="","",IFERROR(VLOOKUP(--LEFT(MID(TRIM(MID(SUBSTITUTE(K161,";",REPT(" ",99)),1,99)),FIND(":",TRIM(MID(SUBSTITUTE(K161,";",REPT(" ",99)),1,99)))+1,999),FIND(":",MID(TRIM(MID(SUBSTITUTE(K161,";",REPT(" ",99)),1,99)),FIND(":",TRIM(MID(SUBSTITUTE(K161,";",REPT(" ",99)),1,99)))+1,999))-1),_Lookup!$A:$B,2,FALSE),"?")&amp;"×"&amp;LEFT(MID(MID(TRIM(MID(SUBSTITUTE(K161,";",REPT(" ",99)),1,99)),FIND(":",TRIM(MID(SUBSTITUTE(K161,";",REPT(" ",99)),1,99)))+1,999),FIND(":",MID(TRIM(MID(SUBSTITUTE(K161,";",REPT(" ",99)),1,99)),FIND(":",TRIM(MID(SUBSTITUTE(K161,";",REPT(" ",99)),1,99)))+1,999))+1,999),FIND(":",MID(MID(TRIM(MID(SUBSTITUTE(K161,";",REPT(" ",99)),1,99)),FIND(":",TRIM(MID(SUBSTITUTE(K161,";",REPT(" ",99)),1,99)))+1,999),FIND(":",MID(TRIM(MID(SUBSTITUTE(K161,";",REPT(" ",99)),1,99)),FIND(":",TRIM(MID(SUBSTITUTE(K161,";",REPT(" ",99)),1,99)))+1,999))+1,999))-1)),IF(TRIM(MID(SUBSTITUTE(K161,";",REPT(" ",99)),100,99))="","",IFERROR(VLOOKUP(--LEFT(MID(TRIM(MID(SUBSTITUTE(K161,";",REPT(" ",99)),100,99)),FIND(":",TRIM(MID(SUBSTITUTE(K161,";",REPT(" ",99)),100,99)))+1,999),FIND(":",MID(TRIM(MID(SUBSTITUTE(K161,";",REPT(" ",99)),100,99)),FIND(":",TRIM(MID(SUBSTITUTE(K161,";",REPT(" ",99)),100,99)))+1,999))-1),_Lookup!$A:$B,2,FALSE),"?")&amp;"×"&amp;LEFT(MID(MID(TRIM(MID(SUBSTITUTE(K161,";",REPT(" ",99)),100,99)),FIND(":",TRIM(MID(SUBSTITUTE(K161,";",REPT(" ",99)),100,99)))+1,999),FIND(":",MID(TRIM(MID(SUBSTITUTE(K161,";",REPT(" ",99)),100,99)),FIND(":",TRIM(MID(SUBSTITUTE(K161,";",REPT(" ",99)),100,99)))+1,999))+1,999),FIND(":",MID(MID(TRIM(MID(SUBSTITUTE(K161,";",REPT(" ",99)),100,99)),FIND(":",TRIM(MID(SUBSTITUTE(K161,";",REPT(" ",99)),100,99)))+1,999),FIND(":",MID(TRIM(MID(SUBSTITUTE(K161,";",REPT(" ",99)),100,99)),FIND(":",TRIM(MID(SUBSTITUTE(K161,";",REPT(" ",99)),100,99)))+1,999))+1,999))-1)),IF(TRIM(MID(SUBSTITUTE(K161,";",REPT(" ",99)),199,99))="","",IFERROR(VLOOKUP(--LEFT(MID(TRIM(MID(SUBSTITUTE(K161,";",REPT(" ",99)),199,99)),FIND(":",TRIM(MID(SUBSTITUTE(K161,";",REPT(" ",99)),199,99)))+1,999),FIND(":",MID(TRIM(MID(SUBSTITUTE(K161,";",REPT(" ",99)),199,99)),FIND(":",TRIM(MID(SUBSTITUTE(K161,";",REPT(" ",99)),199,99)))+1,999))-1),_Lookup!$A:$B,2,FALSE),"?")&amp;"×"&amp;LEFT(MID(MID(TRIM(MID(SUBSTITUTE(K161,";",REPT(" ",99)),199,99)),FIND(":",TRIM(MID(SUBSTITUTE(K161,";",REPT(" ",99)),199,99)))+1,999),FIND(":",MID(TRIM(MID(SUBSTITUTE(K161,";",REPT(" ",99)),199,99)),FIND(":",TRIM(MID(SUBSTITUTE(K161,";",REPT(" ",99)),199,99)))+1,999))+1,999),FIND(":",MID(MID(TRIM(MID(SUBSTITUTE(K161,";",REPT(" ",99)),199,99)),FIND(":",TRIM(MID(SUBSTITUTE(K161,";",REPT(" ",99)),199,99)))+1,999),FIND(":",MID(TRIM(MID(SUBSTITUTE(K161,";",REPT(" ",99)),199,99)),FIND(":",TRIM(MID(SUBSTITUTE(K161,";",REPT(" ",99)),199,99)))+1,999))+1,999))-1)),IF(TRIM(MID(SUBSTITUTE(K161,";",REPT(" ",99)),298,99))="","",IFERROR(VLOOKUP(--LEFT(MID(TRIM(MID(SUBSTITUTE(K161,";",REPT(" ",99)),298,99)),FIND(":",TRIM(MID(SUBSTITUTE(K161,";",REPT(" ",99)),298,99)))+1,999),FIND(":",MID(TRIM(MID(SUBSTITUTE(K161,";",REPT(" ",99)),298,99)),FIND(":",TRIM(MID(SUBSTITUTE(K161,";",REPT(" ",99)),298,99)))+1,999))-1),_Lookup!$A:$B,2,FALSE),"?")&amp;"×"&amp;LEFT(MID(MID(TRIM(MID(SUBSTITUTE(K161,";",REPT(" ",99)),298,99)),FIND(":",TRIM(MID(SUBSTITUTE(K161,";",REPT(" ",99)),298,99)))+1,999),FIND(":",MID(TRIM(MID(SUBSTITUTE(K161,";",REPT(" ",99)),298,99)),FIND(":",TRIM(MID(SUBSTITUTE(K161,";",REPT(" ",99)),298,99)))+1,999))+1,999),FIND(":",MID(MID(TRIM(MID(SUBSTITUTE(K161,";",REPT(" ",99)),298,99)),FIND(":",TRIM(MID(SUBSTITUTE(K161,";",REPT(" ",99)),298,99)))+1,999),FIND(":",MID(TRIM(MID(SUBSTITUTE(K161,";",REPT(" ",99)),298,99)),FIND(":",TRIM(MID(SUBSTITUTE(K161,";",REPT(" ",99)),298,99)))+1,999))+1,999))-1)),IF(TRIM(MID(SUBSTITUTE(K161,";",REPT(" ",99)),397,99))="","",IFERROR(VLOOKUP(--LEFT(MID(TRIM(MID(SUBSTITUTE(K161,";",REPT(" ",99)),397,99)),FIND(":",TRIM(MID(SUBSTITUTE(K161,";",REPT(" ",99)),397,99)))+1,999),FIND(":",MID(TRIM(MID(SUBSTITUTE(K161,";",REPT(" ",99)),397,99)),FIND(":",TRIM(MID(SUBSTITUTE(K161,";",REPT(" ",99)),397,99)))+1,999))-1),_Lookup!$A:$B,2,FALSE),"?")&amp;"×"&amp;LEFT(MID(MID(TRIM(MID(SUBSTITUTE(K161,";",REPT(" ",99)),397,99)),FIND(":",TRIM(MID(SUBSTITUTE(K161,";",REPT(" ",99)),397,99)))+1,999),FIND(":",MID(TRIM(MID(SUBSTITUTE(K161,";",REPT(" ",99)),397,99)),FIND(":",TRIM(MID(SUBSTITUTE(K161,";",REPT(" ",99)),397,99)))+1,999))+1,999),FIND(":",MID(MID(TRIM(MID(SUBSTITUTE(K161,";",REPT(" ",99)),397,99)),FIND(":",TRIM(MID(SUBSTITUTE(K161,";",REPT(" ",99)),397,99)))+1,999),FIND(":",MID(TRIM(MID(SUBSTITUTE(K161,";",REPT(" ",99)),397,99)),FIND(":",TRIM(MID(SUBSTITUTE(K161,";",REPT(" ",99)),397,99)))+1,999))+1,999))-1))))</f>
        <v/>
      </c>
    </row>
    <row r="162">
      <c r="D162" s="11">
        <f>IFERROR(VLOOKUP(C162,ItemData_Fish!$A:$B,2,FALSE),"")</f>
        <v/>
      </c>
      <c r="L162" s="11">
        <f>IF(K162="","",TEXTJOIN("; ",TRUE,IF(TRIM(MID(SUBSTITUTE(K162,";",REPT(" ",99)),1,99))="","",IFERROR(VLOOKUP(--LEFT(MID(TRIM(MID(SUBSTITUTE(K162,";",REPT(" ",99)),1,99)),FIND(":",TRIM(MID(SUBSTITUTE(K162,";",REPT(" ",99)),1,99)))+1,999),FIND(":",MID(TRIM(MID(SUBSTITUTE(K162,";",REPT(" ",99)),1,99)),FIND(":",TRIM(MID(SUBSTITUTE(K162,";",REPT(" ",99)),1,99)))+1,999))-1),_Lookup!$A:$B,2,FALSE),"?")&amp;"×"&amp;LEFT(MID(MID(TRIM(MID(SUBSTITUTE(K162,";",REPT(" ",99)),1,99)),FIND(":",TRIM(MID(SUBSTITUTE(K162,";",REPT(" ",99)),1,99)))+1,999),FIND(":",MID(TRIM(MID(SUBSTITUTE(K162,";",REPT(" ",99)),1,99)),FIND(":",TRIM(MID(SUBSTITUTE(K162,";",REPT(" ",99)),1,99)))+1,999))+1,999),FIND(":",MID(MID(TRIM(MID(SUBSTITUTE(K162,";",REPT(" ",99)),1,99)),FIND(":",TRIM(MID(SUBSTITUTE(K162,";",REPT(" ",99)),1,99)))+1,999),FIND(":",MID(TRIM(MID(SUBSTITUTE(K162,";",REPT(" ",99)),1,99)),FIND(":",TRIM(MID(SUBSTITUTE(K162,";",REPT(" ",99)),1,99)))+1,999))+1,999))-1)),IF(TRIM(MID(SUBSTITUTE(K162,";",REPT(" ",99)),100,99))="","",IFERROR(VLOOKUP(--LEFT(MID(TRIM(MID(SUBSTITUTE(K162,";",REPT(" ",99)),100,99)),FIND(":",TRIM(MID(SUBSTITUTE(K162,";",REPT(" ",99)),100,99)))+1,999),FIND(":",MID(TRIM(MID(SUBSTITUTE(K162,";",REPT(" ",99)),100,99)),FIND(":",TRIM(MID(SUBSTITUTE(K162,";",REPT(" ",99)),100,99)))+1,999))-1),_Lookup!$A:$B,2,FALSE),"?")&amp;"×"&amp;LEFT(MID(MID(TRIM(MID(SUBSTITUTE(K162,";",REPT(" ",99)),100,99)),FIND(":",TRIM(MID(SUBSTITUTE(K162,";",REPT(" ",99)),100,99)))+1,999),FIND(":",MID(TRIM(MID(SUBSTITUTE(K162,";",REPT(" ",99)),100,99)),FIND(":",TRIM(MID(SUBSTITUTE(K162,";",REPT(" ",99)),100,99)))+1,999))+1,999),FIND(":",MID(MID(TRIM(MID(SUBSTITUTE(K162,";",REPT(" ",99)),100,99)),FIND(":",TRIM(MID(SUBSTITUTE(K162,";",REPT(" ",99)),100,99)))+1,999),FIND(":",MID(TRIM(MID(SUBSTITUTE(K162,";",REPT(" ",99)),100,99)),FIND(":",TRIM(MID(SUBSTITUTE(K162,";",REPT(" ",99)),100,99)))+1,999))+1,999))-1)),IF(TRIM(MID(SUBSTITUTE(K162,";",REPT(" ",99)),199,99))="","",IFERROR(VLOOKUP(--LEFT(MID(TRIM(MID(SUBSTITUTE(K162,";",REPT(" ",99)),199,99)),FIND(":",TRIM(MID(SUBSTITUTE(K162,";",REPT(" ",99)),199,99)))+1,999),FIND(":",MID(TRIM(MID(SUBSTITUTE(K162,";",REPT(" ",99)),199,99)),FIND(":",TRIM(MID(SUBSTITUTE(K162,";",REPT(" ",99)),199,99)))+1,999))-1),_Lookup!$A:$B,2,FALSE),"?")&amp;"×"&amp;LEFT(MID(MID(TRIM(MID(SUBSTITUTE(K162,";",REPT(" ",99)),199,99)),FIND(":",TRIM(MID(SUBSTITUTE(K162,";",REPT(" ",99)),199,99)))+1,999),FIND(":",MID(TRIM(MID(SUBSTITUTE(K162,";",REPT(" ",99)),199,99)),FIND(":",TRIM(MID(SUBSTITUTE(K162,";",REPT(" ",99)),199,99)))+1,999))+1,999),FIND(":",MID(MID(TRIM(MID(SUBSTITUTE(K162,";",REPT(" ",99)),199,99)),FIND(":",TRIM(MID(SUBSTITUTE(K162,";",REPT(" ",99)),199,99)))+1,999),FIND(":",MID(TRIM(MID(SUBSTITUTE(K162,";",REPT(" ",99)),199,99)),FIND(":",TRIM(MID(SUBSTITUTE(K162,";",REPT(" ",99)),199,99)))+1,999))+1,999))-1)),IF(TRIM(MID(SUBSTITUTE(K162,";",REPT(" ",99)),298,99))="","",IFERROR(VLOOKUP(--LEFT(MID(TRIM(MID(SUBSTITUTE(K162,";",REPT(" ",99)),298,99)),FIND(":",TRIM(MID(SUBSTITUTE(K162,";",REPT(" ",99)),298,99)))+1,999),FIND(":",MID(TRIM(MID(SUBSTITUTE(K162,";",REPT(" ",99)),298,99)),FIND(":",TRIM(MID(SUBSTITUTE(K162,";",REPT(" ",99)),298,99)))+1,999))-1),_Lookup!$A:$B,2,FALSE),"?")&amp;"×"&amp;LEFT(MID(MID(TRIM(MID(SUBSTITUTE(K162,";",REPT(" ",99)),298,99)),FIND(":",TRIM(MID(SUBSTITUTE(K162,";",REPT(" ",99)),298,99)))+1,999),FIND(":",MID(TRIM(MID(SUBSTITUTE(K162,";",REPT(" ",99)),298,99)),FIND(":",TRIM(MID(SUBSTITUTE(K162,";",REPT(" ",99)),298,99)))+1,999))+1,999),FIND(":",MID(MID(TRIM(MID(SUBSTITUTE(K162,";",REPT(" ",99)),298,99)),FIND(":",TRIM(MID(SUBSTITUTE(K162,";",REPT(" ",99)),298,99)))+1,999),FIND(":",MID(TRIM(MID(SUBSTITUTE(K162,";",REPT(" ",99)),298,99)),FIND(":",TRIM(MID(SUBSTITUTE(K162,";",REPT(" ",99)),298,99)))+1,999))+1,999))-1)),IF(TRIM(MID(SUBSTITUTE(K162,";",REPT(" ",99)),397,99))="","",IFERROR(VLOOKUP(--LEFT(MID(TRIM(MID(SUBSTITUTE(K162,";",REPT(" ",99)),397,99)),FIND(":",TRIM(MID(SUBSTITUTE(K162,";",REPT(" ",99)),397,99)))+1,999),FIND(":",MID(TRIM(MID(SUBSTITUTE(K162,";",REPT(" ",99)),397,99)),FIND(":",TRIM(MID(SUBSTITUTE(K162,";",REPT(" ",99)),397,99)))+1,999))-1),_Lookup!$A:$B,2,FALSE),"?")&amp;"×"&amp;LEFT(MID(MID(TRIM(MID(SUBSTITUTE(K162,";",REPT(" ",99)),397,99)),FIND(":",TRIM(MID(SUBSTITUTE(K162,";",REPT(" ",99)),397,99)))+1,999),FIND(":",MID(TRIM(MID(SUBSTITUTE(K162,";",REPT(" ",99)),397,99)),FIND(":",TRIM(MID(SUBSTITUTE(K162,";",REPT(" ",99)),397,99)))+1,999))+1,999),FIND(":",MID(MID(TRIM(MID(SUBSTITUTE(K162,";",REPT(" ",99)),397,99)),FIND(":",TRIM(MID(SUBSTITUTE(K162,";",REPT(" ",99)),397,99)))+1,999),FIND(":",MID(TRIM(MID(SUBSTITUTE(K162,";",REPT(" ",99)),397,99)),FIND(":",TRIM(MID(SUBSTITUTE(K162,";",REPT(" ",99)),397,99)))+1,999))+1,999))-1))))</f>
        <v/>
      </c>
    </row>
    <row r="163">
      <c r="D163" s="11">
        <f>IFERROR(VLOOKUP(C163,ItemData_Fish!$A:$B,2,FALSE),"")</f>
        <v/>
      </c>
      <c r="L163" s="11">
        <f>IF(K163="","",TEXTJOIN("; ",TRUE,IF(TRIM(MID(SUBSTITUTE(K163,";",REPT(" ",99)),1,99))="","",IFERROR(VLOOKUP(--LEFT(MID(TRIM(MID(SUBSTITUTE(K163,";",REPT(" ",99)),1,99)),FIND(":",TRIM(MID(SUBSTITUTE(K163,";",REPT(" ",99)),1,99)))+1,999),FIND(":",MID(TRIM(MID(SUBSTITUTE(K163,";",REPT(" ",99)),1,99)),FIND(":",TRIM(MID(SUBSTITUTE(K163,";",REPT(" ",99)),1,99)))+1,999))-1),_Lookup!$A:$B,2,FALSE),"?")&amp;"×"&amp;LEFT(MID(MID(TRIM(MID(SUBSTITUTE(K163,";",REPT(" ",99)),1,99)),FIND(":",TRIM(MID(SUBSTITUTE(K163,";",REPT(" ",99)),1,99)))+1,999),FIND(":",MID(TRIM(MID(SUBSTITUTE(K163,";",REPT(" ",99)),1,99)),FIND(":",TRIM(MID(SUBSTITUTE(K163,";",REPT(" ",99)),1,99)))+1,999))+1,999),FIND(":",MID(MID(TRIM(MID(SUBSTITUTE(K163,";",REPT(" ",99)),1,99)),FIND(":",TRIM(MID(SUBSTITUTE(K163,";",REPT(" ",99)),1,99)))+1,999),FIND(":",MID(TRIM(MID(SUBSTITUTE(K163,";",REPT(" ",99)),1,99)),FIND(":",TRIM(MID(SUBSTITUTE(K163,";",REPT(" ",99)),1,99)))+1,999))+1,999))-1)),IF(TRIM(MID(SUBSTITUTE(K163,";",REPT(" ",99)),100,99))="","",IFERROR(VLOOKUP(--LEFT(MID(TRIM(MID(SUBSTITUTE(K163,";",REPT(" ",99)),100,99)),FIND(":",TRIM(MID(SUBSTITUTE(K163,";",REPT(" ",99)),100,99)))+1,999),FIND(":",MID(TRIM(MID(SUBSTITUTE(K163,";",REPT(" ",99)),100,99)),FIND(":",TRIM(MID(SUBSTITUTE(K163,";",REPT(" ",99)),100,99)))+1,999))-1),_Lookup!$A:$B,2,FALSE),"?")&amp;"×"&amp;LEFT(MID(MID(TRIM(MID(SUBSTITUTE(K163,";",REPT(" ",99)),100,99)),FIND(":",TRIM(MID(SUBSTITUTE(K163,";",REPT(" ",99)),100,99)))+1,999),FIND(":",MID(TRIM(MID(SUBSTITUTE(K163,";",REPT(" ",99)),100,99)),FIND(":",TRIM(MID(SUBSTITUTE(K163,";",REPT(" ",99)),100,99)))+1,999))+1,999),FIND(":",MID(MID(TRIM(MID(SUBSTITUTE(K163,";",REPT(" ",99)),100,99)),FIND(":",TRIM(MID(SUBSTITUTE(K163,";",REPT(" ",99)),100,99)))+1,999),FIND(":",MID(TRIM(MID(SUBSTITUTE(K163,";",REPT(" ",99)),100,99)),FIND(":",TRIM(MID(SUBSTITUTE(K163,";",REPT(" ",99)),100,99)))+1,999))+1,999))-1)),IF(TRIM(MID(SUBSTITUTE(K163,";",REPT(" ",99)),199,99))="","",IFERROR(VLOOKUP(--LEFT(MID(TRIM(MID(SUBSTITUTE(K163,";",REPT(" ",99)),199,99)),FIND(":",TRIM(MID(SUBSTITUTE(K163,";",REPT(" ",99)),199,99)))+1,999),FIND(":",MID(TRIM(MID(SUBSTITUTE(K163,";",REPT(" ",99)),199,99)),FIND(":",TRIM(MID(SUBSTITUTE(K163,";",REPT(" ",99)),199,99)))+1,999))-1),_Lookup!$A:$B,2,FALSE),"?")&amp;"×"&amp;LEFT(MID(MID(TRIM(MID(SUBSTITUTE(K163,";",REPT(" ",99)),199,99)),FIND(":",TRIM(MID(SUBSTITUTE(K163,";",REPT(" ",99)),199,99)))+1,999),FIND(":",MID(TRIM(MID(SUBSTITUTE(K163,";",REPT(" ",99)),199,99)),FIND(":",TRIM(MID(SUBSTITUTE(K163,";",REPT(" ",99)),199,99)))+1,999))+1,999),FIND(":",MID(MID(TRIM(MID(SUBSTITUTE(K163,";",REPT(" ",99)),199,99)),FIND(":",TRIM(MID(SUBSTITUTE(K163,";",REPT(" ",99)),199,99)))+1,999),FIND(":",MID(TRIM(MID(SUBSTITUTE(K163,";",REPT(" ",99)),199,99)),FIND(":",TRIM(MID(SUBSTITUTE(K163,";",REPT(" ",99)),199,99)))+1,999))+1,999))-1)),IF(TRIM(MID(SUBSTITUTE(K163,";",REPT(" ",99)),298,99))="","",IFERROR(VLOOKUP(--LEFT(MID(TRIM(MID(SUBSTITUTE(K163,";",REPT(" ",99)),298,99)),FIND(":",TRIM(MID(SUBSTITUTE(K163,";",REPT(" ",99)),298,99)))+1,999),FIND(":",MID(TRIM(MID(SUBSTITUTE(K163,";",REPT(" ",99)),298,99)),FIND(":",TRIM(MID(SUBSTITUTE(K163,";",REPT(" ",99)),298,99)))+1,999))-1),_Lookup!$A:$B,2,FALSE),"?")&amp;"×"&amp;LEFT(MID(MID(TRIM(MID(SUBSTITUTE(K163,";",REPT(" ",99)),298,99)),FIND(":",TRIM(MID(SUBSTITUTE(K163,";",REPT(" ",99)),298,99)))+1,999),FIND(":",MID(TRIM(MID(SUBSTITUTE(K163,";",REPT(" ",99)),298,99)),FIND(":",TRIM(MID(SUBSTITUTE(K163,";",REPT(" ",99)),298,99)))+1,999))+1,999),FIND(":",MID(MID(TRIM(MID(SUBSTITUTE(K163,";",REPT(" ",99)),298,99)),FIND(":",TRIM(MID(SUBSTITUTE(K163,";",REPT(" ",99)),298,99)))+1,999),FIND(":",MID(TRIM(MID(SUBSTITUTE(K163,";",REPT(" ",99)),298,99)),FIND(":",TRIM(MID(SUBSTITUTE(K163,";",REPT(" ",99)),298,99)))+1,999))+1,999))-1)),IF(TRIM(MID(SUBSTITUTE(K163,";",REPT(" ",99)),397,99))="","",IFERROR(VLOOKUP(--LEFT(MID(TRIM(MID(SUBSTITUTE(K163,";",REPT(" ",99)),397,99)),FIND(":",TRIM(MID(SUBSTITUTE(K163,";",REPT(" ",99)),397,99)))+1,999),FIND(":",MID(TRIM(MID(SUBSTITUTE(K163,";",REPT(" ",99)),397,99)),FIND(":",TRIM(MID(SUBSTITUTE(K163,";",REPT(" ",99)),397,99)))+1,999))-1),_Lookup!$A:$B,2,FALSE),"?")&amp;"×"&amp;LEFT(MID(MID(TRIM(MID(SUBSTITUTE(K163,";",REPT(" ",99)),397,99)),FIND(":",TRIM(MID(SUBSTITUTE(K163,";",REPT(" ",99)),397,99)))+1,999),FIND(":",MID(TRIM(MID(SUBSTITUTE(K163,";",REPT(" ",99)),397,99)),FIND(":",TRIM(MID(SUBSTITUTE(K163,";",REPT(" ",99)),397,99)))+1,999))+1,999),FIND(":",MID(MID(TRIM(MID(SUBSTITUTE(K163,";",REPT(" ",99)),397,99)),FIND(":",TRIM(MID(SUBSTITUTE(K163,";",REPT(" ",99)),397,99)))+1,999),FIND(":",MID(TRIM(MID(SUBSTITUTE(K163,";",REPT(" ",99)),397,99)),FIND(":",TRIM(MID(SUBSTITUTE(K163,";",REPT(" ",99)),397,99)))+1,999))+1,999))-1))))</f>
        <v/>
      </c>
    </row>
    <row r="164">
      <c r="D164" s="11">
        <f>IFERROR(VLOOKUP(C164,ItemData_Fish!$A:$B,2,FALSE),"")</f>
        <v/>
      </c>
      <c r="L164" s="11">
        <f>IF(K164="","",TEXTJOIN("; ",TRUE,IF(TRIM(MID(SUBSTITUTE(K164,";",REPT(" ",99)),1,99))="","",IFERROR(VLOOKUP(--LEFT(MID(TRIM(MID(SUBSTITUTE(K164,";",REPT(" ",99)),1,99)),FIND(":",TRIM(MID(SUBSTITUTE(K164,";",REPT(" ",99)),1,99)))+1,999),FIND(":",MID(TRIM(MID(SUBSTITUTE(K164,";",REPT(" ",99)),1,99)),FIND(":",TRIM(MID(SUBSTITUTE(K164,";",REPT(" ",99)),1,99)))+1,999))-1),_Lookup!$A:$B,2,FALSE),"?")&amp;"×"&amp;LEFT(MID(MID(TRIM(MID(SUBSTITUTE(K164,";",REPT(" ",99)),1,99)),FIND(":",TRIM(MID(SUBSTITUTE(K164,";",REPT(" ",99)),1,99)))+1,999),FIND(":",MID(TRIM(MID(SUBSTITUTE(K164,";",REPT(" ",99)),1,99)),FIND(":",TRIM(MID(SUBSTITUTE(K164,";",REPT(" ",99)),1,99)))+1,999))+1,999),FIND(":",MID(MID(TRIM(MID(SUBSTITUTE(K164,";",REPT(" ",99)),1,99)),FIND(":",TRIM(MID(SUBSTITUTE(K164,";",REPT(" ",99)),1,99)))+1,999),FIND(":",MID(TRIM(MID(SUBSTITUTE(K164,";",REPT(" ",99)),1,99)),FIND(":",TRIM(MID(SUBSTITUTE(K164,";",REPT(" ",99)),1,99)))+1,999))+1,999))-1)),IF(TRIM(MID(SUBSTITUTE(K164,";",REPT(" ",99)),100,99))="","",IFERROR(VLOOKUP(--LEFT(MID(TRIM(MID(SUBSTITUTE(K164,";",REPT(" ",99)),100,99)),FIND(":",TRIM(MID(SUBSTITUTE(K164,";",REPT(" ",99)),100,99)))+1,999),FIND(":",MID(TRIM(MID(SUBSTITUTE(K164,";",REPT(" ",99)),100,99)),FIND(":",TRIM(MID(SUBSTITUTE(K164,";",REPT(" ",99)),100,99)))+1,999))-1),_Lookup!$A:$B,2,FALSE),"?")&amp;"×"&amp;LEFT(MID(MID(TRIM(MID(SUBSTITUTE(K164,";",REPT(" ",99)),100,99)),FIND(":",TRIM(MID(SUBSTITUTE(K164,";",REPT(" ",99)),100,99)))+1,999),FIND(":",MID(TRIM(MID(SUBSTITUTE(K164,";",REPT(" ",99)),100,99)),FIND(":",TRIM(MID(SUBSTITUTE(K164,";",REPT(" ",99)),100,99)))+1,999))+1,999),FIND(":",MID(MID(TRIM(MID(SUBSTITUTE(K164,";",REPT(" ",99)),100,99)),FIND(":",TRIM(MID(SUBSTITUTE(K164,";",REPT(" ",99)),100,99)))+1,999),FIND(":",MID(TRIM(MID(SUBSTITUTE(K164,";",REPT(" ",99)),100,99)),FIND(":",TRIM(MID(SUBSTITUTE(K164,";",REPT(" ",99)),100,99)))+1,999))+1,999))-1)),IF(TRIM(MID(SUBSTITUTE(K164,";",REPT(" ",99)),199,99))="","",IFERROR(VLOOKUP(--LEFT(MID(TRIM(MID(SUBSTITUTE(K164,";",REPT(" ",99)),199,99)),FIND(":",TRIM(MID(SUBSTITUTE(K164,";",REPT(" ",99)),199,99)))+1,999),FIND(":",MID(TRIM(MID(SUBSTITUTE(K164,";",REPT(" ",99)),199,99)),FIND(":",TRIM(MID(SUBSTITUTE(K164,";",REPT(" ",99)),199,99)))+1,999))-1),_Lookup!$A:$B,2,FALSE),"?")&amp;"×"&amp;LEFT(MID(MID(TRIM(MID(SUBSTITUTE(K164,";",REPT(" ",99)),199,99)),FIND(":",TRIM(MID(SUBSTITUTE(K164,";",REPT(" ",99)),199,99)))+1,999),FIND(":",MID(TRIM(MID(SUBSTITUTE(K164,";",REPT(" ",99)),199,99)),FIND(":",TRIM(MID(SUBSTITUTE(K164,";",REPT(" ",99)),199,99)))+1,999))+1,999),FIND(":",MID(MID(TRIM(MID(SUBSTITUTE(K164,";",REPT(" ",99)),199,99)),FIND(":",TRIM(MID(SUBSTITUTE(K164,";",REPT(" ",99)),199,99)))+1,999),FIND(":",MID(TRIM(MID(SUBSTITUTE(K164,";",REPT(" ",99)),199,99)),FIND(":",TRIM(MID(SUBSTITUTE(K164,";",REPT(" ",99)),199,99)))+1,999))+1,999))-1)),IF(TRIM(MID(SUBSTITUTE(K164,";",REPT(" ",99)),298,99))="","",IFERROR(VLOOKUP(--LEFT(MID(TRIM(MID(SUBSTITUTE(K164,";",REPT(" ",99)),298,99)),FIND(":",TRIM(MID(SUBSTITUTE(K164,";",REPT(" ",99)),298,99)))+1,999),FIND(":",MID(TRIM(MID(SUBSTITUTE(K164,";",REPT(" ",99)),298,99)),FIND(":",TRIM(MID(SUBSTITUTE(K164,";",REPT(" ",99)),298,99)))+1,999))-1),_Lookup!$A:$B,2,FALSE),"?")&amp;"×"&amp;LEFT(MID(MID(TRIM(MID(SUBSTITUTE(K164,";",REPT(" ",99)),298,99)),FIND(":",TRIM(MID(SUBSTITUTE(K164,";",REPT(" ",99)),298,99)))+1,999),FIND(":",MID(TRIM(MID(SUBSTITUTE(K164,";",REPT(" ",99)),298,99)),FIND(":",TRIM(MID(SUBSTITUTE(K164,";",REPT(" ",99)),298,99)))+1,999))+1,999),FIND(":",MID(MID(TRIM(MID(SUBSTITUTE(K164,";",REPT(" ",99)),298,99)),FIND(":",TRIM(MID(SUBSTITUTE(K164,";",REPT(" ",99)),298,99)))+1,999),FIND(":",MID(TRIM(MID(SUBSTITUTE(K164,";",REPT(" ",99)),298,99)),FIND(":",TRIM(MID(SUBSTITUTE(K164,";",REPT(" ",99)),298,99)))+1,999))+1,999))-1)),IF(TRIM(MID(SUBSTITUTE(K164,";",REPT(" ",99)),397,99))="","",IFERROR(VLOOKUP(--LEFT(MID(TRIM(MID(SUBSTITUTE(K164,";",REPT(" ",99)),397,99)),FIND(":",TRIM(MID(SUBSTITUTE(K164,";",REPT(" ",99)),397,99)))+1,999),FIND(":",MID(TRIM(MID(SUBSTITUTE(K164,";",REPT(" ",99)),397,99)),FIND(":",TRIM(MID(SUBSTITUTE(K164,";",REPT(" ",99)),397,99)))+1,999))-1),_Lookup!$A:$B,2,FALSE),"?")&amp;"×"&amp;LEFT(MID(MID(TRIM(MID(SUBSTITUTE(K164,";",REPT(" ",99)),397,99)),FIND(":",TRIM(MID(SUBSTITUTE(K164,";",REPT(" ",99)),397,99)))+1,999),FIND(":",MID(TRIM(MID(SUBSTITUTE(K164,";",REPT(" ",99)),397,99)),FIND(":",TRIM(MID(SUBSTITUTE(K164,";",REPT(" ",99)),397,99)))+1,999))+1,999),FIND(":",MID(MID(TRIM(MID(SUBSTITUTE(K164,";",REPT(" ",99)),397,99)),FIND(":",TRIM(MID(SUBSTITUTE(K164,";",REPT(" ",99)),397,99)))+1,999),FIND(":",MID(TRIM(MID(SUBSTITUTE(K164,";",REPT(" ",99)),397,99)),FIND(":",TRIM(MID(SUBSTITUTE(K164,";",REPT(" ",99)),397,99)))+1,999))+1,999))-1))))</f>
        <v/>
      </c>
    </row>
    <row r="165">
      <c r="D165" s="11">
        <f>IFERROR(VLOOKUP(C165,ItemData_Fish!$A:$B,2,FALSE),"")</f>
        <v/>
      </c>
      <c r="L165" s="11">
        <f>IF(K165="","",TEXTJOIN("; ",TRUE,IF(TRIM(MID(SUBSTITUTE(K165,";",REPT(" ",99)),1,99))="","",IFERROR(VLOOKUP(--LEFT(MID(TRIM(MID(SUBSTITUTE(K165,";",REPT(" ",99)),1,99)),FIND(":",TRIM(MID(SUBSTITUTE(K165,";",REPT(" ",99)),1,99)))+1,999),FIND(":",MID(TRIM(MID(SUBSTITUTE(K165,";",REPT(" ",99)),1,99)),FIND(":",TRIM(MID(SUBSTITUTE(K165,";",REPT(" ",99)),1,99)))+1,999))-1),_Lookup!$A:$B,2,FALSE),"?")&amp;"×"&amp;LEFT(MID(MID(TRIM(MID(SUBSTITUTE(K165,";",REPT(" ",99)),1,99)),FIND(":",TRIM(MID(SUBSTITUTE(K165,";",REPT(" ",99)),1,99)))+1,999),FIND(":",MID(TRIM(MID(SUBSTITUTE(K165,";",REPT(" ",99)),1,99)),FIND(":",TRIM(MID(SUBSTITUTE(K165,";",REPT(" ",99)),1,99)))+1,999))+1,999),FIND(":",MID(MID(TRIM(MID(SUBSTITUTE(K165,";",REPT(" ",99)),1,99)),FIND(":",TRIM(MID(SUBSTITUTE(K165,";",REPT(" ",99)),1,99)))+1,999),FIND(":",MID(TRIM(MID(SUBSTITUTE(K165,";",REPT(" ",99)),1,99)),FIND(":",TRIM(MID(SUBSTITUTE(K165,";",REPT(" ",99)),1,99)))+1,999))+1,999))-1)),IF(TRIM(MID(SUBSTITUTE(K165,";",REPT(" ",99)),100,99))="","",IFERROR(VLOOKUP(--LEFT(MID(TRIM(MID(SUBSTITUTE(K165,";",REPT(" ",99)),100,99)),FIND(":",TRIM(MID(SUBSTITUTE(K165,";",REPT(" ",99)),100,99)))+1,999),FIND(":",MID(TRIM(MID(SUBSTITUTE(K165,";",REPT(" ",99)),100,99)),FIND(":",TRIM(MID(SUBSTITUTE(K165,";",REPT(" ",99)),100,99)))+1,999))-1),_Lookup!$A:$B,2,FALSE),"?")&amp;"×"&amp;LEFT(MID(MID(TRIM(MID(SUBSTITUTE(K165,";",REPT(" ",99)),100,99)),FIND(":",TRIM(MID(SUBSTITUTE(K165,";",REPT(" ",99)),100,99)))+1,999),FIND(":",MID(TRIM(MID(SUBSTITUTE(K165,";",REPT(" ",99)),100,99)),FIND(":",TRIM(MID(SUBSTITUTE(K165,";",REPT(" ",99)),100,99)))+1,999))+1,999),FIND(":",MID(MID(TRIM(MID(SUBSTITUTE(K165,";",REPT(" ",99)),100,99)),FIND(":",TRIM(MID(SUBSTITUTE(K165,";",REPT(" ",99)),100,99)))+1,999),FIND(":",MID(TRIM(MID(SUBSTITUTE(K165,";",REPT(" ",99)),100,99)),FIND(":",TRIM(MID(SUBSTITUTE(K165,";",REPT(" ",99)),100,99)))+1,999))+1,999))-1)),IF(TRIM(MID(SUBSTITUTE(K165,";",REPT(" ",99)),199,99))="","",IFERROR(VLOOKUP(--LEFT(MID(TRIM(MID(SUBSTITUTE(K165,";",REPT(" ",99)),199,99)),FIND(":",TRIM(MID(SUBSTITUTE(K165,";",REPT(" ",99)),199,99)))+1,999),FIND(":",MID(TRIM(MID(SUBSTITUTE(K165,";",REPT(" ",99)),199,99)),FIND(":",TRIM(MID(SUBSTITUTE(K165,";",REPT(" ",99)),199,99)))+1,999))-1),_Lookup!$A:$B,2,FALSE),"?")&amp;"×"&amp;LEFT(MID(MID(TRIM(MID(SUBSTITUTE(K165,";",REPT(" ",99)),199,99)),FIND(":",TRIM(MID(SUBSTITUTE(K165,";",REPT(" ",99)),199,99)))+1,999),FIND(":",MID(TRIM(MID(SUBSTITUTE(K165,";",REPT(" ",99)),199,99)),FIND(":",TRIM(MID(SUBSTITUTE(K165,";",REPT(" ",99)),199,99)))+1,999))+1,999),FIND(":",MID(MID(TRIM(MID(SUBSTITUTE(K165,";",REPT(" ",99)),199,99)),FIND(":",TRIM(MID(SUBSTITUTE(K165,";",REPT(" ",99)),199,99)))+1,999),FIND(":",MID(TRIM(MID(SUBSTITUTE(K165,";",REPT(" ",99)),199,99)),FIND(":",TRIM(MID(SUBSTITUTE(K165,";",REPT(" ",99)),199,99)))+1,999))+1,999))-1)),IF(TRIM(MID(SUBSTITUTE(K165,";",REPT(" ",99)),298,99))="","",IFERROR(VLOOKUP(--LEFT(MID(TRIM(MID(SUBSTITUTE(K165,";",REPT(" ",99)),298,99)),FIND(":",TRIM(MID(SUBSTITUTE(K165,";",REPT(" ",99)),298,99)))+1,999),FIND(":",MID(TRIM(MID(SUBSTITUTE(K165,";",REPT(" ",99)),298,99)),FIND(":",TRIM(MID(SUBSTITUTE(K165,";",REPT(" ",99)),298,99)))+1,999))-1),_Lookup!$A:$B,2,FALSE),"?")&amp;"×"&amp;LEFT(MID(MID(TRIM(MID(SUBSTITUTE(K165,";",REPT(" ",99)),298,99)),FIND(":",TRIM(MID(SUBSTITUTE(K165,";",REPT(" ",99)),298,99)))+1,999),FIND(":",MID(TRIM(MID(SUBSTITUTE(K165,";",REPT(" ",99)),298,99)),FIND(":",TRIM(MID(SUBSTITUTE(K165,";",REPT(" ",99)),298,99)))+1,999))+1,999),FIND(":",MID(MID(TRIM(MID(SUBSTITUTE(K165,";",REPT(" ",99)),298,99)),FIND(":",TRIM(MID(SUBSTITUTE(K165,";",REPT(" ",99)),298,99)))+1,999),FIND(":",MID(TRIM(MID(SUBSTITUTE(K165,";",REPT(" ",99)),298,99)),FIND(":",TRIM(MID(SUBSTITUTE(K165,";",REPT(" ",99)),298,99)))+1,999))+1,999))-1)),IF(TRIM(MID(SUBSTITUTE(K165,";",REPT(" ",99)),397,99))="","",IFERROR(VLOOKUP(--LEFT(MID(TRIM(MID(SUBSTITUTE(K165,";",REPT(" ",99)),397,99)),FIND(":",TRIM(MID(SUBSTITUTE(K165,";",REPT(" ",99)),397,99)))+1,999),FIND(":",MID(TRIM(MID(SUBSTITUTE(K165,";",REPT(" ",99)),397,99)),FIND(":",TRIM(MID(SUBSTITUTE(K165,";",REPT(" ",99)),397,99)))+1,999))-1),_Lookup!$A:$B,2,FALSE),"?")&amp;"×"&amp;LEFT(MID(MID(TRIM(MID(SUBSTITUTE(K165,";",REPT(" ",99)),397,99)),FIND(":",TRIM(MID(SUBSTITUTE(K165,";",REPT(" ",99)),397,99)))+1,999),FIND(":",MID(TRIM(MID(SUBSTITUTE(K165,";",REPT(" ",99)),397,99)),FIND(":",TRIM(MID(SUBSTITUTE(K165,";",REPT(" ",99)),397,99)))+1,999))+1,999),FIND(":",MID(MID(TRIM(MID(SUBSTITUTE(K165,";",REPT(" ",99)),397,99)),FIND(":",TRIM(MID(SUBSTITUTE(K165,";",REPT(" ",99)),397,99)))+1,999),FIND(":",MID(TRIM(MID(SUBSTITUTE(K165,";",REPT(" ",99)),397,99)),FIND(":",TRIM(MID(SUBSTITUTE(K165,";",REPT(" ",99)),397,99)))+1,999))+1,999))-1))))</f>
        <v/>
      </c>
    </row>
    <row r="166">
      <c r="D166" s="11">
        <f>IFERROR(VLOOKUP(C166,ItemData_Fish!$A:$B,2,FALSE),"")</f>
        <v/>
      </c>
      <c r="L166" s="11">
        <f>IF(K166="","",TEXTJOIN("; ",TRUE,IF(TRIM(MID(SUBSTITUTE(K166,";",REPT(" ",99)),1,99))="","",IFERROR(VLOOKUP(--LEFT(MID(TRIM(MID(SUBSTITUTE(K166,";",REPT(" ",99)),1,99)),FIND(":",TRIM(MID(SUBSTITUTE(K166,";",REPT(" ",99)),1,99)))+1,999),FIND(":",MID(TRIM(MID(SUBSTITUTE(K166,";",REPT(" ",99)),1,99)),FIND(":",TRIM(MID(SUBSTITUTE(K166,";",REPT(" ",99)),1,99)))+1,999))-1),_Lookup!$A:$B,2,FALSE),"?")&amp;"×"&amp;LEFT(MID(MID(TRIM(MID(SUBSTITUTE(K166,";",REPT(" ",99)),1,99)),FIND(":",TRIM(MID(SUBSTITUTE(K166,";",REPT(" ",99)),1,99)))+1,999),FIND(":",MID(TRIM(MID(SUBSTITUTE(K166,";",REPT(" ",99)),1,99)),FIND(":",TRIM(MID(SUBSTITUTE(K166,";",REPT(" ",99)),1,99)))+1,999))+1,999),FIND(":",MID(MID(TRIM(MID(SUBSTITUTE(K166,";",REPT(" ",99)),1,99)),FIND(":",TRIM(MID(SUBSTITUTE(K166,";",REPT(" ",99)),1,99)))+1,999),FIND(":",MID(TRIM(MID(SUBSTITUTE(K166,";",REPT(" ",99)),1,99)),FIND(":",TRIM(MID(SUBSTITUTE(K166,";",REPT(" ",99)),1,99)))+1,999))+1,999))-1)),IF(TRIM(MID(SUBSTITUTE(K166,";",REPT(" ",99)),100,99))="","",IFERROR(VLOOKUP(--LEFT(MID(TRIM(MID(SUBSTITUTE(K166,";",REPT(" ",99)),100,99)),FIND(":",TRIM(MID(SUBSTITUTE(K166,";",REPT(" ",99)),100,99)))+1,999),FIND(":",MID(TRIM(MID(SUBSTITUTE(K166,";",REPT(" ",99)),100,99)),FIND(":",TRIM(MID(SUBSTITUTE(K166,";",REPT(" ",99)),100,99)))+1,999))-1),_Lookup!$A:$B,2,FALSE),"?")&amp;"×"&amp;LEFT(MID(MID(TRIM(MID(SUBSTITUTE(K166,";",REPT(" ",99)),100,99)),FIND(":",TRIM(MID(SUBSTITUTE(K166,";",REPT(" ",99)),100,99)))+1,999),FIND(":",MID(TRIM(MID(SUBSTITUTE(K166,";",REPT(" ",99)),100,99)),FIND(":",TRIM(MID(SUBSTITUTE(K166,";",REPT(" ",99)),100,99)))+1,999))+1,999),FIND(":",MID(MID(TRIM(MID(SUBSTITUTE(K166,";",REPT(" ",99)),100,99)),FIND(":",TRIM(MID(SUBSTITUTE(K166,";",REPT(" ",99)),100,99)))+1,999),FIND(":",MID(TRIM(MID(SUBSTITUTE(K166,";",REPT(" ",99)),100,99)),FIND(":",TRIM(MID(SUBSTITUTE(K166,";",REPT(" ",99)),100,99)))+1,999))+1,999))-1)),IF(TRIM(MID(SUBSTITUTE(K166,";",REPT(" ",99)),199,99))="","",IFERROR(VLOOKUP(--LEFT(MID(TRIM(MID(SUBSTITUTE(K166,";",REPT(" ",99)),199,99)),FIND(":",TRIM(MID(SUBSTITUTE(K166,";",REPT(" ",99)),199,99)))+1,999),FIND(":",MID(TRIM(MID(SUBSTITUTE(K166,";",REPT(" ",99)),199,99)),FIND(":",TRIM(MID(SUBSTITUTE(K166,";",REPT(" ",99)),199,99)))+1,999))-1),_Lookup!$A:$B,2,FALSE),"?")&amp;"×"&amp;LEFT(MID(MID(TRIM(MID(SUBSTITUTE(K166,";",REPT(" ",99)),199,99)),FIND(":",TRIM(MID(SUBSTITUTE(K166,";",REPT(" ",99)),199,99)))+1,999),FIND(":",MID(TRIM(MID(SUBSTITUTE(K166,";",REPT(" ",99)),199,99)),FIND(":",TRIM(MID(SUBSTITUTE(K166,";",REPT(" ",99)),199,99)))+1,999))+1,999),FIND(":",MID(MID(TRIM(MID(SUBSTITUTE(K166,";",REPT(" ",99)),199,99)),FIND(":",TRIM(MID(SUBSTITUTE(K166,";",REPT(" ",99)),199,99)))+1,999),FIND(":",MID(TRIM(MID(SUBSTITUTE(K166,";",REPT(" ",99)),199,99)),FIND(":",TRIM(MID(SUBSTITUTE(K166,";",REPT(" ",99)),199,99)))+1,999))+1,999))-1)),IF(TRIM(MID(SUBSTITUTE(K166,";",REPT(" ",99)),298,99))="","",IFERROR(VLOOKUP(--LEFT(MID(TRIM(MID(SUBSTITUTE(K166,";",REPT(" ",99)),298,99)),FIND(":",TRIM(MID(SUBSTITUTE(K166,";",REPT(" ",99)),298,99)))+1,999),FIND(":",MID(TRIM(MID(SUBSTITUTE(K166,";",REPT(" ",99)),298,99)),FIND(":",TRIM(MID(SUBSTITUTE(K166,";",REPT(" ",99)),298,99)))+1,999))-1),_Lookup!$A:$B,2,FALSE),"?")&amp;"×"&amp;LEFT(MID(MID(TRIM(MID(SUBSTITUTE(K166,";",REPT(" ",99)),298,99)),FIND(":",TRIM(MID(SUBSTITUTE(K166,";",REPT(" ",99)),298,99)))+1,999),FIND(":",MID(TRIM(MID(SUBSTITUTE(K166,";",REPT(" ",99)),298,99)),FIND(":",TRIM(MID(SUBSTITUTE(K166,";",REPT(" ",99)),298,99)))+1,999))+1,999),FIND(":",MID(MID(TRIM(MID(SUBSTITUTE(K166,";",REPT(" ",99)),298,99)),FIND(":",TRIM(MID(SUBSTITUTE(K166,";",REPT(" ",99)),298,99)))+1,999),FIND(":",MID(TRIM(MID(SUBSTITUTE(K166,";",REPT(" ",99)),298,99)),FIND(":",TRIM(MID(SUBSTITUTE(K166,";",REPT(" ",99)),298,99)))+1,999))+1,999))-1)),IF(TRIM(MID(SUBSTITUTE(K166,";",REPT(" ",99)),397,99))="","",IFERROR(VLOOKUP(--LEFT(MID(TRIM(MID(SUBSTITUTE(K166,";",REPT(" ",99)),397,99)),FIND(":",TRIM(MID(SUBSTITUTE(K166,";",REPT(" ",99)),397,99)))+1,999),FIND(":",MID(TRIM(MID(SUBSTITUTE(K166,";",REPT(" ",99)),397,99)),FIND(":",TRIM(MID(SUBSTITUTE(K166,";",REPT(" ",99)),397,99)))+1,999))-1),_Lookup!$A:$B,2,FALSE),"?")&amp;"×"&amp;LEFT(MID(MID(TRIM(MID(SUBSTITUTE(K166,";",REPT(" ",99)),397,99)),FIND(":",TRIM(MID(SUBSTITUTE(K166,";",REPT(" ",99)),397,99)))+1,999),FIND(":",MID(TRIM(MID(SUBSTITUTE(K166,";",REPT(" ",99)),397,99)),FIND(":",TRIM(MID(SUBSTITUTE(K166,";",REPT(" ",99)),397,99)))+1,999))+1,999),FIND(":",MID(MID(TRIM(MID(SUBSTITUTE(K166,";",REPT(" ",99)),397,99)),FIND(":",TRIM(MID(SUBSTITUTE(K166,";",REPT(" ",99)),397,99)))+1,999),FIND(":",MID(TRIM(MID(SUBSTITUTE(K166,";",REPT(" ",99)),397,99)),FIND(":",TRIM(MID(SUBSTITUTE(K166,";",REPT(" ",99)),397,99)))+1,999))+1,999))-1))))</f>
        <v/>
      </c>
    </row>
    <row r="167">
      <c r="D167" s="11">
        <f>IFERROR(VLOOKUP(C167,ItemData_Fish!$A:$B,2,FALSE),"")</f>
        <v/>
      </c>
      <c r="L167" s="11">
        <f>IF(K167="","",TEXTJOIN("; ",TRUE,IF(TRIM(MID(SUBSTITUTE(K167,";",REPT(" ",99)),1,99))="","",IFERROR(VLOOKUP(--LEFT(MID(TRIM(MID(SUBSTITUTE(K167,";",REPT(" ",99)),1,99)),FIND(":",TRIM(MID(SUBSTITUTE(K167,";",REPT(" ",99)),1,99)))+1,999),FIND(":",MID(TRIM(MID(SUBSTITUTE(K167,";",REPT(" ",99)),1,99)),FIND(":",TRIM(MID(SUBSTITUTE(K167,";",REPT(" ",99)),1,99)))+1,999))-1),_Lookup!$A:$B,2,FALSE),"?")&amp;"×"&amp;LEFT(MID(MID(TRIM(MID(SUBSTITUTE(K167,";",REPT(" ",99)),1,99)),FIND(":",TRIM(MID(SUBSTITUTE(K167,";",REPT(" ",99)),1,99)))+1,999),FIND(":",MID(TRIM(MID(SUBSTITUTE(K167,";",REPT(" ",99)),1,99)),FIND(":",TRIM(MID(SUBSTITUTE(K167,";",REPT(" ",99)),1,99)))+1,999))+1,999),FIND(":",MID(MID(TRIM(MID(SUBSTITUTE(K167,";",REPT(" ",99)),1,99)),FIND(":",TRIM(MID(SUBSTITUTE(K167,";",REPT(" ",99)),1,99)))+1,999),FIND(":",MID(TRIM(MID(SUBSTITUTE(K167,";",REPT(" ",99)),1,99)),FIND(":",TRIM(MID(SUBSTITUTE(K167,";",REPT(" ",99)),1,99)))+1,999))+1,999))-1)),IF(TRIM(MID(SUBSTITUTE(K167,";",REPT(" ",99)),100,99))="","",IFERROR(VLOOKUP(--LEFT(MID(TRIM(MID(SUBSTITUTE(K167,";",REPT(" ",99)),100,99)),FIND(":",TRIM(MID(SUBSTITUTE(K167,";",REPT(" ",99)),100,99)))+1,999),FIND(":",MID(TRIM(MID(SUBSTITUTE(K167,";",REPT(" ",99)),100,99)),FIND(":",TRIM(MID(SUBSTITUTE(K167,";",REPT(" ",99)),100,99)))+1,999))-1),_Lookup!$A:$B,2,FALSE),"?")&amp;"×"&amp;LEFT(MID(MID(TRIM(MID(SUBSTITUTE(K167,";",REPT(" ",99)),100,99)),FIND(":",TRIM(MID(SUBSTITUTE(K167,";",REPT(" ",99)),100,99)))+1,999),FIND(":",MID(TRIM(MID(SUBSTITUTE(K167,";",REPT(" ",99)),100,99)),FIND(":",TRIM(MID(SUBSTITUTE(K167,";",REPT(" ",99)),100,99)))+1,999))+1,999),FIND(":",MID(MID(TRIM(MID(SUBSTITUTE(K167,";",REPT(" ",99)),100,99)),FIND(":",TRIM(MID(SUBSTITUTE(K167,";",REPT(" ",99)),100,99)))+1,999),FIND(":",MID(TRIM(MID(SUBSTITUTE(K167,";",REPT(" ",99)),100,99)),FIND(":",TRIM(MID(SUBSTITUTE(K167,";",REPT(" ",99)),100,99)))+1,999))+1,999))-1)),IF(TRIM(MID(SUBSTITUTE(K167,";",REPT(" ",99)),199,99))="","",IFERROR(VLOOKUP(--LEFT(MID(TRIM(MID(SUBSTITUTE(K167,";",REPT(" ",99)),199,99)),FIND(":",TRIM(MID(SUBSTITUTE(K167,";",REPT(" ",99)),199,99)))+1,999),FIND(":",MID(TRIM(MID(SUBSTITUTE(K167,";",REPT(" ",99)),199,99)),FIND(":",TRIM(MID(SUBSTITUTE(K167,";",REPT(" ",99)),199,99)))+1,999))-1),_Lookup!$A:$B,2,FALSE),"?")&amp;"×"&amp;LEFT(MID(MID(TRIM(MID(SUBSTITUTE(K167,";",REPT(" ",99)),199,99)),FIND(":",TRIM(MID(SUBSTITUTE(K167,";",REPT(" ",99)),199,99)))+1,999),FIND(":",MID(TRIM(MID(SUBSTITUTE(K167,";",REPT(" ",99)),199,99)),FIND(":",TRIM(MID(SUBSTITUTE(K167,";",REPT(" ",99)),199,99)))+1,999))+1,999),FIND(":",MID(MID(TRIM(MID(SUBSTITUTE(K167,";",REPT(" ",99)),199,99)),FIND(":",TRIM(MID(SUBSTITUTE(K167,";",REPT(" ",99)),199,99)))+1,999),FIND(":",MID(TRIM(MID(SUBSTITUTE(K167,";",REPT(" ",99)),199,99)),FIND(":",TRIM(MID(SUBSTITUTE(K167,";",REPT(" ",99)),199,99)))+1,999))+1,999))-1)),IF(TRIM(MID(SUBSTITUTE(K167,";",REPT(" ",99)),298,99))="","",IFERROR(VLOOKUP(--LEFT(MID(TRIM(MID(SUBSTITUTE(K167,";",REPT(" ",99)),298,99)),FIND(":",TRIM(MID(SUBSTITUTE(K167,";",REPT(" ",99)),298,99)))+1,999),FIND(":",MID(TRIM(MID(SUBSTITUTE(K167,";",REPT(" ",99)),298,99)),FIND(":",TRIM(MID(SUBSTITUTE(K167,";",REPT(" ",99)),298,99)))+1,999))-1),_Lookup!$A:$B,2,FALSE),"?")&amp;"×"&amp;LEFT(MID(MID(TRIM(MID(SUBSTITUTE(K167,";",REPT(" ",99)),298,99)),FIND(":",TRIM(MID(SUBSTITUTE(K167,";",REPT(" ",99)),298,99)))+1,999),FIND(":",MID(TRIM(MID(SUBSTITUTE(K167,";",REPT(" ",99)),298,99)),FIND(":",TRIM(MID(SUBSTITUTE(K167,";",REPT(" ",99)),298,99)))+1,999))+1,999),FIND(":",MID(MID(TRIM(MID(SUBSTITUTE(K167,";",REPT(" ",99)),298,99)),FIND(":",TRIM(MID(SUBSTITUTE(K167,";",REPT(" ",99)),298,99)))+1,999),FIND(":",MID(TRIM(MID(SUBSTITUTE(K167,";",REPT(" ",99)),298,99)),FIND(":",TRIM(MID(SUBSTITUTE(K167,";",REPT(" ",99)),298,99)))+1,999))+1,999))-1)),IF(TRIM(MID(SUBSTITUTE(K167,";",REPT(" ",99)),397,99))="","",IFERROR(VLOOKUP(--LEFT(MID(TRIM(MID(SUBSTITUTE(K167,";",REPT(" ",99)),397,99)),FIND(":",TRIM(MID(SUBSTITUTE(K167,";",REPT(" ",99)),397,99)))+1,999),FIND(":",MID(TRIM(MID(SUBSTITUTE(K167,";",REPT(" ",99)),397,99)),FIND(":",TRIM(MID(SUBSTITUTE(K167,";",REPT(" ",99)),397,99)))+1,999))-1),_Lookup!$A:$B,2,FALSE),"?")&amp;"×"&amp;LEFT(MID(MID(TRIM(MID(SUBSTITUTE(K167,";",REPT(" ",99)),397,99)),FIND(":",TRIM(MID(SUBSTITUTE(K167,";",REPT(" ",99)),397,99)))+1,999),FIND(":",MID(TRIM(MID(SUBSTITUTE(K167,";",REPT(" ",99)),397,99)),FIND(":",TRIM(MID(SUBSTITUTE(K167,";",REPT(" ",99)),397,99)))+1,999))+1,999),FIND(":",MID(MID(TRIM(MID(SUBSTITUTE(K167,";",REPT(" ",99)),397,99)),FIND(":",TRIM(MID(SUBSTITUTE(K167,";",REPT(" ",99)),397,99)))+1,999),FIND(":",MID(TRIM(MID(SUBSTITUTE(K167,";",REPT(" ",99)),397,99)),FIND(":",TRIM(MID(SUBSTITUTE(K167,";",REPT(" ",99)),397,99)))+1,999))+1,999))-1))))</f>
        <v/>
      </c>
    </row>
    <row r="168">
      <c r="D168" s="11">
        <f>IFERROR(VLOOKUP(C168,ItemData_Fish!$A:$B,2,FALSE),"")</f>
        <v/>
      </c>
      <c r="L168" s="11">
        <f>IF(K168="","",TEXTJOIN("; ",TRUE,IF(TRIM(MID(SUBSTITUTE(K168,";",REPT(" ",99)),1,99))="","",IFERROR(VLOOKUP(--LEFT(MID(TRIM(MID(SUBSTITUTE(K168,";",REPT(" ",99)),1,99)),FIND(":",TRIM(MID(SUBSTITUTE(K168,";",REPT(" ",99)),1,99)))+1,999),FIND(":",MID(TRIM(MID(SUBSTITUTE(K168,";",REPT(" ",99)),1,99)),FIND(":",TRIM(MID(SUBSTITUTE(K168,";",REPT(" ",99)),1,99)))+1,999))-1),_Lookup!$A:$B,2,FALSE),"?")&amp;"×"&amp;LEFT(MID(MID(TRIM(MID(SUBSTITUTE(K168,";",REPT(" ",99)),1,99)),FIND(":",TRIM(MID(SUBSTITUTE(K168,";",REPT(" ",99)),1,99)))+1,999),FIND(":",MID(TRIM(MID(SUBSTITUTE(K168,";",REPT(" ",99)),1,99)),FIND(":",TRIM(MID(SUBSTITUTE(K168,";",REPT(" ",99)),1,99)))+1,999))+1,999),FIND(":",MID(MID(TRIM(MID(SUBSTITUTE(K168,";",REPT(" ",99)),1,99)),FIND(":",TRIM(MID(SUBSTITUTE(K168,";",REPT(" ",99)),1,99)))+1,999),FIND(":",MID(TRIM(MID(SUBSTITUTE(K168,";",REPT(" ",99)),1,99)),FIND(":",TRIM(MID(SUBSTITUTE(K168,";",REPT(" ",99)),1,99)))+1,999))+1,999))-1)),IF(TRIM(MID(SUBSTITUTE(K168,";",REPT(" ",99)),100,99))="","",IFERROR(VLOOKUP(--LEFT(MID(TRIM(MID(SUBSTITUTE(K168,";",REPT(" ",99)),100,99)),FIND(":",TRIM(MID(SUBSTITUTE(K168,";",REPT(" ",99)),100,99)))+1,999),FIND(":",MID(TRIM(MID(SUBSTITUTE(K168,";",REPT(" ",99)),100,99)),FIND(":",TRIM(MID(SUBSTITUTE(K168,";",REPT(" ",99)),100,99)))+1,999))-1),_Lookup!$A:$B,2,FALSE),"?")&amp;"×"&amp;LEFT(MID(MID(TRIM(MID(SUBSTITUTE(K168,";",REPT(" ",99)),100,99)),FIND(":",TRIM(MID(SUBSTITUTE(K168,";",REPT(" ",99)),100,99)))+1,999),FIND(":",MID(TRIM(MID(SUBSTITUTE(K168,";",REPT(" ",99)),100,99)),FIND(":",TRIM(MID(SUBSTITUTE(K168,";",REPT(" ",99)),100,99)))+1,999))+1,999),FIND(":",MID(MID(TRIM(MID(SUBSTITUTE(K168,";",REPT(" ",99)),100,99)),FIND(":",TRIM(MID(SUBSTITUTE(K168,";",REPT(" ",99)),100,99)))+1,999),FIND(":",MID(TRIM(MID(SUBSTITUTE(K168,";",REPT(" ",99)),100,99)),FIND(":",TRIM(MID(SUBSTITUTE(K168,";",REPT(" ",99)),100,99)))+1,999))+1,999))-1)),IF(TRIM(MID(SUBSTITUTE(K168,";",REPT(" ",99)),199,99))="","",IFERROR(VLOOKUP(--LEFT(MID(TRIM(MID(SUBSTITUTE(K168,";",REPT(" ",99)),199,99)),FIND(":",TRIM(MID(SUBSTITUTE(K168,";",REPT(" ",99)),199,99)))+1,999),FIND(":",MID(TRIM(MID(SUBSTITUTE(K168,";",REPT(" ",99)),199,99)),FIND(":",TRIM(MID(SUBSTITUTE(K168,";",REPT(" ",99)),199,99)))+1,999))-1),_Lookup!$A:$B,2,FALSE),"?")&amp;"×"&amp;LEFT(MID(MID(TRIM(MID(SUBSTITUTE(K168,";",REPT(" ",99)),199,99)),FIND(":",TRIM(MID(SUBSTITUTE(K168,";",REPT(" ",99)),199,99)))+1,999),FIND(":",MID(TRIM(MID(SUBSTITUTE(K168,";",REPT(" ",99)),199,99)),FIND(":",TRIM(MID(SUBSTITUTE(K168,";",REPT(" ",99)),199,99)))+1,999))+1,999),FIND(":",MID(MID(TRIM(MID(SUBSTITUTE(K168,";",REPT(" ",99)),199,99)),FIND(":",TRIM(MID(SUBSTITUTE(K168,";",REPT(" ",99)),199,99)))+1,999),FIND(":",MID(TRIM(MID(SUBSTITUTE(K168,";",REPT(" ",99)),199,99)),FIND(":",TRIM(MID(SUBSTITUTE(K168,";",REPT(" ",99)),199,99)))+1,999))+1,999))-1)),IF(TRIM(MID(SUBSTITUTE(K168,";",REPT(" ",99)),298,99))="","",IFERROR(VLOOKUP(--LEFT(MID(TRIM(MID(SUBSTITUTE(K168,";",REPT(" ",99)),298,99)),FIND(":",TRIM(MID(SUBSTITUTE(K168,";",REPT(" ",99)),298,99)))+1,999),FIND(":",MID(TRIM(MID(SUBSTITUTE(K168,";",REPT(" ",99)),298,99)),FIND(":",TRIM(MID(SUBSTITUTE(K168,";",REPT(" ",99)),298,99)))+1,999))-1),_Lookup!$A:$B,2,FALSE),"?")&amp;"×"&amp;LEFT(MID(MID(TRIM(MID(SUBSTITUTE(K168,";",REPT(" ",99)),298,99)),FIND(":",TRIM(MID(SUBSTITUTE(K168,";",REPT(" ",99)),298,99)))+1,999),FIND(":",MID(TRIM(MID(SUBSTITUTE(K168,";",REPT(" ",99)),298,99)),FIND(":",TRIM(MID(SUBSTITUTE(K168,";",REPT(" ",99)),298,99)))+1,999))+1,999),FIND(":",MID(MID(TRIM(MID(SUBSTITUTE(K168,";",REPT(" ",99)),298,99)),FIND(":",TRIM(MID(SUBSTITUTE(K168,";",REPT(" ",99)),298,99)))+1,999),FIND(":",MID(TRIM(MID(SUBSTITUTE(K168,";",REPT(" ",99)),298,99)),FIND(":",TRIM(MID(SUBSTITUTE(K168,";",REPT(" ",99)),298,99)))+1,999))+1,999))-1)),IF(TRIM(MID(SUBSTITUTE(K168,";",REPT(" ",99)),397,99))="","",IFERROR(VLOOKUP(--LEFT(MID(TRIM(MID(SUBSTITUTE(K168,";",REPT(" ",99)),397,99)),FIND(":",TRIM(MID(SUBSTITUTE(K168,";",REPT(" ",99)),397,99)))+1,999),FIND(":",MID(TRIM(MID(SUBSTITUTE(K168,";",REPT(" ",99)),397,99)),FIND(":",TRIM(MID(SUBSTITUTE(K168,";",REPT(" ",99)),397,99)))+1,999))-1),_Lookup!$A:$B,2,FALSE),"?")&amp;"×"&amp;LEFT(MID(MID(TRIM(MID(SUBSTITUTE(K168,";",REPT(" ",99)),397,99)),FIND(":",TRIM(MID(SUBSTITUTE(K168,";",REPT(" ",99)),397,99)))+1,999),FIND(":",MID(TRIM(MID(SUBSTITUTE(K168,";",REPT(" ",99)),397,99)),FIND(":",TRIM(MID(SUBSTITUTE(K168,";",REPT(" ",99)),397,99)))+1,999))+1,999),FIND(":",MID(MID(TRIM(MID(SUBSTITUTE(K168,";",REPT(" ",99)),397,99)),FIND(":",TRIM(MID(SUBSTITUTE(K168,";",REPT(" ",99)),397,99)))+1,999),FIND(":",MID(TRIM(MID(SUBSTITUTE(K168,";",REPT(" ",99)),397,99)),FIND(":",TRIM(MID(SUBSTITUTE(K168,";",REPT(" ",99)),397,99)))+1,999))+1,999))-1))))</f>
        <v/>
      </c>
    </row>
    <row r="169">
      <c r="D169" s="11">
        <f>IFERROR(VLOOKUP(C169,ItemData_Fish!$A:$B,2,FALSE),"")</f>
        <v/>
      </c>
      <c r="L169" s="11">
        <f>IF(K169="","",TEXTJOIN("; ",TRUE,IF(TRIM(MID(SUBSTITUTE(K169,";",REPT(" ",99)),1,99))="","",IFERROR(VLOOKUP(--LEFT(MID(TRIM(MID(SUBSTITUTE(K169,";",REPT(" ",99)),1,99)),FIND(":",TRIM(MID(SUBSTITUTE(K169,";",REPT(" ",99)),1,99)))+1,999),FIND(":",MID(TRIM(MID(SUBSTITUTE(K169,";",REPT(" ",99)),1,99)),FIND(":",TRIM(MID(SUBSTITUTE(K169,";",REPT(" ",99)),1,99)))+1,999))-1),_Lookup!$A:$B,2,FALSE),"?")&amp;"×"&amp;LEFT(MID(MID(TRIM(MID(SUBSTITUTE(K169,";",REPT(" ",99)),1,99)),FIND(":",TRIM(MID(SUBSTITUTE(K169,";",REPT(" ",99)),1,99)))+1,999),FIND(":",MID(TRIM(MID(SUBSTITUTE(K169,";",REPT(" ",99)),1,99)),FIND(":",TRIM(MID(SUBSTITUTE(K169,";",REPT(" ",99)),1,99)))+1,999))+1,999),FIND(":",MID(MID(TRIM(MID(SUBSTITUTE(K169,";",REPT(" ",99)),1,99)),FIND(":",TRIM(MID(SUBSTITUTE(K169,";",REPT(" ",99)),1,99)))+1,999),FIND(":",MID(TRIM(MID(SUBSTITUTE(K169,";",REPT(" ",99)),1,99)),FIND(":",TRIM(MID(SUBSTITUTE(K169,";",REPT(" ",99)),1,99)))+1,999))+1,999))-1)),IF(TRIM(MID(SUBSTITUTE(K169,";",REPT(" ",99)),100,99))="","",IFERROR(VLOOKUP(--LEFT(MID(TRIM(MID(SUBSTITUTE(K169,";",REPT(" ",99)),100,99)),FIND(":",TRIM(MID(SUBSTITUTE(K169,";",REPT(" ",99)),100,99)))+1,999),FIND(":",MID(TRIM(MID(SUBSTITUTE(K169,";",REPT(" ",99)),100,99)),FIND(":",TRIM(MID(SUBSTITUTE(K169,";",REPT(" ",99)),100,99)))+1,999))-1),_Lookup!$A:$B,2,FALSE),"?")&amp;"×"&amp;LEFT(MID(MID(TRIM(MID(SUBSTITUTE(K169,";",REPT(" ",99)),100,99)),FIND(":",TRIM(MID(SUBSTITUTE(K169,";",REPT(" ",99)),100,99)))+1,999),FIND(":",MID(TRIM(MID(SUBSTITUTE(K169,";",REPT(" ",99)),100,99)),FIND(":",TRIM(MID(SUBSTITUTE(K169,";",REPT(" ",99)),100,99)))+1,999))+1,999),FIND(":",MID(MID(TRIM(MID(SUBSTITUTE(K169,";",REPT(" ",99)),100,99)),FIND(":",TRIM(MID(SUBSTITUTE(K169,";",REPT(" ",99)),100,99)))+1,999),FIND(":",MID(TRIM(MID(SUBSTITUTE(K169,";",REPT(" ",99)),100,99)),FIND(":",TRIM(MID(SUBSTITUTE(K169,";",REPT(" ",99)),100,99)))+1,999))+1,999))-1)),IF(TRIM(MID(SUBSTITUTE(K169,";",REPT(" ",99)),199,99))="","",IFERROR(VLOOKUP(--LEFT(MID(TRIM(MID(SUBSTITUTE(K169,";",REPT(" ",99)),199,99)),FIND(":",TRIM(MID(SUBSTITUTE(K169,";",REPT(" ",99)),199,99)))+1,999),FIND(":",MID(TRIM(MID(SUBSTITUTE(K169,";",REPT(" ",99)),199,99)),FIND(":",TRIM(MID(SUBSTITUTE(K169,";",REPT(" ",99)),199,99)))+1,999))-1),_Lookup!$A:$B,2,FALSE),"?")&amp;"×"&amp;LEFT(MID(MID(TRIM(MID(SUBSTITUTE(K169,";",REPT(" ",99)),199,99)),FIND(":",TRIM(MID(SUBSTITUTE(K169,";",REPT(" ",99)),199,99)))+1,999),FIND(":",MID(TRIM(MID(SUBSTITUTE(K169,";",REPT(" ",99)),199,99)),FIND(":",TRIM(MID(SUBSTITUTE(K169,";",REPT(" ",99)),199,99)))+1,999))+1,999),FIND(":",MID(MID(TRIM(MID(SUBSTITUTE(K169,";",REPT(" ",99)),199,99)),FIND(":",TRIM(MID(SUBSTITUTE(K169,";",REPT(" ",99)),199,99)))+1,999),FIND(":",MID(TRIM(MID(SUBSTITUTE(K169,";",REPT(" ",99)),199,99)),FIND(":",TRIM(MID(SUBSTITUTE(K169,";",REPT(" ",99)),199,99)))+1,999))+1,999))-1)),IF(TRIM(MID(SUBSTITUTE(K169,";",REPT(" ",99)),298,99))="","",IFERROR(VLOOKUP(--LEFT(MID(TRIM(MID(SUBSTITUTE(K169,";",REPT(" ",99)),298,99)),FIND(":",TRIM(MID(SUBSTITUTE(K169,";",REPT(" ",99)),298,99)))+1,999),FIND(":",MID(TRIM(MID(SUBSTITUTE(K169,";",REPT(" ",99)),298,99)),FIND(":",TRIM(MID(SUBSTITUTE(K169,";",REPT(" ",99)),298,99)))+1,999))-1),_Lookup!$A:$B,2,FALSE),"?")&amp;"×"&amp;LEFT(MID(MID(TRIM(MID(SUBSTITUTE(K169,";",REPT(" ",99)),298,99)),FIND(":",TRIM(MID(SUBSTITUTE(K169,";",REPT(" ",99)),298,99)))+1,999),FIND(":",MID(TRIM(MID(SUBSTITUTE(K169,";",REPT(" ",99)),298,99)),FIND(":",TRIM(MID(SUBSTITUTE(K169,";",REPT(" ",99)),298,99)))+1,999))+1,999),FIND(":",MID(MID(TRIM(MID(SUBSTITUTE(K169,";",REPT(" ",99)),298,99)),FIND(":",TRIM(MID(SUBSTITUTE(K169,";",REPT(" ",99)),298,99)))+1,999),FIND(":",MID(TRIM(MID(SUBSTITUTE(K169,";",REPT(" ",99)),298,99)),FIND(":",TRIM(MID(SUBSTITUTE(K169,";",REPT(" ",99)),298,99)))+1,999))+1,999))-1)),IF(TRIM(MID(SUBSTITUTE(K169,";",REPT(" ",99)),397,99))="","",IFERROR(VLOOKUP(--LEFT(MID(TRIM(MID(SUBSTITUTE(K169,";",REPT(" ",99)),397,99)),FIND(":",TRIM(MID(SUBSTITUTE(K169,";",REPT(" ",99)),397,99)))+1,999),FIND(":",MID(TRIM(MID(SUBSTITUTE(K169,";",REPT(" ",99)),397,99)),FIND(":",TRIM(MID(SUBSTITUTE(K169,";",REPT(" ",99)),397,99)))+1,999))-1),_Lookup!$A:$B,2,FALSE),"?")&amp;"×"&amp;LEFT(MID(MID(TRIM(MID(SUBSTITUTE(K169,";",REPT(" ",99)),397,99)),FIND(":",TRIM(MID(SUBSTITUTE(K169,";",REPT(" ",99)),397,99)))+1,999),FIND(":",MID(TRIM(MID(SUBSTITUTE(K169,";",REPT(" ",99)),397,99)),FIND(":",TRIM(MID(SUBSTITUTE(K169,";",REPT(" ",99)),397,99)))+1,999))+1,999),FIND(":",MID(MID(TRIM(MID(SUBSTITUTE(K169,";",REPT(" ",99)),397,99)),FIND(":",TRIM(MID(SUBSTITUTE(K169,";",REPT(" ",99)),397,99)))+1,999),FIND(":",MID(TRIM(MID(SUBSTITUTE(K169,";",REPT(" ",99)),397,99)),FIND(":",TRIM(MID(SUBSTITUTE(K169,";",REPT(" ",99)),397,99)))+1,999))+1,999))-1))))</f>
        <v/>
      </c>
    </row>
    <row r="170">
      <c r="D170" s="11">
        <f>IFERROR(VLOOKUP(C170,ItemData_Fish!$A:$B,2,FALSE),"")</f>
        <v/>
      </c>
      <c r="L170" s="11">
        <f>IF(K170="","",TEXTJOIN("; ",TRUE,IF(TRIM(MID(SUBSTITUTE(K170,";",REPT(" ",99)),1,99))="","",IFERROR(VLOOKUP(--LEFT(MID(TRIM(MID(SUBSTITUTE(K170,";",REPT(" ",99)),1,99)),FIND(":",TRIM(MID(SUBSTITUTE(K170,";",REPT(" ",99)),1,99)))+1,999),FIND(":",MID(TRIM(MID(SUBSTITUTE(K170,";",REPT(" ",99)),1,99)),FIND(":",TRIM(MID(SUBSTITUTE(K170,";",REPT(" ",99)),1,99)))+1,999))-1),_Lookup!$A:$B,2,FALSE),"?")&amp;"×"&amp;LEFT(MID(MID(TRIM(MID(SUBSTITUTE(K170,";",REPT(" ",99)),1,99)),FIND(":",TRIM(MID(SUBSTITUTE(K170,";",REPT(" ",99)),1,99)))+1,999),FIND(":",MID(TRIM(MID(SUBSTITUTE(K170,";",REPT(" ",99)),1,99)),FIND(":",TRIM(MID(SUBSTITUTE(K170,";",REPT(" ",99)),1,99)))+1,999))+1,999),FIND(":",MID(MID(TRIM(MID(SUBSTITUTE(K170,";",REPT(" ",99)),1,99)),FIND(":",TRIM(MID(SUBSTITUTE(K170,";",REPT(" ",99)),1,99)))+1,999),FIND(":",MID(TRIM(MID(SUBSTITUTE(K170,";",REPT(" ",99)),1,99)),FIND(":",TRIM(MID(SUBSTITUTE(K170,";",REPT(" ",99)),1,99)))+1,999))+1,999))-1)),IF(TRIM(MID(SUBSTITUTE(K170,";",REPT(" ",99)),100,99))="","",IFERROR(VLOOKUP(--LEFT(MID(TRIM(MID(SUBSTITUTE(K170,";",REPT(" ",99)),100,99)),FIND(":",TRIM(MID(SUBSTITUTE(K170,";",REPT(" ",99)),100,99)))+1,999),FIND(":",MID(TRIM(MID(SUBSTITUTE(K170,";",REPT(" ",99)),100,99)),FIND(":",TRIM(MID(SUBSTITUTE(K170,";",REPT(" ",99)),100,99)))+1,999))-1),_Lookup!$A:$B,2,FALSE),"?")&amp;"×"&amp;LEFT(MID(MID(TRIM(MID(SUBSTITUTE(K170,";",REPT(" ",99)),100,99)),FIND(":",TRIM(MID(SUBSTITUTE(K170,";",REPT(" ",99)),100,99)))+1,999),FIND(":",MID(TRIM(MID(SUBSTITUTE(K170,";",REPT(" ",99)),100,99)),FIND(":",TRIM(MID(SUBSTITUTE(K170,";",REPT(" ",99)),100,99)))+1,999))+1,999),FIND(":",MID(MID(TRIM(MID(SUBSTITUTE(K170,";",REPT(" ",99)),100,99)),FIND(":",TRIM(MID(SUBSTITUTE(K170,";",REPT(" ",99)),100,99)))+1,999),FIND(":",MID(TRIM(MID(SUBSTITUTE(K170,";",REPT(" ",99)),100,99)),FIND(":",TRIM(MID(SUBSTITUTE(K170,";",REPT(" ",99)),100,99)))+1,999))+1,999))-1)),IF(TRIM(MID(SUBSTITUTE(K170,";",REPT(" ",99)),199,99))="","",IFERROR(VLOOKUP(--LEFT(MID(TRIM(MID(SUBSTITUTE(K170,";",REPT(" ",99)),199,99)),FIND(":",TRIM(MID(SUBSTITUTE(K170,";",REPT(" ",99)),199,99)))+1,999),FIND(":",MID(TRIM(MID(SUBSTITUTE(K170,";",REPT(" ",99)),199,99)),FIND(":",TRIM(MID(SUBSTITUTE(K170,";",REPT(" ",99)),199,99)))+1,999))-1),_Lookup!$A:$B,2,FALSE),"?")&amp;"×"&amp;LEFT(MID(MID(TRIM(MID(SUBSTITUTE(K170,";",REPT(" ",99)),199,99)),FIND(":",TRIM(MID(SUBSTITUTE(K170,";",REPT(" ",99)),199,99)))+1,999),FIND(":",MID(TRIM(MID(SUBSTITUTE(K170,";",REPT(" ",99)),199,99)),FIND(":",TRIM(MID(SUBSTITUTE(K170,";",REPT(" ",99)),199,99)))+1,999))+1,999),FIND(":",MID(MID(TRIM(MID(SUBSTITUTE(K170,";",REPT(" ",99)),199,99)),FIND(":",TRIM(MID(SUBSTITUTE(K170,";",REPT(" ",99)),199,99)))+1,999),FIND(":",MID(TRIM(MID(SUBSTITUTE(K170,";",REPT(" ",99)),199,99)),FIND(":",TRIM(MID(SUBSTITUTE(K170,";",REPT(" ",99)),199,99)))+1,999))+1,999))-1)),IF(TRIM(MID(SUBSTITUTE(K170,";",REPT(" ",99)),298,99))="","",IFERROR(VLOOKUP(--LEFT(MID(TRIM(MID(SUBSTITUTE(K170,";",REPT(" ",99)),298,99)),FIND(":",TRIM(MID(SUBSTITUTE(K170,";",REPT(" ",99)),298,99)))+1,999),FIND(":",MID(TRIM(MID(SUBSTITUTE(K170,";",REPT(" ",99)),298,99)),FIND(":",TRIM(MID(SUBSTITUTE(K170,";",REPT(" ",99)),298,99)))+1,999))-1),_Lookup!$A:$B,2,FALSE),"?")&amp;"×"&amp;LEFT(MID(MID(TRIM(MID(SUBSTITUTE(K170,";",REPT(" ",99)),298,99)),FIND(":",TRIM(MID(SUBSTITUTE(K170,";",REPT(" ",99)),298,99)))+1,999),FIND(":",MID(TRIM(MID(SUBSTITUTE(K170,";",REPT(" ",99)),298,99)),FIND(":",TRIM(MID(SUBSTITUTE(K170,";",REPT(" ",99)),298,99)))+1,999))+1,999),FIND(":",MID(MID(TRIM(MID(SUBSTITUTE(K170,";",REPT(" ",99)),298,99)),FIND(":",TRIM(MID(SUBSTITUTE(K170,";",REPT(" ",99)),298,99)))+1,999),FIND(":",MID(TRIM(MID(SUBSTITUTE(K170,";",REPT(" ",99)),298,99)),FIND(":",TRIM(MID(SUBSTITUTE(K170,";",REPT(" ",99)),298,99)))+1,999))+1,999))-1)),IF(TRIM(MID(SUBSTITUTE(K170,";",REPT(" ",99)),397,99))="","",IFERROR(VLOOKUP(--LEFT(MID(TRIM(MID(SUBSTITUTE(K170,";",REPT(" ",99)),397,99)),FIND(":",TRIM(MID(SUBSTITUTE(K170,";",REPT(" ",99)),397,99)))+1,999),FIND(":",MID(TRIM(MID(SUBSTITUTE(K170,";",REPT(" ",99)),397,99)),FIND(":",TRIM(MID(SUBSTITUTE(K170,";",REPT(" ",99)),397,99)))+1,999))-1),_Lookup!$A:$B,2,FALSE),"?")&amp;"×"&amp;LEFT(MID(MID(TRIM(MID(SUBSTITUTE(K170,";",REPT(" ",99)),397,99)),FIND(":",TRIM(MID(SUBSTITUTE(K170,";",REPT(" ",99)),397,99)))+1,999),FIND(":",MID(TRIM(MID(SUBSTITUTE(K170,";",REPT(" ",99)),397,99)),FIND(":",TRIM(MID(SUBSTITUTE(K170,";",REPT(" ",99)),397,99)))+1,999))+1,999),FIND(":",MID(MID(TRIM(MID(SUBSTITUTE(K170,";",REPT(" ",99)),397,99)),FIND(":",TRIM(MID(SUBSTITUTE(K170,";",REPT(" ",99)),397,99)))+1,999),FIND(":",MID(TRIM(MID(SUBSTITUTE(K170,";",REPT(" ",99)),397,99)),FIND(":",TRIM(MID(SUBSTITUTE(K170,";",REPT(" ",99)),397,99)))+1,999))+1,999))-1))))</f>
        <v/>
      </c>
    </row>
    <row r="171">
      <c r="D171" s="11">
        <f>IFERROR(VLOOKUP(C171,ItemData_Fish!$A:$B,2,FALSE),"")</f>
        <v/>
      </c>
      <c r="L171" s="11">
        <f>IF(K171="","",TEXTJOIN("; ",TRUE,IF(TRIM(MID(SUBSTITUTE(K171,";",REPT(" ",99)),1,99))="","",IFERROR(VLOOKUP(--LEFT(MID(TRIM(MID(SUBSTITUTE(K171,";",REPT(" ",99)),1,99)),FIND(":",TRIM(MID(SUBSTITUTE(K171,";",REPT(" ",99)),1,99)))+1,999),FIND(":",MID(TRIM(MID(SUBSTITUTE(K171,";",REPT(" ",99)),1,99)),FIND(":",TRIM(MID(SUBSTITUTE(K171,";",REPT(" ",99)),1,99)))+1,999))-1),_Lookup!$A:$B,2,FALSE),"?")&amp;"×"&amp;LEFT(MID(MID(TRIM(MID(SUBSTITUTE(K171,";",REPT(" ",99)),1,99)),FIND(":",TRIM(MID(SUBSTITUTE(K171,";",REPT(" ",99)),1,99)))+1,999),FIND(":",MID(TRIM(MID(SUBSTITUTE(K171,";",REPT(" ",99)),1,99)),FIND(":",TRIM(MID(SUBSTITUTE(K171,";",REPT(" ",99)),1,99)))+1,999))+1,999),FIND(":",MID(MID(TRIM(MID(SUBSTITUTE(K171,";",REPT(" ",99)),1,99)),FIND(":",TRIM(MID(SUBSTITUTE(K171,";",REPT(" ",99)),1,99)))+1,999),FIND(":",MID(TRIM(MID(SUBSTITUTE(K171,";",REPT(" ",99)),1,99)),FIND(":",TRIM(MID(SUBSTITUTE(K171,";",REPT(" ",99)),1,99)))+1,999))+1,999))-1)),IF(TRIM(MID(SUBSTITUTE(K171,";",REPT(" ",99)),100,99))="","",IFERROR(VLOOKUP(--LEFT(MID(TRIM(MID(SUBSTITUTE(K171,";",REPT(" ",99)),100,99)),FIND(":",TRIM(MID(SUBSTITUTE(K171,";",REPT(" ",99)),100,99)))+1,999),FIND(":",MID(TRIM(MID(SUBSTITUTE(K171,";",REPT(" ",99)),100,99)),FIND(":",TRIM(MID(SUBSTITUTE(K171,";",REPT(" ",99)),100,99)))+1,999))-1),_Lookup!$A:$B,2,FALSE),"?")&amp;"×"&amp;LEFT(MID(MID(TRIM(MID(SUBSTITUTE(K171,";",REPT(" ",99)),100,99)),FIND(":",TRIM(MID(SUBSTITUTE(K171,";",REPT(" ",99)),100,99)))+1,999),FIND(":",MID(TRIM(MID(SUBSTITUTE(K171,";",REPT(" ",99)),100,99)),FIND(":",TRIM(MID(SUBSTITUTE(K171,";",REPT(" ",99)),100,99)))+1,999))+1,999),FIND(":",MID(MID(TRIM(MID(SUBSTITUTE(K171,";",REPT(" ",99)),100,99)),FIND(":",TRIM(MID(SUBSTITUTE(K171,";",REPT(" ",99)),100,99)))+1,999),FIND(":",MID(TRIM(MID(SUBSTITUTE(K171,";",REPT(" ",99)),100,99)),FIND(":",TRIM(MID(SUBSTITUTE(K171,";",REPT(" ",99)),100,99)))+1,999))+1,999))-1)),IF(TRIM(MID(SUBSTITUTE(K171,";",REPT(" ",99)),199,99))="","",IFERROR(VLOOKUP(--LEFT(MID(TRIM(MID(SUBSTITUTE(K171,";",REPT(" ",99)),199,99)),FIND(":",TRIM(MID(SUBSTITUTE(K171,";",REPT(" ",99)),199,99)))+1,999),FIND(":",MID(TRIM(MID(SUBSTITUTE(K171,";",REPT(" ",99)),199,99)),FIND(":",TRIM(MID(SUBSTITUTE(K171,";",REPT(" ",99)),199,99)))+1,999))-1),_Lookup!$A:$B,2,FALSE),"?")&amp;"×"&amp;LEFT(MID(MID(TRIM(MID(SUBSTITUTE(K171,";",REPT(" ",99)),199,99)),FIND(":",TRIM(MID(SUBSTITUTE(K171,";",REPT(" ",99)),199,99)))+1,999),FIND(":",MID(TRIM(MID(SUBSTITUTE(K171,";",REPT(" ",99)),199,99)),FIND(":",TRIM(MID(SUBSTITUTE(K171,";",REPT(" ",99)),199,99)))+1,999))+1,999),FIND(":",MID(MID(TRIM(MID(SUBSTITUTE(K171,";",REPT(" ",99)),199,99)),FIND(":",TRIM(MID(SUBSTITUTE(K171,";",REPT(" ",99)),199,99)))+1,999),FIND(":",MID(TRIM(MID(SUBSTITUTE(K171,";",REPT(" ",99)),199,99)),FIND(":",TRIM(MID(SUBSTITUTE(K171,";",REPT(" ",99)),199,99)))+1,999))+1,999))-1)),IF(TRIM(MID(SUBSTITUTE(K171,";",REPT(" ",99)),298,99))="","",IFERROR(VLOOKUP(--LEFT(MID(TRIM(MID(SUBSTITUTE(K171,";",REPT(" ",99)),298,99)),FIND(":",TRIM(MID(SUBSTITUTE(K171,";",REPT(" ",99)),298,99)))+1,999),FIND(":",MID(TRIM(MID(SUBSTITUTE(K171,";",REPT(" ",99)),298,99)),FIND(":",TRIM(MID(SUBSTITUTE(K171,";",REPT(" ",99)),298,99)))+1,999))-1),_Lookup!$A:$B,2,FALSE),"?")&amp;"×"&amp;LEFT(MID(MID(TRIM(MID(SUBSTITUTE(K171,";",REPT(" ",99)),298,99)),FIND(":",TRIM(MID(SUBSTITUTE(K171,";",REPT(" ",99)),298,99)))+1,999),FIND(":",MID(TRIM(MID(SUBSTITUTE(K171,";",REPT(" ",99)),298,99)),FIND(":",TRIM(MID(SUBSTITUTE(K171,";",REPT(" ",99)),298,99)))+1,999))+1,999),FIND(":",MID(MID(TRIM(MID(SUBSTITUTE(K171,";",REPT(" ",99)),298,99)),FIND(":",TRIM(MID(SUBSTITUTE(K171,";",REPT(" ",99)),298,99)))+1,999),FIND(":",MID(TRIM(MID(SUBSTITUTE(K171,";",REPT(" ",99)),298,99)),FIND(":",TRIM(MID(SUBSTITUTE(K171,";",REPT(" ",99)),298,99)))+1,999))+1,999))-1)),IF(TRIM(MID(SUBSTITUTE(K171,";",REPT(" ",99)),397,99))="","",IFERROR(VLOOKUP(--LEFT(MID(TRIM(MID(SUBSTITUTE(K171,";",REPT(" ",99)),397,99)),FIND(":",TRIM(MID(SUBSTITUTE(K171,";",REPT(" ",99)),397,99)))+1,999),FIND(":",MID(TRIM(MID(SUBSTITUTE(K171,";",REPT(" ",99)),397,99)),FIND(":",TRIM(MID(SUBSTITUTE(K171,";",REPT(" ",99)),397,99)))+1,999))-1),_Lookup!$A:$B,2,FALSE),"?")&amp;"×"&amp;LEFT(MID(MID(TRIM(MID(SUBSTITUTE(K171,";",REPT(" ",99)),397,99)),FIND(":",TRIM(MID(SUBSTITUTE(K171,";",REPT(" ",99)),397,99)))+1,999),FIND(":",MID(TRIM(MID(SUBSTITUTE(K171,";",REPT(" ",99)),397,99)),FIND(":",TRIM(MID(SUBSTITUTE(K171,";",REPT(" ",99)),397,99)))+1,999))+1,999),FIND(":",MID(MID(TRIM(MID(SUBSTITUTE(K171,";",REPT(" ",99)),397,99)),FIND(":",TRIM(MID(SUBSTITUTE(K171,";",REPT(" ",99)),397,99)))+1,999),FIND(":",MID(TRIM(MID(SUBSTITUTE(K171,";",REPT(" ",99)),397,99)),FIND(":",TRIM(MID(SUBSTITUTE(K171,";",REPT(" ",99)),397,99)))+1,999))+1,999))-1))))</f>
        <v/>
      </c>
    </row>
    <row r="172">
      <c r="D172" s="11">
        <f>IFERROR(VLOOKUP(C172,ItemData_Fish!$A:$B,2,FALSE),"")</f>
        <v/>
      </c>
      <c r="L172" s="11">
        <f>IF(K172="","",TEXTJOIN("; ",TRUE,IF(TRIM(MID(SUBSTITUTE(K172,";",REPT(" ",99)),1,99))="","",IFERROR(VLOOKUP(--LEFT(MID(TRIM(MID(SUBSTITUTE(K172,";",REPT(" ",99)),1,99)),FIND(":",TRIM(MID(SUBSTITUTE(K172,";",REPT(" ",99)),1,99)))+1,999),FIND(":",MID(TRIM(MID(SUBSTITUTE(K172,";",REPT(" ",99)),1,99)),FIND(":",TRIM(MID(SUBSTITUTE(K172,";",REPT(" ",99)),1,99)))+1,999))-1),_Lookup!$A:$B,2,FALSE),"?")&amp;"×"&amp;LEFT(MID(MID(TRIM(MID(SUBSTITUTE(K172,";",REPT(" ",99)),1,99)),FIND(":",TRIM(MID(SUBSTITUTE(K172,";",REPT(" ",99)),1,99)))+1,999),FIND(":",MID(TRIM(MID(SUBSTITUTE(K172,";",REPT(" ",99)),1,99)),FIND(":",TRIM(MID(SUBSTITUTE(K172,";",REPT(" ",99)),1,99)))+1,999))+1,999),FIND(":",MID(MID(TRIM(MID(SUBSTITUTE(K172,";",REPT(" ",99)),1,99)),FIND(":",TRIM(MID(SUBSTITUTE(K172,";",REPT(" ",99)),1,99)))+1,999),FIND(":",MID(TRIM(MID(SUBSTITUTE(K172,";",REPT(" ",99)),1,99)),FIND(":",TRIM(MID(SUBSTITUTE(K172,";",REPT(" ",99)),1,99)))+1,999))+1,999))-1)),IF(TRIM(MID(SUBSTITUTE(K172,";",REPT(" ",99)),100,99))="","",IFERROR(VLOOKUP(--LEFT(MID(TRIM(MID(SUBSTITUTE(K172,";",REPT(" ",99)),100,99)),FIND(":",TRIM(MID(SUBSTITUTE(K172,";",REPT(" ",99)),100,99)))+1,999),FIND(":",MID(TRIM(MID(SUBSTITUTE(K172,";",REPT(" ",99)),100,99)),FIND(":",TRIM(MID(SUBSTITUTE(K172,";",REPT(" ",99)),100,99)))+1,999))-1),_Lookup!$A:$B,2,FALSE),"?")&amp;"×"&amp;LEFT(MID(MID(TRIM(MID(SUBSTITUTE(K172,";",REPT(" ",99)),100,99)),FIND(":",TRIM(MID(SUBSTITUTE(K172,";",REPT(" ",99)),100,99)))+1,999),FIND(":",MID(TRIM(MID(SUBSTITUTE(K172,";",REPT(" ",99)),100,99)),FIND(":",TRIM(MID(SUBSTITUTE(K172,";",REPT(" ",99)),100,99)))+1,999))+1,999),FIND(":",MID(MID(TRIM(MID(SUBSTITUTE(K172,";",REPT(" ",99)),100,99)),FIND(":",TRIM(MID(SUBSTITUTE(K172,";",REPT(" ",99)),100,99)))+1,999),FIND(":",MID(TRIM(MID(SUBSTITUTE(K172,";",REPT(" ",99)),100,99)),FIND(":",TRIM(MID(SUBSTITUTE(K172,";",REPT(" ",99)),100,99)))+1,999))+1,999))-1)),IF(TRIM(MID(SUBSTITUTE(K172,";",REPT(" ",99)),199,99))="","",IFERROR(VLOOKUP(--LEFT(MID(TRIM(MID(SUBSTITUTE(K172,";",REPT(" ",99)),199,99)),FIND(":",TRIM(MID(SUBSTITUTE(K172,";",REPT(" ",99)),199,99)))+1,999),FIND(":",MID(TRIM(MID(SUBSTITUTE(K172,";",REPT(" ",99)),199,99)),FIND(":",TRIM(MID(SUBSTITUTE(K172,";",REPT(" ",99)),199,99)))+1,999))-1),_Lookup!$A:$B,2,FALSE),"?")&amp;"×"&amp;LEFT(MID(MID(TRIM(MID(SUBSTITUTE(K172,";",REPT(" ",99)),199,99)),FIND(":",TRIM(MID(SUBSTITUTE(K172,";",REPT(" ",99)),199,99)))+1,999),FIND(":",MID(TRIM(MID(SUBSTITUTE(K172,";",REPT(" ",99)),199,99)),FIND(":",TRIM(MID(SUBSTITUTE(K172,";",REPT(" ",99)),199,99)))+1,999))+1,999),FIND(":",MID(MID(TRIM(MID(SUBSTITUTE(K172,";",REPT(" ",99)),199,99)),FIND(":",TRIM(MID(SUBSTITUTE(K172,";",REPT(" ",99)),199,99)))+1,999),FIND(":",MID(TRIM(MID(SUBSTITUTE(K172,";",REPT(" ",99)),199,99)),FIND(":",TRIM(MID(SUBSTITUTE(K172,";",REPT(" ",99)),199,99)))+1,999))+1,999))-1)),IF(TRIM(MID(SUBSTITUTE(K172,";",REPT(" ",99)),298,99))="","",IFERROR(VLOOKUP(--LEFT(MID(TRIM(MID(SUBSTITUTE(K172,";",REPT(" ",99)),298,99)),FIND(":",TRIM(MID(SUBSTITUTE(K172,";",REPT(" ",99)),298,99)))+1,999),FIND(":",MID(TRIM(MID(SUBSTITUTE(K172,";",REPT(" ",99)),298,99)),FIND(":",TRIM(MID(SUBSTITUTE(K172,";",REPT(" ",99)),298,99)))+1,999))-1),_Lookup!$A:$B,2,FALSE),"?")&amp;"×"&amp;LEFT(MID(MID(TRIM(MID(SUBSTITUTE(K172,";",REPT(" ",99)),298,99)),FIND(":",TRIM(MID(SUBSTITUTE(K172,";",REPT(" ",99)),298,99)))+1,999),FIND(":",MID(TRIM(MID(SUBSTITUTE(K172,";",REPT(" ",99)),298,99)),FIND(":",TRIM(MID(SUBSTITUTE(K172,";",REPT(" ",99)),298,99)))+1,999))+1,999),FIND(":",MID(MID(TRIM(MID(SUBSTITUTE(K172,";",REPT(" ",99)),298,99)),FIND(":",TRIM(MID(SUBSTITUTE(K172,";",REPT(" ",99)),298,99)))+1,999),FIND(":",MID(TRIM(MID(SUBSTITUTE(K172,";",REPT(" ",99)),298,99)),FIND(":",TRIM(MID(SUBSTITUTE(K172,";",REPT(" ",99)),298,99)))+1,999))+1,999))-1)),IF(TRIM(MID(SUBSTITUTE(K172,";",REPT(" ",99)),397,99))="","",IFERROR(VLOOKUP(--LEFT(MID(TRIM(MID(SUBSTITUTE(K172,";",REPT(" ",99)),397,99)),FIND(":",TRIM(MID(SUBSTITUTE(K172,";",REPT(" ",99)),397,99)))+1,999),FIND(":",MID(TRIM(MID(SUBSTITUTE(K172,";",REPT(" ",99)),397,99)),FIND(":",TRIM(MID(SUBSTITUTE(K172,";",REPT(" ",99)),397,99)))+1,999))-1),_Lookup!$A:$B,2,FALSE),"?")&amp;"×"&amp;LEFT(MID(MID(TRIM(MID(SUBSTITUTE(K172,";",REPT(" ",99)),397,99)),FIND(":",TRIM(MID(SUBSTITUTE(K172,";",REPT(" ",99)),397,99)))+1,999),FIND(":",MID(TRIM(MID(SUBSTITUTE(K172,";",REPT(" ",99)),397,99)),FIND(":",TRIM(MID(SUBSTITUTE(K172,";",REPT(" ",99)),397,99)))+1,999))+1,999),FIND(":",MID(MID(TRIM(MID(SUBSTITUTE(K172,";",REPT(" ",99)),397,99)),FIND(":",TRIM(MID(SUBSTITUTE(K172,";",REPT(" ",99)),397,99)))+1,999),FIND(":",MID(TRIM(MID(SUBSTITUTE(K172,";",REPT(" ",99)),397,99)),FIND(":",TRIM(MID(SUBSTITUTE(K172,";",REPT(" ",99)),397,99)))+1,999))+1,999))-1))))</f>
        <v/>
      </c>
    </row>
    <row r="173">
      <c r="D173" s="11">
        <f>IFERROR(VLOOKUP(C173,ItemData_Fish!$A:$B,2,FALSE),"")</f>
        <v/>
      </c>
      <c r="L173" s="11">
        <f>IF(K173="","",TEXTJOIN("; ",TRUE,IF(TRIM(MID(SUBSTITUTE(K173,";",REPT(" ",99)),1,99))="","",IFERROR(VLOOKUP(--LEFT(MID(TRIM(MID(SUBSTITUTE(K173,";",REPT(" ",99)),1,99)),FIND(":",TRIM(MID(SUBSTITUTE(K173,";",REPT(" ",99)),1,99)))+1,999),FIND(":",MID(TRIM(MID(SUBSTITUTE(K173,";",REPT(" ",99)),1,99)),FIND(":",TRIM(MID(SUBSTITUTE(K173,";",REPT(" ",99)),1,99)))+1,999))-1),_Lookup!$A:$B,2,FALSE),"?")&amp;"×"&amp;LEFT(MID(MID(TRIM(MID(SUBSTITUTE(K173,";",REPT(" ",99)),1,99)),FIND(":",TRIM(MID(SUBSTITUTE(K173,";",REPT(" ",99)),1,99)))+1,999),FIND(":",MID(TRIM(MID(SUBSTITUTE(K173,";",REPT(" ",99)),1,99)),FIND(":",TRIM(MID(SUBSTITUTE(K173,";",REPT(" ",99)),1,99)))+1,999))+1,999),FIND(":",MID(MID(TRIM(MID(SUBSTITUTE(K173,";",REPT(" ",99)),1,99)),FIND(":",TRIM(MID(SUBSTITUTE(K173,";",REPT(" ",99)),1,99)))+1,999),FIND(":",MID(TRIM(MID(SUBSTITUTE(K173,";",REPT(" ",99)),1,99)),FIND(":",TRIM(MID(SUBSTITUTE(K173,";",REPT(" ",99)),1,99)))+1,999))+1,999))-1)),IF(TRIM(MID(SUBSTITUTE(K173,";",REPT(" ",99)),100,99))="","",IFERROR(VLOOKUP(--LEFT(MID(TRIM(MID(SUBSTITUTE(K173,";",REPT(" ",99)),100,99)),FIND(":",TRIM(MID(SUBSTITUTE(K173,";",REPT(" ",99)),100,99)))+1,999),FIND(":",MID(TRIM(MID(SUBSTITUTE(K173,";",REPT(" ",99)),100,99)),FIND(":",TRIM(MID(SUBSTITUTE(K173,";",REPT(" ",99)),100,99)))+1,999))-1),_Lookup!$A:$B,2,FALSE),"?")&amp;"×"&amp;LEFT(MID(MID(TRIM(MID(SUBSTITUTE(K173,";",REPT(" ",99)),100,99)),FIND(":",TRIM(MID(SUBSTITUTE(K173,";",REPT(" ",99)),100,99)))+1,999),FIND(":",MID(TRIM(MID(SUBSTITUTE(K173,";",REPT(" ",99)),100,99)),FIND(":",TRIM(MID(SUBSTITUTE(K173,";",REPT(" ",99)),100,99)))+1,999))+1,999),FIND(":",MID(MID(TRIM(MID(SUBSTITUTE(K173,";",REPT(" ",99)),100,99)),FIND(":",TRIM(MID(SUBSTITUTE(K173,";",REPT(" ",99)),100,99)))+1,999),FIND(":",MID(TRIM(MID(SUBSTITUTE(K173,";",REPT(" ",99)),100,99)),FIND(":",TRIM(MID(SUBSTITUTE(K173,";",REPT(" ",99)),100,99)))+1,999))+1,999))-1)),IF(TRIM(MID(SUBSTITUTE(K173,";",REPT(" ",99)),199,99))="","",IFERROR(VLOOKUP(--LEFT(MID(TRIM(MID(SUBSTITUTE(K173,";",REPT(" ",99)),199,99)),FIND(":",TRIM(MID(SUBSTITUTE(K173,";",REPT(" ",99)),199,99)))+1,999),FIND(":",MID(TRIM(MID(SUBSTITUTE(K173,";",REPT(" ",99)),199,99)),FIND(":",TRIM(MID(SUBSTITUTE(K173,";",REPT(" ",99)),199,99)))+1,999))-1),_Lookup!$A:$B,2,FALSE),"?")&amp;"×"&amp;LEFT(MID(MID(TRIM(MID(SUBSTITUTE(K173,";",REPT(" ",99)),199,99)),FIND(":",TRIM(MID(SUBSTITUTE(K173,";",REPT(" ",99)),199,99)))+1,999),FIND(":",MID(TRIM(MID(SUBSTITUTE(K173,";",REPT(" ",99)),199,99)),FIND(":",TRIM(MID(SUBSTITUTE(K173,";",REPT(" ",99)),199,99)))+1,999))+1,999),FIND(":",MID(MID(TRIM(MID(SUBSTITUTE(K173,";",REPT(" ",99)),199,99)),FIND(":",TRIM(MID(SUBSTITUTE(K173,";",REPT(" ",99)),199,99)))+1,999),FIND(":",MID(TRIM(MID(SUBSTITUTE(K173,";",REPT(" ",99)),199,99)),FIND(":",TRIM(MID(SUBSTITUTE(K173,";",REPT(" ",99)),199,99)))+1,999))+1,999))-1)),IF(TRIM(MID(SUBSTITUTE(K173,";",REPT(" ",99)),298,99))="","",IFERROR(VLOOKUP(--LEFT(MID(TRIM(MID(SUBSTITUTE(K173,";",REPT(" ",99)),298,99)),FIND(":",TRIM(MID(SUBSTITUTE(K173,";",REPT(" ",99)),298,99)))+1,999),FIND(":",MID(TRIM(MID(SUBSTITUTE(K173,";",REPT(" ",99)),298,99)),FIND(":",TRIM(MID(SUBSTITUTE(K173,";",REPT(" ",99)),298,99)))+1,999))-1),_Lookup!$A:$B,2,FALSE),"?")&amp;"×"&amp;LEFT(MID(MID(TRIM(MID(SUBSTITUTE(K173,";",REPT(" ",99)),298,99)),FIND(":",TRIM(MID(SUBSTITUTE(K173,";",REPT(" ",99)),298,99)))+1,999),FIND(":",MID(TRIM(MID(SUBSTITUTE(K173,";",REPT(" ",99)),298,99)),FIND(":",TRIM(MID(SUBSTITUTE(K173,";",REPT(" ",99)),298,99)))+1,999))+1,999),FIND(":",MID(MID(TRIM(MID(SUBSTITUTE(K173,";",REPT(" ",99)),298,99)),FIND(":",TRIM(MID(SUBSTITUTE(K173,";",REPT(" ",99)),298,99)))+1,999),FIND(":",MID(TRIM(MID(SUBSTITUTE(K173,";",REPT(" ",99)),298,99)),FIND(":",TRIM(MID(SUBSTITUTE(K173,";",REPT(" ",99)),298,99)))+1,999))+1,999))-1)),IF(TRIM(MID(SUBSTITUTE(K173,";",REPT(" ",99)),397,99))="","",IFERROR(VLOOKUP(--LEFT(MID(TRIM(MID(SUBSTITUTE(K173,";",REPT(" ",99)),397,99)),FIND(":",TRIM(MID(SUBSTITUTE(K173,";",REPT(" ",99)),397,99)))+1,999),FIND(":",MID(TRIM(MID(SUBSTITUTE(K173,";",REPT(" ",99)),397,99)),FIND(":",TRIM(MID(SUBSTITUTE(K173,";",REPT(" ",99)),397,99)))+1,999))-1),_Lookup!$A:$B,2,FALSE),"?")&amp;"×"&amp;LEFT(MID(MID(TRIM(MID(SUBSTITUTE(K173,";",REPT(" ",99)),397,99)),FIND(":",TRIM(MID(SUBSTITUTE(K173,";",REPT(" ",99)),397,99)))+1,999),FIND(":",MID(TRIM(MID(SUBSTITUTE(K173,";",REPT(" ",99)),397,99)),FIND(":",TRIM(MID(SUBSTITUTE(K173,";",REPT(" ",99)),397,99)))+1,999))+1,999),FIND(":",MID(MID(TRIM(MID(SUBSTITUTE(K173,";",REPT(" ",99)),397,99)),FIND(":",TRIM(MID(SUBSTITUTE(K173,";",REPT(" ",99)),397,99)))+1,999),FIND(":",MID(TRIM(MID(SUBSTITUTE(K173,";",REPT(" ",99)),397,99)),FIND(":",TRIM(MID(SUBSTITUTE(K173,";",REPT(" ",99)),397,99)))+1,999))+1,999))-1))))</f>
        <v/>
      </c>
    </row>
    <row r="174">
      <c r="D174" s="11">
        <f>IFERROR(VLOOKUP(C174,ItemData_Fish!$A:$B,2,FALSE),"")</f>
        <v/>
      </c>
      <c r="L174" s="11">
        <f>IF(K174="","",TEXTJOIN("; ",TRUE,IF(TRIM(MID(SUBSTITUTE(K174,";",REPT(" ",99)),1,99))="","",IFERROR(VLOOKUP(--LEFT(MID(TRIM(MID(SUBSTITUTE(K174,";",REPT(" ",99)),1,99)),FIND(":",TRIM(MID(SUBSTITUTE(K174,";",REPT(" ",99)),1,99)))+1,999),FIND(":",MID(TRIM(MID(SUBSTITUTE(K174,";",REPT(" ",99)),1,99)),FIND(":",TRIM(MID(SUBSTITUTE(K174,";",REPT(" ",99)),1,99)))+1,999))-1),_Lookup!$A:$B,2,FALSE),"?")&amp;"×"&amp;LEFT(MID(MID(TRIM(MID(SUBSTITUTE(K174,";",REPT(" ",99)),1,99)),FIND(":",TRIM(MID(SUBSTITUTE(K174,";",REPT(" ",99)),1,99)))+1,999),FIND(":",MID(TRIM(MID(SUBSTITUTE(K174,";",REPT(" ",99)),1,99)),FIND(":",TRIM(MID(SUBSTITUTE(K174,";",REPT(" ",99)),1,99)))+1,999))+1,999),FIND(":",MID(MID(TRIM(MID(SUBSTITUTE(K174,";",REPT(" ",99)),1,99)),FIND(":",TRIM(MID(SUBSTITUTE(K174,";",REPT(" ",99)),1,99)))+1,999),FIND(":",MID(TRIM(MID(SUBSTITUTE(K174,";",REPT(" ",99)),1,99)),FIND(":",TRIM(MID(SUBSTITUTE(K174,";",REPT(" ",99)),1,99)))+1,999))+1,999))-1)),IF(TRIM(MID(SUBSTITUTE(K174,";",REPT(" ",99)),100,99))="","",IFERROR(VLOOKUP(--LEFT(MID(TRIM(MID(SUBSTITUTE(K174,";",REPT(" ",99)),100,99)),FIND(":",TRIM(MID(SUBSTITUTE(K174,";",REPT(" ",99)),100,99)))+1,999),FIND(":",MID(TRIM(MID(SUBSTITUTE(K174,";",REPT(" ",99)),100,99)),FIND(":",TRIM(MID(SUBSTITUTE(K174,";",REPT(" ",99)),100,99)))+1,999))-1),_Lookup!$A:$B,2,FALSE),"?")&amp;"×"&amp;LEFT(MID(MID(TRIM(MID(SUBSTITUTE(K174,";",REPT(" ",99)),100,99)),FIND(":",TRIM(MID(SUBSTITUTE(K174,";",REPT(" ",99)),100,99)))+1,999),FIND(":",MID(TRIM(MID(SUBSTITUTE(K174,";",REPT(" ",99)),100,99)),FIND(":",TRIM(MID(SUBSTITUTE(K174,";",REPT(" ",99)),100,99)))+1,999))+1,999),FIND(":",MID(MID(TRIM(MID(SUBSTITUTE(K174,";",REPT(" ",99)),100,99)),FIND(":",TRIM(MID(SUBSTITUTE(K174,";",REPT(" ",99)),100,99)))+1,999),FIND(":",MID(TRIM(MID(SUBSTITUTE(K174,";",REPT(" ",99)),100,99)),FIND(":",TRIM(MID(SUBSTITUTE(K174,";",REPT(" ",99)),100,99)))+1,999))+1,999))-1)),IF(TRIM(MID(SUBSTITUTE(K174,";",REPT(" ",99)),199,99))="","",IFERROR(VLOOKUP(--LEFT(MID(TRIM(MID(SUBSTITUTE(K174,";",REPT(" ",99)),199,99)),FIND(":",TRIM(MID(SUBSTITUTE(K174,";",REPT(" ",99)),199,99)))+1,999),FIND(":",MID(TRIM(MID(SUBSTITUTE(K174,";",REPT(" ",99)),199,99)),FIND(":",TRIM(MID(SUBSTITUTE(K174,";",REPT(" ",99)),199,99)))+1,999))-1),_Lookup!$A:$B,2,FALSE),"?")&amp;"×"&amp;LEFT(MID(MID(TRIM(MID(SUBSTITUTE(K174,";",REPT(" ",99)),199,99)),FIND(":",TRIM(MID(SUBSTITUTE(K174,";",REPT(" ",99)),199,99)))+1,999),FIND(":",MID(TRIM(MID(SUBSTITUTE(K174,";",REPT(" ",99)),199,99)),FIND(":",TRIM(MID(SUBSTITUTE(K174,";",REPT(" ",99)),199,99)))+1,999))+1,999),FIND(":",MID(MID(TRIM(MID(SUBSTITUTE(K174,";",REPT(" ",99)),199,99)),FIND(":",TRIM(MID(SUBSTITUTE(K174,";",REPT(" ",99)),199,99)))+1,999),FIND(":",MID(TRIM(MID(SUBSTITUTE(K174,";",REPT(" ",99)),199,99)),FIND(":",TRIM(MID(SUBSTITUTE(K174,";",REPT(" ",99)),199,99)))+1,999))+1,999))-1)),IF(TRIM(MID(SUBSTITUTE(K174,";",REPT(" ",99)),298,99))="","",IFERROR(VLOOKUP(--LEFT(MID(TRIM(MID(SUBSTITUTE(K174,";",REPT(" ",99)),298,99)),FIND(":",TRIM(MID(SUBSTITUTE(K174,";",REPT(" ",99)),298,99)))+1,999),FIND(":",MID(TRIM(MID(SUBSTITUTE(K174,";",REPT(" ",99)),298,99)),FIND(":",TRIM(MID(SUBSTITUTE(K174,";",REPT(" ",99)),298,99)))+1,999))-1),_Lookup!$A:$B,2,FALSE),"?")&amp;"×"&amp;LEFT(MID(MID(TRIM(MID(SUBSTITUTE(K174,";",REPT(" ",99)),298,99)),FIND(":",TRIM(MID(SUBSTITUTE(K174,";",REPT(" ",99)),298,99)))+1,999),FIND(":",MID(TRIM(MID(SUBSTITUTE(K174,";",REPT(" ",99)),298,99)),FIND(":",TRIM(MID(SUBSTITUTE(K174,";",REPT(" ",99)),298,99)))+1,999))+1,999),FIND(":",MID(MID(TRIM(MID(SUBSTITUTE(K174,";",REPT(" ",99)),298,99)),FIND(":",TRIM(MID(SUBSTITUTE(K174,";",REPT(" ",99)),298,99)))+1,999),FIND(":",MID(TRIM(MID(SUBSTITUTE(K174,";",REPT(" ",99)),298,99)),FIND(":",TRIM(MID(SUBSTITUTE(K174,";",REPT(" ",99)),298,99)))+1,999))+1,999))-1)),IF(TRIM(MID(SUBSTITUTE(K174,";",REPT(" ",99)),397,99))="","",IFERROR(VLOOKUP(--LEFT(MID(TRIM(MID(SUBSTITUTE(K174,";",REPT(" ",99)),397,99)),FIND(":",TRIM(MID(SUBSTITUTE(K174,";",REPT(" ",99)),397,99)))+1,999),FIND(":",MID(TRIM(MID(SUBSTITUTE(K174,";",REPT(" ",99)),397,99)),FIND(":",TRIM(MID(SUBSTITUTE(K174,";",REPT(" ",99)),397,99)))+1,999))-1),_Lookup!$A:$B,2,FALSE),"?")&amp;"×"&amp;LEFT(MID(MID(TRIM(MID(SUBSTITUTE(K174,";",REPT(" ",99)),397,99)),FIND(":",TRIM(MID(SUBSTITUTE(K174,";",REPT(" ",99)),397,99)))+1,999),FIND(":",MID(TRIM(MID(SUBSTITUTE(K174,";",REPT(" ",99)),397,99)),FIND(":",TRIM(MID(SUBSTITUTE(K174,";",REPT(" ",99)),397,99)))+1,999))+1,999),FIND(":",MID(MID(TRIM(MID(SUBSTITUTE(K174,";",REPT(" ",99)),397,99)),FIND(":",TRIM(MID(SUBSTITUTE(K174,";",REPT(" ",99)),397,99)))+1,999),FIND(":",MID(TRIM(MID(SUBSTITUTE(K174,";",REPT(" ",99)),397,99)),FIND(":",TRIM(MID(SUBSTITUTE(K174,";",REPT(" ",99)),397,99)))+1,999))+1,999))-1))))</f>
        <v/>
      </c>
    </row>
    <row r="175">
      <c r="D175" s="11">
        <f>IFERROR(VLOOKUP(C175,ItemData_Fish!$A:$B,2,FALSE),"")</f>
        <v/>
      </c>
      <c r="L175" s="11">
        <f>IF(K175="","",TEXTJOIN("; ",TRUE,IF(TRIM(MID(SUBSTITUTE(K175,";",REPT(" ",99)),1,99))="","",IFERROR(VLOOKUP(--LEFT(MID(TRIM(MID(SUBSTITUTE(K175,";",REPT(" ",99)),1,99)),FIND(":",TRIM(MID(SUBSTITUTE(K175,";",REPT(" ",99)),1,99)))+1,999),FIND(":",MID(TRIM(MID(SUBSTITUTE(K175,";",REPT(" ",99)),1,99)),FIND(":",TRIM(MID(SUBSTITUTE(K175,";",REPT(" ",99)),1,99)))+1,999))-1),_Lookup!$A:$B,2,FALSE),"?")&amp;"×"&amp;LEFT(MID(MID(TRIM(MID(SUBSTITUTE(K175,";",REPT(" ",99)),1,99)),FIND(":",TRIM(MID(SUBSTITUTE(K175,";",REPT(" ",99)),1,99)))+1,999),FIND(":",MID(TRIM(MID(SUBSTITUTE(K175,";",REPT(" ",99)),1,99)),FIND(":",TRIM(MID(SUBSTITUTE(K175,";",REPT(" ",99)),1,99)))+1,999))+1,999),FIND(":",MID(MID(TRIM(MID(SUBSTITUTE(K175,";",REPT(" ",99)),1,99)),FIND(":",TRIM(MID(SUBSTITUTE(K175,";",REPT(" ",99)),1,99)))+1,999),FIND(":",MID(TRIM(MID(SUBSTITUTE(K175,";",REPT(" ",99)),1,99)),FIND(":",TRIM(MID(SUBSTITUTE(K175,";",REPT(" ",99)),1,99)))+1,999))+1,999))-1)),IF(TRIM(MID(SUBSTITUTE(K175,";",REPT(" ",99)),100,99))="","",IFERROR(VLOOKUP(--LEFT(MID(TRIM(MID(SUBSTITUTE(K175,";",REPT(" ",99)),100,99)),FIND(":",TRIM(MID(SUBSTITUTE(K175,";",REPT(" ",99)),100,99)))+1,999),FIND(":",MID(TRIM(MID(SUBSTITUTE(K175,";",REPT(" ",99)),100,99)),FIND(":",TRIM(MID(SUBSTITUTE(K175,";",REPT(" ",99)),100,99)))+1,999))-1),_Lookup!$A:$B,2,FALSE),"?")&amp;"×"&amp;LEFT(MID(MID(TRIM(MID(SUBSTITUTE(K175,";",REPT(" ",99)),100,99)),FIND(":",TRIM(MID(SUBSTITUTE(K175,";",REPT(" ",99)),100,99)))+1,999),FIND(":",MID(TRIM(MID(SUBSTITUTE(K175,";",REPT(" ",99)),100,99)),FIND(":",TRIM(MID(SUBSTITUTE(K175,";",REPT(" ",99)),100,99)))+1,999))+1,999),FIND(":",MID(MID(TRIM(MID(SUBSTITUTE(K175,";",REPT(" ",99)),100,99)),FIND(":",TRIM(MID(SUBSTITUTE(K175,";",REPT(" ",99)),100,99)))+1,999),FIND(":",MID(TRIM(MID(SUBSTITUTE(K175,";",REPT(" ",99)),100,99)),FIND(":",TRIM(MID(SUBSTITUTE(K175,";",REPT(" ",99)),100,99)))+1,999))+1,999))-1)),IF(TRIM(MID(SUBSTITUTE(K175,";",REPT(" ",99)),199,99))="","",IFERROR(VLOOKUP(--LEFT(MID(TRIM(MID(SUBSTITUTE(K175,";",REPT(" ",99)),199,99)),FIND(":",TRIM(MID(SUBSTITUTE(K175,";",REPT(" ",99)),199,99)))+1,999),FIND(":",MID(TRIM(MID(SUBSTITUTE(K175,";",REPT(" ",99)),199,99)),FIND(":",TRIM(MID(SUBSTITUTE(K175,";",REPT(" ",99)),199,99)))+1,999))-1),_Lookup!$A:$B,2,FALSE),"?")&amp;"×"&amp;LEFT(MID(MID(TRIM(MID(SUBSTITUTE(K175,";",REPT(" ",99)),199,99)),FIND(":",TRIM(MID(SUBSTITUTE(K175,";",REPT(" ",99)),199,99)))+1,999),FIND(":",MID(TRIM(MID(SUBSTITUTE(K175,";",REPT(" ",99)),199,99)),FIND(":",TRIM(MID(SUBSTITUTE(K175,";",REPT(" ",99)),199,99)))+1,999))+1,999),FIND(":",MID(MID(TRIM(MID(SUBSTITUTE(K175,";",REPT(" ",99)),199,99)),FIND(":",TRIM(MID(SUBSTITUTE(K175,";",REPT(" ",99)),199,99)))+1,999),FIND(":",MID(TRIM(MID(SUBSTITUTE(K175,";",REPT(" ",99)),199,99)),FIND(":",TRIM(MID(SUBSTITUTE(K175,";",REPT(" ",99)),199,99)))+1,999))+1,999))-1)),IF(TRIM(MID(SUBSTITUTE(K175,";",REPT(" ",99)),298,99))="","",IFERROR(VLOOKUP(--LEFT(MID(TRIM(MID(SUBSTITUTE(K175,";",REPT(" ",99)),298,99)),FIND(":",TRIM(MID(SUBSTITUTE(K175,";",REPT(" ",99)),298,99)))+1,999),FIND(":",MID(TRIM(MID(SUBSTITUTE(K175,";",REPT(" ",99)),298,99)),FIND(":",TRIM(MID(SUBSTITUTE(K175,";",REPT(" ",99)),298,99)))+1,999))-1),_Lookup!$A:$B,2,FALSE),"?")&amp;"×"&amp;LEFT(MID(MID(TRIM(MID(SUBSTITUTE(K175,";",REPT(" ",99)),298,99)),FIND(":",TRIM(MID(SUBSTITUTE(K175,";",REPT(" ",99)),298,99)))+1,999),FIND(":",MID(TRIM(MID(SUBSTITUTE(K175,";",REPT(" ",99)),298,99)),FIND(":",TRIM(MID(SUBSTITUTE(K175,";",REPT(" ",99)),298,99)))+1,999))+1,999),FIND(":",MID(MID(TRIM(MID(SUBSTITUTE(K175,";",REPT(" ",99)),298,99)),FIND(":",TRIM(MID(SUBSTITUTE(K175,";",REPT(" ",99)),298,99)))+1,999),FIND(":",MID(TRIM(MID(SUBSTITUTE(K175,";",REPT(" ",99)),298,99)),FIND(":",TRIM(MID(SUBSTITUTE(K175,";",REPT(" ",99)),298,99)))+1,999))+1,999))-1)),IF(TRIM(MID(SUBSTITUTE(K175,";",REPT(" ",99)),397,99))="","",IFERROR(VLOOKUP(--LEFT(MID(TRIM(MID(SUBSTITUTE(K175,";",REPT(" ",99)),397,99)),FIND(":",TRIM(MID(SUBSTITUTE(K175,";",REPT(" ",99)),397,99)))+1,999),FIND(":",MID(TRIM(MID(SUBSTITUTE(K175,";",REPT(" ",99)),397,99)),FIND(":",TRIM(MID(SUBSTITUTE(K175,";",REPT(" ",99)),397,99)))+1,999))-1),_Lookup!$A:$B,2,FALSE),"?")&amp;"×"&amp;LEFT(MID(MID(TRIM(MID(SUBSTITUTE(K175,";",REPT(" ",99)),397,99)),FIND(":",TRIM(MID(SUBSTITUTE(K175,";",REPT(" ",99)),397,99)))+1,999),FIND(":",MID(TRIM(MID(SUBSTITUTE(K175,";",REPT(" ",99)),397,99)),FIND(":",TRIM(MID(SUBSTITUTE(K175,";",REPT(" ",99)),397,99)))+1,999))+1,999),FIND(":",MID(MID(TRIM(MID(SUBSTITUTE(K175,";",REPT(" ",99)),397,99)),FIND(":",TRIM(MID(SUBSTITUTE(K175,";",REPT(" ",99)),397,99)))+1,999),FIND(":",MID(TRIM(MID(SUBSTITUTE(K175,";",REPT(" ",99)),397,99)),FIND(":",TRIM(MID(SUBSTITUTE(K175,";",REPT(" ",99)),397,99)))+1,999))+1,999))-1))))</f>
        <v/>
      </c>
    </row>
    <row r="176">
      <c r="D176" s="11">
        <f>IFERROR(VLOOKUP(C176,ItemData_Fish!$A:$B,2,FALSE),"")</f>
        <v/>
      </c>
      <c r="L176" s="11">
        <f>IF(K176="","",TEXTJOIN("; ",TRUE,IF(TRIM(MID(SUBSTITUTE(K176,";",REPT(" ",99)),1,99))="","",IFERROR(VLOOKUP(--LEFT(MID(TRIM(MID(SUBSTITUTE(K176,";",REPT(" ",99)),1,99)),FIND(":",TRIM(MID(SUBSTITUTE(K176,";",REPT(" ",99)),1,99)))+1,999),FIND(":",MID(TRIM(MID(SUBSTITUTE(K176,";",REPT(" ",99)),1,99)),FIND(":",TRIM(MID(SUBSTITUTE(K176,";",REPT(" ",99)),1,99)))+1,999))-1),_Lookup!$A:$B,2,FALSE),"?")&amp;"×"&amp;LEFT(MID(MID(TRIM(MID(SUBSTITUTE(K176,";",REPT(" ",99)),1,99)),FIND(":",TRIM(MID(SUBSTITUTE(K176,";",REPT(" ",99)),1,99)))+1,999),FIND(":",MID(TRIM(MID(SUBSTITUTE(K176,";",REPT(" ",99)),1,99)),FIND(":",TRIM(MID(SUBSTITUTE(K176,";",REPT(" ",99)),1,99)))+1,999))+1,999),FIND(":",MID(MID(TRIM(MID(SUBSTITUTE(K176,";",REPT(" ",99)),1,99)),FIND(":",TRIM(MID(SUBSTITUTE(K176,";",REPT(" ",99)),1,99)))+1,999),FIND(":",MID(TRIM(MID(SUBSTITUTE(K176,";",REPT(" ",99)),1,99)),FIND(":",TRIM(MID(SUBSTITUTE(K176,";",REPT(" ",99)),1,99)))+1,999))+1,999))-1)),IF(TRIM(MID(SUBSTITUTE(K176,";",REPT(" ",99)),100,99))="","",IFERROR(VLOOKUP(--LEFT(MID(TRIM(MID(SUBSTITUTE(K176,";",REPT(" ",99)),100,99)),FIND(":",TRIM(MID(SUBSTITUTE(K176,";",REPT(" ",99)),100,99)))+1,999),FIND(":",MID(TRIM(MID(SUBSTITUTE(K176,";",REPT(" ",99)),100,99)),FIND(":",TRIM(MID(SUBSTITUTE(K176,";",REPT(" ",99)),100,99)))+1,999))-1),_Lookup!$A:$B,2,FALSE),"?")&amp;"×"&amp;LEFT(MID(MID(TRIM(MID(SUBSTITUTE(K176,";",REPT(" ",99)),100,99)),FIND(":",TRIM(MID(SUBSTITUTE(K176,";",REPT(" ",99)),100,99)))+1,999),FIND(":",MID(TRIM(MID(SUBSTITUTE(K176,";",REPT(" ",99)),100,99)),FIND(":",TRIM(MID(SUBSTITUTE(K176,";",REPT(" ",99)),100,99)))+1,999))+1,999),FIND(":",MID(MID(TRIM(MID(SUBSTITUTE(K176,";",REPT(" ",99)),100,99)),FIND(":",TRIM(MID(SUBSTITUTE(K176,";",REPT(" ",99)),100,99)))+1,999),FIND(":",MID(TRIM(MID(SUBSTITUTE(K176,";",REPT(" ",99)),100,99)),FIND(":",TRIM(MID(SUBSTITUTE(K176,";",REPT(" ",99)),100,99)))+1,999))+1,999))-1)),IF(TRIM(MID(SUBSTITUTE(K176,";",REPT(" ",99)),199,99))="","",IFERROR(VLOOKUP(--LEFT(MID(TRIM(MID(SUBSTITUTE(K176,";",REPT(" ",99)),199,99)),FIND(":",TRIM(MID(SUBSTITUTE(K176,";",REPT(" ",99)),199,99)))+1,999),FIND(":",MID(TRIM(MID(SUBSTITUTE(K176,";",REPT(" ",99)),199,99)),FIND(":",TRIM(MID(SUBSTITUTE(K176,";",REPT(" ",99)),199,99)))+1,999))-1),_Lookup!$A:$B,2,FALSE),"?")&amp;"×"&amp;LEFT(MID(MID(TRIM(MID(SUBSTITUTE(K176,";",REPT(" ",99)),199,99)),FIND(":",TRIM(MID(SUBSTITUTE(K176,";",REPT(" ",99)),199,99)))+1,999),FIND(":",MID(TRIM(MID(SUBSTITUTE(K176,";",REPT(" ",99)),199,99)),FIND(":",TRIM(MID(SUBSTITUTE(K176,";",REPT(" ",99)),199,99)))+1,999))+1,999),FIND(":",MID(MID(TRIM(MID(SUBSTITUTE(K176,";",REPT(" ",99)),199,99)),FIND(":",TRIM(MID(SUBSTITUTE(K176,";",REPT(" ",99)),199,99)))+1,999),FIND(":",MID(TRIM(MID(SUBSTITUTE(K176,";",REPT(" ",99)),199,99)),FIND(":",TRIM(MID(SUBSTITUTE(K176,";",REPT(" ",99)),199,99)))+1,999))+1,999))-1)),IF(TRIM(MID(SUBSTITUTE(K176,";",REPT(" ",99)),298,99))="","",IFERROR(VLOOKUP(--LEFT(MID(TRIM(MID(SUBSTITUTE(K176,";",REPT(" ",99)),298,99)),FIND(":",TRIM(MID(SUBSTITUTE(K176,";",REPT(" ",99)),298,99)))+1,999),FIND(":",MID(TRIM(MID(SUBSTITUTE(K176,";",REPT(" ",99)),298,99)),FIND(":",TRIM(MID(SUBSTITUTE(K176,";",REPT(" ",99)),298,99)))+1,999))-1),_Lookup!$A:$B,2,FALSE),"?")&amp;"×"&amp;LEFT(MID(MID(TRIM(MID(SUBSTITUTE(K176,";",REPT(" ",99)),298,99)),FIND(":",TRIM(MID(SUBSTITUTE(K176,";",REPT(" ",99)),298,99)))+1,999),FIND(":",MID(TRIM(MID(SUBSTITUTE(K176,";",REPT(" ",99)),298,99)),FIND(":",TRIM(MID(SUBSTITUTE(K176,";",REPT(" ",99)),298,99)))+1,999))+1,999),FIND(":",MID(MID(TRIM(MID(SUBSTITUTE(K176,";",REPT(" ",99)),298,99)),FIND(":",TRIM(MID(SUBSTITUTE(K176,";",REPT(" ",99)),298,99)))+1,999),FIND(":",MID(TRIM(MID(SUBSTITUTE(K176,";",REPT(" ",99)),298,99)),FIND(":",TRIM(MID(SUBSTITUTE(K176,";",REPT(" ",99)),298,99)))+1,999))+1,999))-1)),IF(TRIM(MID(SUBSTITUTE(K176,";",REPT(" ",99)),397,99))="","",IFERROR(VLOOKUP(--LEFT(MID(TRIM(MID(SUBSTITUTE(K176,";",REPT(" ",99)),397,99)),FIND(":",TRIM(MID(SUBSTITUTE(K176,";",REPT(" ",99)),397,99)))+1,999),FIND(":",MID(TRIM(MID(SUBSTITUTE(K176,";",REPT(" ",99)),397,99)),FIND(":",TRIM(MID(SUBSTITUTE(K176,";",REPT(" ",99)),397,99)))+1,999))-1),_Lookup!$A:$B,2,FALSE),"?")&amp;"×"&amp;LEFT(MID(MID(TRIM(MID(SUBSTITUTE(K176,";",REPT(" ",99)),397,99)),FIND(":",TRIM(MID(SUBSTITUTE(K176,";",REPT(" ",99)),397,99)))+1,999),FIND(":",MID(TRIM(MID(SUBSTITUTE(K176,";",REPT(" ",99)),397,99)),FIND(":",TRIM(MID(SUBSTITUTE(K176,";",REPT(" ",99)),397,99)))+1,999))+1,999),FIND(":",MID(MID(TRIM(MID(SUBSTITUTE(K176,";",REPT(" ",99)),397,99)),FIND(":",TRIM(MID(SUBSTITUTE(K176,";",REPT(" ",99)),397,99)))+1,999),FIND(":",MID(TRIM(MID(SUBSTITUTE(K176,";",REPT(" ",99)),397,99)),FIND(":",TRIM(MID(SUBSTITUTE(K176,";",REPT(" ",99)),397,99)))+1,999))+1,999))-1))))</f>
        <v/>
      </c>
    </row>
    <row r="177">
      <c r="D177" s="11">
        <f>IFERROR(VLOOKUP(C177,ItemData_Fish!$A:$B,2,FALSE),"")</f>
        <v/>
      </c>
      <c r="L177" s="11">
        <f>IF(K177="","",TEXTJOIN("; ",TRUE,IF(TRIM(MID(SUBSTITUTE(K177,";",REPT(" ",99)),1,99))="","",IFERROR(VLOOKUP(--LEFT(MID(TRIM(MID(SUBSTITUTE(K177,";",REPT(" ",99)),1,99)),FIND(":",TRIM(MID(SUBSTITUTE(K177,";",REPT(" ",99)),1,99)))+1,999),FIND(":",MID(TRIM(MID(SUBSTITUTE(K177,";",REPT(" ",99)),1,99)),FIND(":",TRIM(MID(SUBSTITUTE(K177,";",REPT(" ",99)),1,99)))+1,999))-1),_Lookup!$A:$B,2,FALSE),"?")&amp;"×"&amp;LEFT(MID(MID(TRIM(MID(SUBSTITUTE(K177,";",REPT(" ",99)),1,99)),FIND(":",TRIM(MID(SUBSTITUTE(K177,";",REPT(" ",99)),1,99)))+1,999),FIND(":",MID(TRIM(MID(SUBSTITUTE(K177,";",REPT(" ",99)),1,99)),FIND(":",TRIM(MID(SUBSTITUTE(K177,";",REPT(" ",99)),1,99)))+1,999))+1,999),FIND(":",MID(MID(TRIM(MID(SUBSTITUTE(K177,";",REPT(" ",99)),1,99)),FIND(":",TRIM(MID(SUBSTITUTE(K177,";",REPT(" ",99)),1,99)))+1,999),FIND(":",MID(TRIM(MID(SUBSTITUTE(K177,";",REPT(" ",99)),1,99)),FIND(":",TRIM(MID(SUBSTITUTE(K177,";",REPT(" ",99)),1,99)))+1,999))+1,999))-1)),IF(TRIM(MID(SUBSTITUTE(K177,";",REPT(" ",99)),100,99))="","",IFERROR(VLOOKUP(--LEFT(MID(TRIM(MID(SUBSTITUTE(K177,";",REPT(" ",99)),100,99)),FIND(":",TRIM(MID(SUBSTITUTE(K177,";",REPT(" ",99)),100,99)))+1,999),FIND(":",MID(TRIM(MID(SUBSTITUTE(K177,";",REPT(" ",99)),100,99)),FIND(":",TRIM(MID(SUBSTITUTE(K177,";",REPT(" ",99)),100,99)))+1,999))-1),_Lookup!$A:$B,2,FALSE),"?")&amp;"×"&amp;LEFT(MID(MID(TRIM(MID(SUBSTITUTE(K177,";",REPT(" ",99)),100,99)),FIND(":",TRIM(MID(SUBSTITUTE(K177,";",REPT(" ",99)),100,99)))+1,999),FIND(":",MID(TRIM(MID(SUBSTITUTE(K177,";",REPT(" ",99)),100,99)),FIND(":",TRIM(MID(SUBSTITUTE(K177,";",REPT(" ",99)),100,99)))+1,999))+1,999),FIND(":",MID(MID(TRIM(MID(SUBSTITUTE(K177,";",REPT(" ",99)),100,99)),FIND(":",TRIM(MID(SUBSTITUTE(K177,";",REPT(" ",99)),100,99)))+1,999),FIND(":",MID(TRIM(MID(SUBSTITUTE(K177,";",REPT(" ",99)),100,99)),FIND(":",TRIM(MID(SUBSTITUTE(K177,";",REPT(" ",99)),100,99)))+1,999))+1,999))-1)),IF(TRIM(MID(SUBSTITUTE(K177,";",REPT(" ",99)),199,99))="","",IFERROR(VLOOKUP(--LEFT(MID(TRIM(MID(SUBSTITUTE(K177,";",REPT(" ",99)),199,99)),FIND(":",TRIM(MID(SUBSTITUTE(K177,";",REPT(" ",99)),199,99)))+1,999),FIND(":",MID(TRIM(MID(SUBSTITUTE(K177,";",REPT(" ",99)),199,99)),FIND(":",TRIM(MID(SUBSTITUTE(K177,";",REPT(" ",99)),199,99)))+1,999))-1),_Lookup!$A:$B,2,FALSE),"?")&amp;"×"&amp;LEFT(MID(MID(TRIM(MID(SUBSTITUTE(K177,";",REPT(" ",99)),199,99)),FIND(":",TRIM(MID(SUBSTITUTE(K177,";",REPT(" ",99)),199,99)))+1,999),FIND(":",MID(TRIM(MID(SUBSTITUTE(K177,";",REPT(" ",99)),199,99)),FIND(":",TRIM(MID(SUBSTITUTE(K177,";",REPT(" ",99)),199,99)))+1,999))+1,999),FIND(":",MID(MID(TRIM(MID(SUBSTITUTE(K177,";",REPT(" ",99)),199,99)),FIND(":",TRIM(MID(SUBSTITUTE(K177,";",REPT(" ",99)),199,99)))+1,999),FIND(":",MID(TRIM(MID(SUBSTITUTE(K177,";",REPT(" ",99)),199,99)),FIND(":",TRIM(MID(SUBSTITUTE(K177,";",REPT(" ",99)),199,99)))+1,999))+1,999))-1)),IF(TRIM(MID(SUBSTITUTE(K177,";",REPT(" ",99)),298,99))="","",IFERROR(VLOOKUP(--LEFT(MID(TRIM(MID(SUBSTITUTE(K177,";",REPT(" ",99)),298,99)),FIND(":",TRIM(MID(SUBSTITUTE(K177,";",REPT(" ",99)),298,99)))+1,999),FIND(":",MID(TRIM(MID(SUBSTITUTE(K177,";",REPT(" ",99)),298,99)),FIND(":",TRIM(MID(SUBSTITUTE(K177,";",REPT(" ",99)),298,99)))+1,999))-1),_Lookup!$A:$B,2,FALSE),"?")&amp;"×"&amp;LEFT(MID(MID(TRIM(MID(SUBSTITUTE(K177,";",REPT(" ",99)),298,99)),FIND(":",TRIM(MID(SUBSTITUTE(K177,";",REPT(" ",99)),298,99)))+1,999),FIND(":",MID(TRIM(MID(SUBSTITUTE(K177,";",REPT(" ",99)),298,99)),FIND(":",TRIM(MID(SUBSTITUTE(K177,";",REPT(" ",99)),298,99)))+1,999))+1,999),FIND(":",MID(MID(TRIM(MID(SUBSTITUTE(K177,";",REPT(" ",99)),298,99)),FIND(":",TRIM(MID(SUBSTITUTE(K177,";",REPT(" ",99)),298,99)))+1,999),FIND(":",MID(TRIM(MID(SUBSTITUTE(K177,";",REPT(" ",99)),298,99)),FIND(":",TRIM(MID(SUBSTITUTE(K177,";",REPT(" ",99)),298,99)))+1,999))+1,999))-1)),IF(TRIM(MID(SUBSTITUTE(K177,";",REPT(" ",99)),397,99))="","",IFERROR(VLOOKUP(--LEFT(MID(TRIM(MID(SUBSTITUTE(K177,";",REPT(" ",99)),397,99)),FIND(":",TRIM(MID(SUBSTITUTE(K177,";",REPT(" ",99)),397,99)))+1,999),FIND(":",MID(TRIM(MID(SUBSTITUTE(K177,";",REPT(" ",99)),397,99)),FIND(":",TRIM(MID(SUBSTITUTE(K177,";",REPT(" ",99)),397,99)))+1,999))-1),_Lookup!$A:$B,2,FALSE),"?")&amp;"×"&amp;LEFT(MID(MID(TRIM(MID(SUBSTITUTE(K177,";",REPT(" ",99)),397,99)),FIND(":",TRIM(MID(SUBSTITUTE(K177,";",REPT(" ",99)),397,99)))+1,999),FIND(":",MID(TRIM(MID(SUBSTITUTE(K177,";",REPT(" ",99)),397,99)),FIND(":",TRIM(MID(SUBSTITUTE(K177,";",REPT(" ",99)),397,99)))+1,999))+1,999),FIND(":",MID(MID(TRIM(MID(SUBSTITUTE(K177,";",REPT(" ",99)),397,99)),FIND(":",TRIM(MID(SUBSTITUTE(K177,";",REPT(" ",99)),397,99)))+1,999),FIND(":",MID(TRIM(MID(SUBSTITUTE(K177,";",REPT(" ",99)),397,99)),FIND(":",TRIM(MID(SUBSTITUTE(K177,";",REPT(" ",99)),397,99)))+1,999))+1,999))-1))))</f>
        <v/>
      </c>
    </row>
    <row r="178">
      <c r="D178" s="11">
        <f>IFERROR(VLOOKUP(C178,ItemData_Fish!$A:$B,2,FALSE),"")</f>
        <v/>
      </c>
      <c r="L178" s="11">
        <f>IF(K178="","",TEXTJOIN("; ",TRUE,IF(TRIM(MID(SUBSTITUTE(K178,";",REPT(" ",99)),1,99))="","",IFERROR(VLOOKUP(--LEFT(MID(TRIM(MID(SUBSTITUTE(K178,";",REPT(" ",99)),1,99)),FIND(":",TRIM(MID(SUBSTITUTE(K178,";",REPT(" ",99)),1,99)))+1,999),FIND(":",MID(TRIM(MID(SUBSTITUTE(K178,";",REPT(" ",99)),1,99)),FIND(":",TRIM(MID(SUBSTITUTE(K178,";",REPT(" ",99)),1,99)))+1,999))-1),_Lookup!$A:$B,2,FALSE),"?")&amp;"×"&amp;LEFT(MID(MID(TRIM(MID(SUBSTITUTE(K178,";",REPT(" ",99)),1,99)),FIND(":",TRIM(MID(SUBSTITUTE(K178,";",REPT(" ",99)),1,99)))+1,999),FIND(":",MID(TRIM(MID(SUBSTITUTE(K178,";",REPT(" ",99)),1,99)),FIND(":",TRIM(MID(SUBSTITUTE(K178,";",REPT(" ",99)),1,99)))+1,999))+1,999),FIND(":",MID(MID(TRIM(MID(SUBSTITUTE(K178,";",REPT(" ",99)),1,99)),FIND(":",TRIM(MID(SUBSTITUTE(K178,";",REPT(" ",99)),1,99)))+1,999),FIND(":",MID(TRIM(MID(SUBSTITUTE(K178,";",REPT(" ",99)),1,99)),FIND(":",TRIM(MID(SUBSTITUTE(K178,";",REPT(" ",99)),1,99)))+1,999))+1,999))-1)),IF(TRIM(MID(SUBSTITUTE(K178,";",REPT(" ",99)),100,99))="","",IFERROR(VLOOKUP(--LEFT(MID(TRIM(MID(SUBSTITUTE(K178,";",REPT(" ",99)),100,99)),FIND(":",TRIM(MID(SUBSTITUTE(K178,";",REPT(" ",99)),100,99)))+1,999),FIND(":",MID(TRIM(MID(SUBSTITUTE(K178,";",REPT(" ",99)),100,99)),FIND(":",TRIM(MID(SUBSTITUTE(K178,";",REPT(" ",99)),100,99)))+1,999))-1),_Lookup!$A:$B,2,FALSE),"?")&amp;"×"&amp;LEFT(MID(MID(TRIM(MID(SUBSTITUTE(K178,";",REPT(" ",99)),100,99)),FIND(":",TRIM(MID(SUBSTITUTE(K178,";",REPT(" ",99)),100,99)))+1,999),FIND(":",MID(TRIM(MID(SUBSTITUTE(K178,";",REPT(" ",99)),100,99)),FIND(":",TRIM(MID(SUBSTITUTE(K178,";",REPT(" ",99)),100,99)))+1,999))+1,999),FIND(":",MID(MID(TRIM(MID(SUBSTITUTE(K178,";",REPT(" ",99)),100,99)),FIND(":",TRIM(MID(SUBSTITUTE(K178,";",REPT(" ",99)),100,99)))+1,999),FIND(":",MID(TRIM(MID(SUBSTITUTE(K178,";",REPT(" ",99)),100,99)),FIND(":",TRIM(MID(SUBSTITUTE(K178,";",REPT(" ",99)),100,99)))+1,999))+1,999))-1)),IF(TRIM(MID(SUBSTITUTE(K178,";",REPT(" ",99)),199,99))="","",IFERROR(VLOOKUP(--LEFT(MID(TRIM(MID(SUBSTITUTE(K178,";",REPT(" ",99)),199,99)),FIND(":",TRIM(MID(SUBSTITUTE(K178,";",REPT(" ",99)),199,99)))+1,999),FIND(":",MID(TRIM(MID(SUBSTITUTE(K178,";",REPT(" ",99)),199,99)),FIND(":",TRIM(MID(SUBSTITUTE(K178,";",REPT(" ",99)),199,99)))+1,999))-1),_Lookup!$A:$B,2,FALSE),"?")&amp;"×"&amp;LEFT(MID(MID(TRIM(MID(SUBSTITUTE(K178,";",REPT(" ",99)),199,99)),FIND(":",TRIM(MID(SUBSTITUTE(K178,";",REPT(" ",99)),199,99)))+1,999),FIND(":",MID(TRIM(MID(SUBSTITUTE(K178,";",REPT(" ",99)),199,99)),FIND(":",TRIM(MID(SUBSTITUTE(K178,";",REPT(" ",99)),199,99)))+1,999))+1,999),FIND(":",MID(MID(TRIM(MID(SUBSTITUTE(K178,";",REPT(" ",99)),199,99)),FIND(":",TRIM(MID(SUBSTITUTE(K178,";",REPT(" ",99)),199,99)))+1,999),FIND(":",MID(TRIM(MID(SUBSTITUTE(K178,";",REPT(" ",99)),199,99)),FIND(":",TRIM(MID(SUBSTITUTE(K178,";",REPT(" ",99)),199,99)))+1,999))+1,999))-1)),IF(TRIM(MID(SUBSTITUTE(K178,";",REPT(" ",99)),298,99))="","",IFERROR(VLOOKUP(--LEFT(MID(TRIM(MID(SUBSTITUTE(K178,";",REPT(" ",99)),298,99)),FIND(":",TRIM(MID(SUBSTITUTE(K178,";",REPT(" ",99)),298,99)))+1,999),FIND(":",MID(TRIM(MID(SUBSTITUTE(K178,";",REPT(" ",99)),298,99)),FIND(":",TRIM(MID(SUBSTITUTE(K178,";",REPT(" ",99)),298,99)))+1,999))-1),_Lookup!$A:$B,2,FALSE),"?")&amp;"×"&amp;LEFT(MID(MID(TRIM(MID(SUBSTITUTE(K178,";",REPT(" ",99)),298,99)),FIND(":",TRIM(MID(SUBSTITUTE(K178,";",REPT(" ",99)),298,99)))+1,999),FIND(":",MID(TRIM(MID(SUBSTITUTE(K178,";",REPT(" ",99)),298,99)),FIND(":",TRIM(MID(SUBSTITUTE(K178,";",REPT(" ",99)),298,99)))+1,999))+1,999),FIND(":",MID(MID(TRIM(MID(SUBSTITUTE(K178,";",REPT(" ",99)),298,99)),FIND(":",TRIM(MID(SUBSTITUTE(K178,";",REPT(" ",99)),298,99)))+1,999),FIND(":",MID(TRIM(MID(SUBSTITUTE(K178,";",REPT(" ",99)),298,99)),FIND(":",TRIM(MID(SUBSTITUTE(K178,";",REPT(" ",99)),298,99)))+1,999))+1,999))-1)),IF(TRIM(MID(SUBSTITUTE(K178,";",REPT(" ",99)),397,99))="","",IFERROR(VLOOKUP(--LEFT(MID(TRIM(MID(SUBSTITUTE(K178,";",REPT(" ",99)),397,99)),FIND(":",TRIM(MID(SUBSTITUTE(K178,";",REPT(" ",99)),397,99)))+1,999),FIND(":",MID(TRIM(MID(SUBSTITUTE(K178,";",REPT(" ",99)),397,99)),FIND(":",TRIM(MID(SUBSTITUTE(K178,";",REPT(" ",99)),397,99)))+1,999))-1),_Lookup!$A:$B,2,FALSE),"?")&amp;"×"&amp;LEFT(MID(MID(TRIM(MID(SUBSTITUTE(K178,";",REPT(" ",99)),397,99)),FIND(":",TRIM(MID(SUBSTITUTE(K178,";",REPT(" ",99)),397,99)))+1,999),FIND(":",MID(TRIM(MID(SUBSTITUTE(K178,";",REPT(" ",99)),397,99)),FIND(":",TRIM(MID(SUBSTITUTE(K178,";",REPT(" ",99)),397,99)))+1,999))+1,999),FIND(":",MID(MID(TRIM(MID(SUBSTITUTE(K178,";",REPT(" ",99)),397,99)),FIND(":",TRIM(MID(SUBSTITUTE(K178,";",REPT(" ",99)),397,99)))+1,999),FIND(":",MID(TRIM(MID(SUBSTITUTE(K178,";",REPT(" ",99)),397,99)),FIND(":",TRIM(MID(SUBSTITUTE(K178,";",REPT(" ",99)),397,99)))+1,999))+1,999))-1))))</f>
        <v/>
      </c>
    </row>
    <row r="179">
      <c r="D179" s="11">
        <f>IFERROR(VLOOKUP(C179,ItemData_Fish!$A:$B,2,FALSE),"")</f>
        <v/>
      </c>
      <c r="L179" s="11">
        <f>IF(K179="","",TEXTJOIN("; ",TRUE,IF(TRIM(MID(SUBSTITUTE(K179,";",REPT(" ",99)),1,99))="","",IFERROR(VLOOKUP(--LEFT(MID(TRIM(MID(SUBSTITUTE(K179,";",REPT(" ",99)),1,99)),FIND(":",TRIM(MID(SUBSTITUTE(K179,";",REPT(" ",99)),1,99)))+1,999),FIND(":",MID(TRIM(MID(SUBSTITUTE(K179,";",REPT(" ",99)),1,99)),FIND(":",TRIM(MID(SUBSTITUTE(K179,";",REPT(" ",99)),1,99)))+1,999))-1),_Lookup!$A:$B,2,FALSE),"?")&amp;"×"&amp;LEFT(MID(MID(TRIM(MID(SUBSTITUTE(K179,";",REPT(" ",99)),1,99)),FIND(":",TRIM(MID(SUBSTITUTE(K179,";",REPT(" ",99)),1,99)))+1,999),FIND(":",MID(TRIM(MID(SUBSTITUTE(K179,";",REPT(" ",99)),1,99)),FIND(":",TRIM(MID(SUBSTITUTE(K179,";",REPT(" ",99)),1,99)))+1,999))+1,999),FIND(":",MID(MID(TRIM(MID(SUBSTITUTE(K179,";",REPT(" ",99)),1,99)),FIND(":",TRIM(MID(SUBSTITUTE(K179,";",REPT(" ",99)),1,99)))+1,999),FIND(":",MID(TRIM(MID(SUBSTITUTE(K179,";",REPT(" ",99)),1,99)),FIND(":",TRIM(MID(SUBSTITUTE(K179,";",REPT(" ",99)),1,99)))+1,999))+1,999))-1)),IF(TRIM(MID(SUBSTITUTE(K179,";",REPT(" ",99)),100,99))="","",IFERROR(VLOOKUP(--LEFT(MID(TRIM(MID(SUBSTITUTE(K179,";",REPT(" ",99)),100,99)),FIND(":",TRIM(MID(SUBSTITUTE(K179,";",REPT(" ",99)),100,99)))+1,999),FIND(":",MID(TRIM(MID(SUBSTITUTE(K179,";",REPT(" ",99)),100,99)),FIND(":",TRIM(MID(SUBSTITUTE(K179,";",REPT(" ",99)),100,99)))+1,999))-1),_Lookup!$A:$B,2,FALSE),"?")&amp;"×"&amp;LEFT(MID(MID(TRIM(MID(SUBSTITUTE(K179,";",REPT(" ",99)),100,99)),FIND(":",TRIM(MID(SUBSTITUTE(K179,";",REPT(" ",99)),100,99)))+1,999),FIND(":",MID(TRIM(MID(SUBSTITUTE(K179,";",REPT(" ",99)),100,99)),FIND(":",TRIM(MID(SUBSTITUTE(K179,";",REPT(" ",99)),100,99)))+1,999))+1,999),FIND(":",MID(MID(TRIM(MID(SUBSTITUTE(K179,";",REPT(" ",99)),100,99)),FIND(":",TRIM(MID(SUBSTITUTE(K179,";",REPT(" ",99)),100,99)))+1,999),FIND(":",MID(TRIM(MID(SUBSTITUTE(K179,";",REPT(" ",99)),100,99)),FIND(":",TRIM(MID(SUBSTITUTE(K179,";",REPT(" ",99)),100,99)))+1,999))+1,999))-1)),IF(TRIM(MID(SUBSTITUTE(K179,";",REPT(" ",99)),199,99))="","",IFERROR(VLOOKUP(--LEFT(MID(TRIM(MID(SUBSTITUTE(K179,";",REPT(" ",99)),199,99)),FIND(":",TRIM(MID(SUBSTITUTE(K179,";",REPT(" ",99)),199,99)))+1,999),FIND(":",MID(TRIM(MID(SUBSTITUTE(K179,";",REPT(" ",99)),199,99)),FIND(":",TRIM(MID(SUBSTITUTE(K179,";",REPT(" ",99)),199,99)))+1,999))-1),_Lookup!$A:$B,2,FALSE),"?")&amp;"×"&amp;LEFT(MID(MID(TRIM(MID(SUBSTITUTE(K179,";",REPT(" ",99)),199,99)),FIND(":",TRIM(MID(SUBSTITUTE(K179,";",REPT(" ",99)),199,99)))+1,999),FIND(":",MID(TRIM(MID(SUBSTITUTE(K179,";",REPT(" ",99)),199,99)),FIND(":",TRIM(MID(SUBSTITUTE(K179,";",REPT(" ",99)),199,99)))+1,999))+1,999),FIND(":",MID(MID(TRIM(MID(SUBSTITUTE(K179,";",REPT(" ",99)),199,99)),FIND(":",TRIM(MID(SUBSTITUTE(K179,";",REPT(" ",99)),199,99)))+1,999),FIND(":",MID(TRIM(MID(SUBSTITUTE(K179,";",REPT(" ",99)),199,99)),FIND(":",TRIM(MID(SUBSTITUTE(K179,";",REPT(" ",99)),199,99)))+1,999))+1,999))-1)),IF(TRIM(MID(SUBSTITUTE(K179,";",REPT(" ",99)),298,99))="","",IFERROR(VLOOKUP(--LEFT(MID(TRIM(MID(SUBSTITUTE(K179,";",REPT(" ",99)),298,99)),FIND(":",TRIM(MID(SUBSTITUTE(K179,";",REPT(" ",99)),298,99)))+1,999),FIND(":",MID(TRIM(MID(SUBSTITUTE(K179,";",REPT(" ",99)),298,99)),FIND(":",TRIM(MID(SUBSTITUTE(K179,";",REPT(" ",99)),298,99)))+1,999))-1),_Lookup!$A:$B,2,FALSE),"?")&amp;"×"&amp;LEFT(MID(MID(TRIM(MID(SUBSTITUTE(K179,";",REPT(" ",99)),298,99)),FIND(":",TRIM(MID(SUBSTITUTE(K179,";",REPT(" ",99)),298,99)))+1,999),FIND(":",MID(TRIM(MID(SUBSTITUTE(K179,";",REPT(" ",99)),298,99)),FIND(":",TRIM(MID(SUBSTITUTE(K179,";",REPT(" ",99)),298,99)))+1,999))+1,999),FIND(":",MID(MID(TRIM(MID(SUBSTITUTE(K179,";",REPT(" ",99)),298,99)),FIND(":",TRIM(MID(SUBSTITUTE(K179,";",REPT(" ",99)),298,99)))+1,999),FIND(":",MID(TRIM(MID(SUBSTITUTE(K179,";",REPT(" ",99)),298,99)),FIND(":",TRIM(MID(SUBSTITUTE(K179,";",REPT(" ",99)),298,99)))+1,999))+1,999))-1)),IF(TRIM(MID(SUBSTITUTE(K179,";",REPT(" ",99)),397,99))="","",IFERROR(VLOOKUP(--LEFT(MID(TRIM(MID(SUBSTITUTE(K179,";",REPT(" ",99)),397,99)),FIND(":",TRIM(MID(SUBSTITUTE(K179,";",REPT(" ",99)),397,99)))+1,999),FIND(":",MID(TRIM(MID(SUBSTITUTE(K179,";",REPT(" ",99)),397,99)),FIND(":",TRIM(MID(SUBSTITUTE(K179,";",REPT(" ",99)),397,99)))+1,999))-1),_Lookup!$A:$B,2,FALSE),"?")&amp;"×"&amp;LEFT(MID(MID(TRIM(MID(SUBSTITUTE(K179,";",REPT(" ",99)),397,99)),FIND(":",TRIM(MID(SUBSTITUTE(K179,";",REPT(" ",99)),397,99)))+1,999),FIND(":",MID(TRIM(MID(SUBSTITUTE(K179,";",REPT(" ",99)),397,99)),FIND(":",TRIM(MID(SUBSTITUTE(K179,";",REPT(" ",99)),397,99)))+1,999))+1,999),FIND(":",MID(MID(TRIM(MID(SUBSTITUTE(K179,";",REPT(" ",99)),397,99)),FIND(":",TRIM(MID(SUBSTITUTE(K179,";",REPT(" ",99)),397,99)))+1,999),FIND(":",MID(TRIM(MID(SUBSTITUTE(K179,";",REPT(" ",99)),397,99)),FIND(":",TRIM(MID(SUBSTITUTE(K179,";",REPT(" ",99)),397,99)))+1,999))+1,999))-1))))</f>
        <v/>
      </c>
    </row>
    <row r="180">
      <c r="D180" s="11">
        <f>IFERROR(VLOOKUP(C180,ItemData_Fish!$A:$B,2,FALSE),"")</f>
        <v/>
      </c>
      <c r="L180" s="11">
        <f>IF(K180="","",TEXTJOIN("; ",TRUE,IF(TRIM(MID(SUBSTITUTE(K180,";",REPT(" ",99)),1,99))="","",IFERROR(VLOOKUP(--LEFT(MID(TRIM(MID(SUBSTITUTE(K180,";",REPT(" ",99)),1,99)),FIND(":",TRIM(MID(SUBSTITUTE(K180,";",REPT(" ",99)),1,99)))+1,999),FIND(":",MID(TRIM(MID(SUBSTITUTE(K180,";",REPT(" ",99)),1,99)),FIND(":",TRIM(MID(SUBSTITUTE(K180,";",REPT(" ",99)),1,99)))+1,999))-1),_Lookup!$A:$B,2,FALSE),"?")&amp;"×"&amp;LEFT(MID(MID(TRIM(MID(SUBSTITUTE(K180,";",REPT(" ",99)),1,99)),FIND(":",TRIM(MID(SUBSTITUTE(K180,";",REPT(" ",99)),1,99)))+1,999),FIND(":",MID(TRIM(MID(SUBSTITUTE(K180,";",REPT(" ",99)),1,99)),FIND(":",TRIM(MID(SUBSTITUTE(K180,";",REPT(" ",99)),1,99)))+1,999))+1,999),FIND(":",MID(MID(TRIM(MID(SUBSTITUTE(K180,";",REPT(" ",99)),1,99)),FIND(":",TRIM(MID(SUBSTITUTE(K180,";",REPT(" ",99)),1,99)))+1,999),FIND(":",MID(TRIM(MID(SUBSTITUTE(K180,";",REPT(" ",99)),1,99)),FIND(":",TRIM(MID(SUBSTITUTE(K180,";",REPT(" ",99)),1,99)))+1,999))+1,999))-1)),IF(TRIM(MID(SUBSTITUTE(K180,";",REPT(" ",99)),100,99))="","",IFERROR(VLOOKUP(--LEFT(MID(TRIM(MID(SUBSTITUTE(K180,";",REPT(" ",99)),100,99)),FIND(":",TRIM(MID(SUBSTITUTE(K180,";",REPT(" ",99)),100,99)))+1,999),FIND(":",MID(TRIM(MID(SUBSTITUTE(K180,";",REPT(" ",99)),100,99)),FIND(":",TRIM(MID(SUBSTITUTE(K180,";",REPT(" ",99)),100,99)))+1,999))-1),_Lookup!$A:$B,2,FALSE),"?")&amp;"×"&amp;LEFT(MID(MID(TRIM(MID(SUBSTITUTE(K180,";",REPT(" ",99)),100,99)),FIND(":",TRIM(MID(SUBSTITUTE(K180,";",REPT(" ",99)),100,99)))+1,999),FIND(":",MID(TRIM(MID(SUBSTITUTE(K180,";",REPT(" ",99)),100,99)),FIND(":",TRIM(MID(SUBSTITUTE(K180,";",REPT(" ",99)),100,99)))+1,999))+1,999),FIND(":",MID(MID(TRIM(MID(SUBSTITUTE(K180,";",REPT(" ",99)),100,99)),FIND(":",TRIM(MID(SUBSTITUTE(K180,";",REPT(" ",99)),100,99)))+1,999),FIND(":",MID(TRIM(MID(SUBSTITUTE(K180,";",REPT(" ",99)),100,99)),FIND(":",TRIM(MID(SUBSTITUTE(K180,";",REPT(" ",99)),100,99)))+1,999))+1,999))-1)),IF(TRIM(MID(SUBSTITUTE(K180,";",REPT(" ",99)),199,99))="","",IFERROR(VLOOKUP(--LEFT(MID(TRIM(MID(SUBSTITUTE(K180,";",REPT(" ",99)),199,99)),FIND(":",TRIM(MID(SUBSTITUTE(K180,";",REPT(" ",99)),199,99)))+1,999),FIND(":",MID(TRIM(MID(SUBSTITUTE(K180,";",REPT(" ",99)),199,99)),FIND(":",TRIM(MID(SUBSTITUTE(K180,";",REPT(" ",99)),199,99)))+1,999))-1),_Lookup!$A:$B,2,FALSE),"?")&amp;"×"&amp;LEFT(MID(MID(TRIM(MID(SUBSTITUTE(K180,";",REPT(" ",99)),199,99)),FIND(":",TRIM(MID(SUBSTITUTE(K180,";",REPT(" ",99)),199,99)))+1,999),FIND(":",MID(TRIM(MID(SUBSTITUTE(K180,";",REPT(" ",99)),199,99)),FIND(":",TRIM(MID(SUBSTITUTE(K180,";",REPT(" ",99)),199,99)))+1,999))+1,999),FIND(":",MID(MID(TRIM(MID(SUBSTITUTE(K180,";",REPT(" ",99)),199,99)),FIND(":",TRIM(MID(SUBSTITUTE(K180,";",REPT(" ",99)),199,99)))+1,999),FIND(":",MID(TRIM(MID(SUBSTITUTE(K180,";",REPT(" ",99)),199,99)),FIND(":",TRIM(MID(SUBSTITUTE(K180,";",REPT(" ",99)),199,99)))+1,999))+1,999))-1)),IF(TRIM(MID(SUBSTITUTE(K180,";",REPT(" ",99)),298,99))="","",IFERROR(VLOOKUP(--LEFT(MID(TRIM(MID(SUBSTITUTE(K180,";",REPT(" ",99)),298,99)),FIND(":",TRIM(MID(SUBSTITUTE(K180,";",REPT(" ",99)),298,99)))+1,999),FIND(":",MID(TRIM(MID(SUBSTITUTE(K180,";",REPT(" ",99)),298,99)),FIND(":",TRIM(MID(SUBSTITUTE(K180,";",REPT(" ",99)),298,99)))+1,999))-1),_Lookup!$A:$B,2,FALSE),"?")&amp;"×"&amp;LEFT(MID(MID(TRIM(MID(SUBSTITUTE(K180,";",REPT(" ",99)),298,99)),FIND(":",TRIM(MID(SUBSTITUTE(K180,";",REPT(" ",99)),298,99)))+1,999),FIND(":",MID(TRIM(MID(SUBSTITUTE(K180,";",REPT(" ",99)),298,99)),FIND(":",TRIM(MID(SUBSTITUTE(K180,";",REPT(" ",99)),298,99)))+1,999))+1,999),FIND(":",MID(MID(TRIM(MID(SUBSTITUTE(K180,";",REPT(" ",99)),298,99)),FIND(":",TRIM(MID(SUBSTITUTE(K180,";",REPT(" ",99)),298,99)))+1,999),FIND(":",MID(TRIM(MID(SUBSTITUTE(K180,";",REPT(" ",99)),298,99)),FIND(":",TRIM(MID(SUBSTITUTE(K180,";",REPT(" ",99)),298,99)))+1,999))+1,999))-1)),IF(TRIM(MID(SUBSTITUTE(K180,";",REPT(" ",99)),397,99))="","",IFERROR(VLOOKUP(--LEFT(MID(TRIM(MID(SUBSTITUTE(K180,";",REPT(" ",99)),397,99)),FIND(":",TRIM(MID(SUBSTITUTE(K180,";",REPT(" ",99)),397,99)))+1,999),FIND(":",MID(TRIM(MID(SUBSTITUTE(K180,";",REPT(" ",99)),397,99)),FIND(":",TRIM(MID(SUBSTITUTE(K180,";",REPT(" ",99)),397,99)))+1,999))-1),_Lookup!$A:$B,2,FALSE),"?")&amp;"×"&amp;LEFT(MID(MID(TRIM(MID(SUBSTITUTE(K180,";",REPT(" ",99)),397,99)),FIND(":",TRIM(MID(SUBSTITUTE(K180,";",REPT(" ",99)),397,99)))+1,999),FIND(":",MID(TRIM(MID(SUBSTITUTE(K180,";",REPT(" ",99)),397,99)),FIND(":",TRIM(MID(SUBSTITUTE(K180,";",REPT(" ",99)),397,99)))+1,999))+1,999),FIND(":",MID(MID(TRIM(MID(SUBSTITUTE(K180,";",REPT(" ",99)),397,99)),FIND(":",TRIM(MID(SUBSTITUTE(K180,";",REPT(" ",99)),397,99)))+1,999),FIND(":",MID(TRIM(MID(SUBSTITUTE(K180,";",REPT(" ",99)),397,99)),FIND(":",TRIM(MID(SUBSTITUTE(K180,";",REPT(" ",99)),397,99)))+1,999))+1,999))-1))))</f>
        <v/>
      </c>
    </row>
    <row r="181">
      <c r="D181" s="11">
        <f>IFERROR(VLOOKUP(C181,ItemData_Fish!$A:$B,2,FALSE),"")</f>
        <v/>
      </c>
      <c r="L181" s="11">
        <f>IF(K181="","",TEXTJOIN("; ",TRUE,IF(TRIM(MID(SUBSTITUTE(K181,";",REPT(" ",99)),1,99))="","",IFERROR(VLOOKUP(--LEFT(MID(TRIM(MID(SUBSTITUTE(K181,";",REPT(" ",99)),1,99)),FIND(":",TRIM(MID(SUBSTITUTE(K181,";",REPT(" ",99)),1,99)))+1,999),FIND(":",MID(TRIM(MID(SUBSTITUTE(K181,";",REPT(" ",99)),1,99)),FIND(":",TRIM(MID(SUBSTITUTE(K181,";",REPT(" ",99)),1,99)))+1,999))-1),_Lookup!$A:$B,2,FALSE),"?")&amp;"×"&amp;LEFT(MID(MID(TRIM(MID(SUBSTITUTE(K181,";",REPT(" ",99)),1,99)),FIND(":",TRIM(MID(SUBSTITUTE(K181,";",REPT(" ",99)),1,99)))+1,999),FIND(":",MID(TRIM(MID(SUBSTITUTE(K181,";",REPT(" ",99)),1,99)),FIND(":",TRIM(MID(SUBSTITUTE(K181,";",REPT(" ",99)),1,99)))+1,999))+1,999),FIND(":",MID(MID(TRIM(MID(SUBSTITUTE(K181,";",REPT(" ",99)),1,99)),FIND(":",TRIM(MID(SUBSTITUTE(K181,";",REPT(" ",99)),1,99)))+1,999),FIND(":",MID(TRIM(MID(SUBSTITUTE(K181,";",REPT(" ",99)),1,99)),FIND(":",TRIM(MID(SUBSTITUTE(K181,";",REPT(" ",99)),1,99)))+1,999))+1,999))-1)),IF(TRIM(MID(SUBSTITUTE(K181,";",REPT(" ",99)),100,99))="","",IFERROR(VLOOKUP(--LEFT(MID(TRIM(MID(SUBSTITUTE(K181,";",REPT(" ",99)),100,99)),FIND(":",TRIM(MID(SUBSTITUTE(K181,";",REPT(" ",99)),100,99)))+1,999),FIND(":",MID(TRIM(MID(SUBSTITUTE(K181,";",REPT(" ",99)),100,99)),FIND(":",TRIM(MID(SUBSTITUTE(K181,";",REPT(" ",99)),100,99)))+1,999))-1),_Lookup!$A:$B,2,FALSE),"?")&amp;"×"&amp;LEFT(MID(MID(TRIM(MID(SUBSTITUTE(K181,";",REPT(" ",99)),100,99)),FIND(":",TRIM(MID(SUBSTITUTE(K181,";",REPT(" ",99)),100,99)))+1,999),FIND(":",MID(TRIM(MID(SUBSTITUTE(K181,";",REPT(" ",99)),100,99)),FIND(":",TRIM(MID(SUBSTITUTE(K181,";",REPT(" ",99)),100,99)))+1,999))+1,999),FIND(":",MID(MID(TRIM(MID(SUBSTITUTE(K181,";",REPT(" ",99)),100,99)),FIND(":",TRIM(MID(SUBSTITUTE(K181,";",REPT(" ",99)),100,99)))+1,999),FIND(":",MID(TRIM(MID(SUBSTITUTE(K181,";",REPT(" ",99)),100,99)),FIND(":",TRIM(MID(SUBSTITUTE(K181,";",REPT(" ",99)),100,99)))+1,999))+1,999))-1)),IF(TRIM(MID(SUBSTITUTE(K181,";",REPT(" ",99)),199,99))="","",IFERROR(VLOOKUP(--LEFT(MID(TRIM(MID(SUBSTITUTE(K181,";",REPT(" ",99)),199,99)),FIND(":",TRIM(MID(SUBSTITUTE(K181,";",REPT(" ",99)),199,99)))+1,999),FIND(":",MID(TRIM(MID(SUBSTITUTE(K181,";",REPT(" ",99)),199,99)),FIND(":",TRIM(MID(SUBSTITUTE(K181,";",REPT(" ",99)),199,99)))+1,999))-1),_Lookup!$A:$B,2,FALSE),"?")&amp;"×"&amp;LEFT(MID(MID(TRIM(MID(SUBSTITUTE(K181,";",REPT(" ",99)),199,99)),FIND(":",TRIM(MID(SUBSTITUTE(K181,";",REPT(" ",99)),199,99)))+1,999),FIND(":",MID(TRIM(MID(SUBSTITUTE(K181,";",REPT(" ",99)),199,99)),FIND(":",TRIM(MID(SUBSTITUTE(K181,";",REPT(" ",99)),199,99)))+1,999))+1,999),FIND(":",MID(MID(TRIM(MID(SUBSTITUTE(K181,";",REPT(" ",99)),199,99)),FIND(":",TRIM(MID(SUBSTITUTE(K181,";",REPT(" ",99)),199,99)))+1,999),FIND(":",MID(TRIM(MID(SUBSTITUTE(K181,";",REPT(" ",99)),199,99)),FIND(":",TRIM(MID(SUBSTITUTE(K181,";",REPT(" ",99)),199,99)))+1,999))+1,999))-1)),IF(TRIM(MID(SUBSTITUTE(K181,";",REPT(" ",99)),298,99))="","",IFERROR(VLOOKUP(--LEFT(MID(TRIM(MID(SUBSTITUTE(K181,";",REPT(" ",99)),298,99)),FIND(":",TRIM(MID(SUBSTITUTE(K181,";",REPT(" ",99)),298,99)))+1,999),FIND(":",MID(TRIM(MID(SUBSTITUTE(K181,";",REPT(" ",99)),298,99)),FIND(":",TRIM(MID(SUBSTITUTE(K181,";",REPT(" ",99)),298,99)))+1,999))-1),_Lookup!$A:$B,2,FALSE),"?")&amp;"×"&amp;LEFT(MID(MID(TRIM(MID(SUBSTITUTE(K181,";",REPT(" ",99)),298,99)),FIND(":",TRIM(MID(SUBSTITUTE(K181,";",REPT(" ",99)),298,99)))+1,999),FIND(":",MID(TRIM(MID(SUBSTITUTE(K181,";",REPT(" ",99)),298,99)),FIND(":",TRIM(MID(SUBSTITUTE(K181,";",REPT(" ",99)),298,99)))+1,999))+1,999),FIND(":",MID(MID(TRIM(MID(SUBSTITUTE(K181,";",REPT(" ",99)),298,99)),FIND(":",TRIM(MID(SUBSTITUTE(K181,";",REPT(" ",99)),298,99)))+1,999),FIND(":",MID(TRIM(MID(SUBSTITUTE(K181,";",REPT(" ",99)),298,99)),FIND(":",TRIM(MID(SUBSTITUTE(K181,";",REPT(" ",99)),298,99)))+1,999))+1,999))-1)),IF(TRIM(MID(SUBSTITUTE(K181,";",REPT(" ",99)),397,99))="","",IFERROR(VLOOKUP(--LEFT(MID(TRIM(MID(SUBSTITUTE(K181,";",REPT(" ",99)),397,99)),FIND(":",TRIM(MID(SUBSTITUTE(K181,";",REPT(" ",99)),397,99)))+1,999),FIND(":",MID(TRIM(MID(SUBSTITUTE(K181,";",REPT(" ",99)),397,99)),FIND(":",TRIM(MID(SUBSTITUTE(K181,";",REPT(" ",99)),397,99)))+1,999))-1),_Lookup!$A:$B,2,FALSE),"?")&amp;"×"&amp;LEFT(MID(MID(TRIM(MID(SUBSTITUTE(K181,";",REPT(" ",99)),397,99)),FIND(":",TRIM(MID(SUBSTITUTE(K181,";",REPT(" ",99)),397,99)))+1,999),FIND(":",MID(TRIM(MID(SUBSTITUTE(K181,";",REPT(" ",99)),397,99)),FIND(":",TRIM(MID(SUBSTITUTE(K181,";",REPT(" ",99)),397,99)))+1,999))+1,999),FIND(":",MID(MID(TRIM(MID(SUBSTITUTE(K181,";",REPT(" ",99)),397,99)),FIND(":",TRIM(MID(SUBSTITUTE(K181,";",REPT(" ",99)),397,99)))+1,999),FIND(":",MID(TRIM(MID(SUBSTITUTE(K181,";",REPT(" ",99)),397,99)),FIND(":",TRIM(MID(SUBSTITUTE(K181,";",REPT(" ",99)),397,99)))+1,999))+1,999))-1))))</f>
        <v/>
      </c>
    </row>
    <row r="182">
      <c r="D182" s="11">
        <f>IFERROR(VLOOKUP(C182,ItemData_Fish!$A:$B,2,FALSE),"")</f>
        <v/>
      </c>
      <c r="L182" s="11">
        <f>IF(K182="","",TEXTJOIN("; ",TRUE,IF(TRIM(MID(SUBSTITUTE(K182,";",REPT(" ",99)),1,99))="","",IFERROR(VLOOKUP(--LEFT(MID(TRIM(MID(SUBSTITUTE(K182,";",REPT(" ",99)),1,99)),FIND(":",TRIM(MID(SUBSTITUTE(K182,";",REPT(" ",99)),1,99)))+1,999),FIND(":",MID(TRIM(MID(SUBSTITUTE(K182,";",REPT(" ",99)),1,99)),FIND(":",TRIM(MID(SUBSTITUTE(K182,";",REPT(" ",99)),1,99)))+1,999))-1),_Lookup!$A:$B,2,FALSE),"?")&amp;"×"&amp;LEFT(MID(MID(TRIM(MID(SUBSTITUTE(K182,";",REPT(" ",99)),1,99)),FIND(":",TRIM(MID(SUBSTITUTE(K182,";",REPT(" ",99)),1,99)))+1,999),FIND(":",MID(TRIM(MID(SUBSTITUTE(K182,";",REPT(" ",99)),1,99)),FIND(":",TRIM(MID(SUBSTITUTE(K182,";",REPT(" ",99)),1,99)))+1,999))+1,999),FIND(":",MID(MID(TRIM(MID(SUBSTITUTE(K182,";",REPT(" ",99)),1,99)),FIND(":",TRIM(MID(SUBSTITUTE(K182,";",REPT(" ",99)),1,99)))+1,999),FIND(":",MID(TRIM(MID(SUBSTITUTE(K182,";",REPT(" ",99)),1,99)),FIND(":",TRIM(MID(SUBSTITUTE(K182,";",REPT(" ",99)),1,99)))+1,999))+1,999))-1)),IF(TRIM(MID(SUBSTITUTE(K182,";",REPT(" ",99)),100,99))="","",IFERROR(VLOOKUP(--LEFT(MID(TRIM(MID(SUBSTITUTE(K182,";",REPT(" ",99)),100,99)),FIND(":",TRIM(MID(SUBSTITUTE(K182,";",REPT(" ",99)),100,99)))+1,999),FIND(":",MID(TRIM(MID(SUBSTITUTE(K182,";",REPT(" ",99)),100,99)),FIND(":",TRIM(MID(SUBSTITUTE(K182,";",REPT(" ",99)),100,99)))+1,999))-1),_Lookup!$A:$B,2,FALSE),"?")&amp;"×"&amp;LEFT(MID(MID(TRIM(MID(SUBSTITUTE(K182,";",REPT(" ",99)),100,99)),FIND(":",TRIM(MID(SUBSTITUTE(K182,";",REPT(" ",99)),100,99)))+1,999),FIND(":",MID(TRIM(MID(SUBSTITUTE(K182,";",REPT(" ",99)),100,99)),FIND(":",TRIM(MID(SUBSTITUTE(K182,";",REPT(" ",99)),100,99)))+1,999))+1,999),FIND(":",MID(MID(TRIM(MID(SUBSTITUTE(K182,";",REPT(" ",99)),100,99)),FIND(":",TRIM(MID(SUBSTITUTE(K182,";",REPT(" ",99)),100,99)))+1,999),FIND(":",MID(TRIM(MID(SUBSTITUTE(K182,";",REPT(" ",99)),100,99)),FIND(":",TRIM(MID(SUBSTITUTE(K182,";",REPT(" ",99)),100,99)))+1,999))+1,999))-1)),IF(TRIM(MID(SUBSTITUTE(K182,";",REPT(" ",99)),199,99))="","",IFERROR(VLOOKUP(--LEFT(MID(TRIM(MID(SUBSTITUTE(K182,";",REPT(" ",99)),199,99)),FIND(":",TRIM(MID(SUBSTITUTE(K182,";",REPT(" ",99)),199,99)))+1,999),FIND(":",MID(TRIM(MID(SUBSTITUTE(K182,";",REPT(" ",99)),199,99)),FIND(":",TRIM(MID(SUBSTITUTE(K182,";",REPT(" ",99)),199,99)))+1,999))-1),_Lookup!$A:$B,2,FALSE),"?")&amp;"×"&amp;LEFT(MID(MID(TRIM(MID(SUBSTITUTE(K182,";",REPT(" ",99)),199,99)),FIND(":",TRIM(MID(SUBSTITUTE(K182,";",REPT(" ",99)),199,99)))+1,999),FIND(":",MID(TRIM(MID(SUBSTITUTE(K182,";",REPT(" ",99)),199,99)),FIND(":",TRIM(MID(SUBSTITUTE(K182,";",REPT(" ",99)),199,99)))+1,999))+1,999),FIND(":",MID(MID(TRIM(MID(SUBSTITUTE(K182,";",REPT(" ",99)),199,99)),FIND(":",TRIM(MID(SUBSTITUTE(K182,";",REPT(" ",99)),199,99)))+1,999),FIND(":",MID(TRIM(MID(SUBSTITUTE(K182,";",REPT(" ",99)),199,99)),FIND(":",TRIM(MID(SUBSTITUTE(K182,";",REPT(" ",99)),199,99)))+1,999))+1,999))-1)),IF(TRIM(MID(SUBSTITUTE(K182,";",REPT(" ",99)),298,99))="","",IFERROR(VLOOKUP(--LEFT(MID(TRIM(MID(SUBSTITUTE(K182,";",REPT(" ",99)),298,99)),FIND(":",TRIM(MID(SUBSTITUTE(K182,";",REPT(" ",99)),298,99)))+1,999),FIND(":",MID(TRIM(MID(SUBSTITUTE(K182,";",REPT(" ",99)),298,99)),FIND(":",TRIM(MID(SUBSTITUTE(K182,";",REPT(" ",99)),298,99)))+1,999))-1),_Lookup!$A:$B,2,FALSE),"?")&amp;"×"&amp;LEFT(MID(MID(TRIM(MID(SUBSTITUTE(K182,";",REPT(" ",99)),298,99)),FIND(":",TRIM(MID(SUBSTITUTE(K182,";",REPT(" ",99)),298,99)))+1,999),FIND(":",MID(TRIM(MID(SUBSTITUTE(K182,";",REPT(" ",99)),298,99)),FIND(":",TRIM(MID(SUBSTITUTE(K182,";",REPT(" ",99)),298,99)))+1,999))+1,999),FIND(":",MID(MID(TRIM(MID(SUBSTITUTE(K182,";",REPT(" ",99)),298,99)),FIND(":",TRIM(MID(SUBSTITUTE(K182,";",REPT(" ",99)),298,99)))+1,999),FIND(":",MID(TRIM(MID(SUBSTITUTE(K182,";",REPT(" ",99)),298,99)),FIND(":",TRIM(MID(SUBSTITUTE(K182,";",REPT(" ",99)),298,99)))+1,999))+1,999))-1)),IF(TRIM(MID(SUBSTITUTE(K182,";",REPT(" ",99)),397,99))="","",IFERROR(VLOOKUP(--LEFT(MID(TRIM(MID(SUBSTITUTE(K182,";",REPT(" ",99)),397,99)),FIND(":",TRIM(MID(SUBSTITUTE(K182,";",REPT(" ",99)),397,99)))+1,999),FIND(":",MID(TRIM(MID(SUBSTITUTE(K182,";",REPT(" ",99)),397,99)),FIND(":",TRIM(MID(SUBSTITUTE(K182,";",REPT(" ",99)),397,99)))+1,999))-1),_Lookup!$A:$B,2,FALSE),"?")&amp;"×"&amp;LEFT(MID(MID(TRIM(MID(SUBSTITUTE(K182,";",REPT(" ",99)),397,99)),FIND(":",TRIM(MID(SUBSTITUTE(K182,";",REPT(" ",99)),397,99)))+1,999),FIND(":",MID(TRIM(MID(SUBSTITUTE(K182,";",REPT(" ",99)),397,99)),FIND(":",TRIM(MID(SUBSTITUTE(K182,";",REPT(" ",99)),397,99)))+1,999))+1,999),FIND(":",MID(MID(TRIM(MID(SUBSTITUTE(K182,";",REPT(" ",99)),397,99)),FIND(":",TRIM(MID(SUBSTITUTE(K182,";",REPT(" ",99)),397,99)))+1,999),FIND(":",MID(TRIM(MID(SUBSTITUTE(K182,";",REPT(" ",99)),397,99)),FIND(":",TRIM(MID(SUBSTITUTE(K182,";",REPT(" ",99)),397,99)))+1,999))+1,999))-1))))</f>
        <v/>
      </c>
    </row>
    <row r="183">
      <c r="D183" s="11">
        <f>IFERROR(VLOOKUP(C183,ItemData_Fish!$A:$B,2,FALSE),"")</f>
        <v/>
      </c>
      <c r="L183" s="11">
        <f>IF(K183="","",TEXTJOIN("; ",TRUE,IF(TRIM(MID(SUBSTITUTE(K183,";",REPT(" ",99)),1,99))="","",IFERROR(VLOOKUP(--LEFT(MID(TRIM(MID(SUBSTITUTE(K183,";",REPT(" ",99)),1,99)),FIND(":",TRIM(MID(SUBSTITUTE(K183,";",REPT(" ",99)),1,99)))+1,999),FIND(":",MID(TRIM(MID(SUBSTITUTE(K183,";",REPT(" ",99)),1,99)),FIND(":",TRIM(MID(SUBSTITUTE(K183,";",REPT(" ",99)),1,99)))+1,999))-1),_Lookup!$A:$B,2,FALSE),"?")&amp;"×"&amp;LEFT(MID(MID(TRIM(MID(SUBSTITUTE(K183,";",REPT(" ",99)),1,99)),FIND(":",TRIM(MID(SUBSTITUTE(K183,";",REPT(" ",99)),1,99)))+1,999),FIND(":",MID(TRIM(MID(SUBSTITUTE(K183,";",REPT(" ",99)),1,99)),FIND(":",TRIM(MID(SUBSTITUTE(K183,";",REPT(" ",99)),1,99)))+1,999))+1,999),FIND(":",MID(MID(TRIM(MID(SUBSTITUTE(K183,";",REPT(" ",99)),1,99)),FIND(":",TRIM(MID(SUBSTITUTE(K183,";",REPT(" ",99)),1,99)))+1,999),FIND(":",MID(TRIM(MID(SUBSTITUTE(K183,";",REPT(" ",99)),1,99)),FIND(":",TRIM(MID(SUBSTITUTE(K183,";",REPT(" ",99)),1,99)))+1,999))+1,999))-1)),IF(TRIM(MID(SUBSTITUTE(K183,";",REPT(" ",99)),100,99))="","",IFERROR(VLOOKUP(--LEFT(MID(TRIM(MID(SUBSTITUTE(K183,";",REPT(" ",99)),100,99)),FIND(":",TRIM(MID(SUBSTITUTE(K183,";",REPT(" ",99)),100,99)))+1,999),FIND(":",MID(TRIM(MID(SUBSTITUTE(K183,";",REPT(" ",99)),100,99)),FIND(":",TRIM(MID(SUBSTITUTE(K183,";",REPT(" ",99)),100,99)))+1,999))-1),_Lookup!$A:$B,2,FALSE),"?")&amp;"×"&amp;LEFT(MID(MID(TRIM(MID(SUBSTITUTE(K183,";",REPT(" ",99)),100,99)),FIND(":",TRIM(MID(SUBSTITUTE(K183,";",REPT(" ",99)),100,99)))+1,999),FIND(":",MID(TRIM(MID(SUBSTITUTE(K183,";",REPT(" ",99)),100,99)),FIND(":",TRIM(MID(SUBSTITUTE(K183,";",REPT(" ",99)),100,99)))+1,999))+1,999),FIND(":",MID(MID(TRIM(MID(SUBSTITUTE(K183,";",REPT(" ",99)),100,99)),FIND(":",TRIM(MID(SUBSTITUTE(K183,";",REPT(" ",99)),100,99)))+1,999),FIND(":",MID(TRIM(MID(SUBSTITUTE(K183,";",REPT(" ",99)),100,99)),FIND(":",TRIM(MID(SUBSTITUTE(K183,";",REPT(" ",99)),100,99)))+1,999))+1,999))-1)),IF(TRIM(MID(SUBSTITUTE(K183,";",REPT(" ",99)),199,99))="","",IFERROR(VLOOKUP(--LEFT(MID(TRIM(MID(SUBSTITUTE(K183,";",REPT(" ",99)),199,99)),FIND(":",TRIM(MID(SUBSTITUTE(K183,";",REPT(" ",99)),199,99)))+1,999),FIND(":",MID(TRIM(MID(SUBSTITUTE(K183,";",REPT(" ",99)),199,99)),FIND(":",TRIM(MID(SUBSTITUTE(K183,";",REPT(" ",99)),199,99)))+1,999))-1),_Lookup!$A:$B,2,FALSE),"?")&amp;"×"&amp;LEFT(MID(MID(TRIM(MID(SUBSTITUTE(K183,";",REPT(" ",99)),199,99)),FIND(":",TRIM(MID(SUBSTITUTE(K183,";",REPT(" ",99)),199,99)))+1,999),FIND(":",MID(TRIM(MID(SUBSTITUTE(K183,";",REPT(" ",99)),199,99)),FIND(":",TRIM(MID(SUBSTITUTE(K183,";",REPT(" ",99)),199,99)))+1,999))+1,999),FIND(":",MID(MID(TRIM(MID(SUBSTITUTE(K183,";",REPT(" ",99)),199,99)),FIND(":",TRIM(MID(SUBSTITUTE(K183,";",REPT(" ",99)),199,99)))+1,999),FIND(":",MID(TRIM(MID(SUBSTITUTE(K183,";",REPT(" ",99)),199,99)),FIND(":",TRIM(MID(SUBSTITUTE(K183,";",REPT(" ",99)),199,99)))+1,999))+1,999))-1)),IF(TRIM(MID(SUBSTITUTE(K183,";",REPT(" ",99)),298,99))="","",IFERROR(VLOOKUP(--LEFT(MID(TRIM(MID(SUBSTITUTE(K183,";",REPT(" ",99)),298,99)),FIND(":",TRIM(MID(SUBSTITUTE(K183,";",REPT(" ",99)),298,99)))+1,999),FIND(":",MID(TRIM(MID(SUBSTITUTE(K183,";",REPT(" ",99)),298,99)),FIND(":",TRIM(MID(SUBSTITUTE(K183,";",REPT(" ",99)),298,99)))+1,999))-1),_Lookup!$A:$B,2,FALSE),"?")&amp;"×"&amp;LEFT(MID(MID(TRIM(MID(SUBSTITUTE(K183,";",REPT(" ",99)),298,99)),FIND(":",TRIM(MID(SUBSTITUTE(K183,";",REPT(" ",99)),298,99)))+1,999),FIND(":",MID(TRIM(MID(SUBSTITUTE(K183,";",REPT(" ",99)),298,99)),FIND(":",TRIM(MID(SUBSTITUTE(K183,";",REPT(" ",99)),298,99)))+1,999))+1,999),FIND(":",MID(MID(TRIM(MID(SUBSTITUTE(K183,";",REPT(" ",99)),298,99)),FIND(":",TRIM(MID(SUBSTITUTE(K183,";",REPT(" ",99)),298,99)))+1,999),FIND(":",MID(TRIM(MID(SUBSTITUTE(K183,";",REPT(" ",99)),298,99)),FIND(":",TRIM(MID(SUBSTITUTE(K183,";",REPT(" ",99)),298,99)))+1,999))+1,999))-1)),IF(TRIM(MID(SUBSTITUTE(K183,";",REPT(" ",99)),397,99))="","",IFERROR(VLOOKUP(--LEFT(MID(TRIM(MID(SUBSTITUTE(K183,";",REPT(" ",99)),397,99)),FIND(":",TRIM(MID(SUBSTITUTE(K183,";",REPT(" ",99)),397,99)))+1,999),FIND(":",MID(TRIM(MID(SUBSTITUTE(K183,";",REPT(" ",99)),397,99)),FIND(":",TRIM(MID(SUBSTITUTE(K183,";",REPT(" ",99)),397,99)))+1,999))-1),_Lookup!$A:$B,2,FALSE),"?")&amp;"×"&amp;LEFT(MID(MID(TRIM(MID(SUBSTITUTE(K183,";",REPT(" ",99)),397,99)),FIND(":",TRIM(MID(SUBSTITUTE(K183,";",REPT(" ",99)),397,99)))+1,999),FIND(":",MID(TRIM(MID(SUBSTITUTE(K183,";",REPT(" ",99)),397,99)),FIND(":",TRIM(MID(SUBSTITUTE(K183,";",REPT(" ",99)),397,99)))+1,999))+1,999),FIND(":",MID(MID(TRIM(MID(SUBSTITUTE(K183,";",REPT(" ",99)),397,99)),FIND(":",TRIM(MID(SUBSTITUTE(K183,";",REPT(" ",99)),397,99)))+1,999),FIND(":",MID(TRIM(MID(SUBSTITUTE(K183,";",REPT(" ",99)),397,99)),FIND(":",TRIM(MID(SUBSTITUTE(K183,";",REPT(" ",99)),397,99)))+1,999))+1,999))-1))))</f>
        <v/>
      </c>
    </row>
    <row r="184">
      <c r="D184" s="11">
        <f>IFERROR(VLOOKUP(C184,ItemData_Fish!$A:$B,2,FALSE),"")</f>
        <v/>
      </c>
      <c r="L184" s="11">
        <f>IF(K184="","",TEXTJOIN("; ",TRUE,IF(TRIM(MID(SUBSTITUTE(K184,";",REPT(" ",99)),1,99))="","",IFERROR(VLOOKUP(--LEFT(MID(TRIM(MID(SUBSTITUTE(K184,";",REPT(" ",99)),1,99)),FIND(":",TRIM(MID(SUBSTITUTE(K184,";",REPT(" ",99)),1,99)))+1,999),FIND(":",MID(TRIM(MID(SUBSTITUTE(K184,";",REPT(" ",99)),1,99)),FIND(":",TRIM(MID(SUBSTITUTE(K184,";",REPT(" ",99)),1,99)))+1,999))-1),_Lookup!$A:$B,2,FALSE),"?")&amp;"×"&amp;LEFT(MID(MID(TRIM(MID(SUBSTITUTE(K184,";",REPT(" ",99)),1,99)),FIND(":",TRIM(MID(SUBSTITUTE(K184,";",REPT(" ",99)),1,99)))+1,999),FIND(":",MID(TRIM(MID(SUBSTITUTE(K184,";",REPT(" ",99)),1,99)),FIND(":",TRIM(MID(SUBSTITUTE(K184,";",REPT(" ",99)),1,99)))+1,999))+1,999),FIND(":",MID(MID(TRIM(MID(SUBSTITUTE(K184,";",REPT(" ",99)),1,99)),FIND(":",TRIM(MID(SUBSTITUTE(K184,";",REPT(" ",99)),1,99)))+1,999),FIND(":",MID(TRIM(MID(SUBSTITUTE(K184,";",REPT(" ",99)),1,99)),FIND(":",TRIM(MID(SUBSTITUTE(K184,";",REPT(" ",99)),1,99)))+1,999))+1,999))-1)),IF(TRIM(MID(SUBSTITUTE(K184,";",REPT(" ",99)),100,99))="","",IFERROR(VLOOKUP(--LEFT(MID(TRIM(MID(SUBSTITUTE(K184,";",REPT(" ",99)),100,99)),FIND(":",TRIM(MID(SUBSTITUTE(K184,";",REPT(" ",99)),100,99)))+1,999),FIND(":",MID(TRIM(MID(SUBSTITUTE(K184,";",REPT(" ",99)),100,99)),FIND(":",TRIM(MID(SUBSTITUTE(K184,";",REPT(" ",99)),100,99)))+1,999))-1),_Lookup!$A:$B,2,FALSE),"?")&amp;"×"&amp;LEFT(MID(MID(TRIM(MID(SUBSTITUTE(K184,";",REPT(" ",99)),100,99)),FIND(":",TRIM(MID(SUBSTITUTE(K184,";",REPT(" ",99)),100,99)))+1,999),FIND(":",MID(TRIM(MID(SUBSTITUTE(K184,";",REPT(" ",99)),100,99)),FIND(":",TRIM(MID(SUBSTITUTE(K184,";",REPT(" ",99)),100,99)))+1,999))+1,999),FIND(":",MID(MID(TRIM(MID(SUBSTITUTE(K184,";",REPT(" ",99)),100,99)),FIND(":",TRIM(MID(SUBSTITUTE(K184,";",REPT(" ",99)),100,99)))+1,999),FIND(":",MID(TRIM(MID(SUBSTITUTE(K184,";",REPT(" ",99)),100,99)),FIND(":",TRIM(MID(SUBSTITUTE(K184,";",REPT(" ",99)),100,99)))+1,999))+1,999))-1)),IF(TRIM(MID(SUBSTITUTE(K184,";",REPT(" ",99)),199,99))="","",IFERROR(VLOOKUP(--LEFT(MID(TRIM(MID(SUBSTITUTE(K184,";",REPT(" ",99)),199,99)),FIND(":",TRIM(MID(SUBSTITUTE(K184,";",REPT(" ",99)),199,99)))+1,999),FIND(":",MID(TRIM(MID(SUBSTITUTE(K184,";",REPT(" ",99)),199,99)),FIND(":",TRIM(MID(SUBSTITUTE(K184,";",REPT(" ",99)),199,99)))+1,999))-1),_Lookup!$A:$B,2,FALSE),"?")&amp;"×"&amp;LEFT(MID(MID(TRIM(MID(SUBSTITUTE(K184,";",REPT(" ",99)),199,99)),FIND(":",TRIM(MID(SUBSTITUTE(K184,";",REPT(" ",99)),199,99)))+1,999),FIND(":",MID(TRIM(MID(SUBSTITUTE(K184,";",REPT(" ",99)),199,99)),FIND(":",TRIM(MID(SUBSTITUTE(K184,";",REPT(" ",99)),199,99)))+1,999))+1,999),FIND(":",MID(MID(TRIM(MID(SUBSTITUTE(K184,";",REPT(" ",99)),199,99)),FIND(":",TRIM(MID(SUBSTITUTE(K184,";",REPT(" ",99)),199,99)))+1,999),FIND(":",MID(TRIM(MID(SUBSTITUTE(K184,";",REPT(" ",99)),199,99)),FIND(":",TRIM(MID(SUBSTITUTE(K184,";",REPT(" ",99)),199,99)))+1,999))+1,999))-1)),IF(TRIM(MID(SUBSTITUTE(K184,";",REPT(" ",99)),298,99))="","",IFERROR(VLOOKUP(--LEFT(MID(TRIM(MID(SUBSTITUTE(K184,";",REPT(" ",99)),298,99)),FIND(":",TRIM(MID(SUBSTITUTE(K184,";",REPT(" ",99)),298,99)))+1,999),FIND(":",MID(TRIM(MID(SUBSTITUTE(K184,";",REPT(" ",99)),298,99)),FIND(":",TRIM(MID(SUBSTITUTE(K184,";",REPT(" ",99)),298,99)))+1,999))-1),_Lookup!$A:$B,2,FALSE),"?")&amp;"×"&amp;LEFT(MID(MID(TRIM(MID(SUBSTITUTE(K184,";",REPT(" ",99)),298,99)),FIND(":",TRIM(MID(SUBSTITUTE(K184,";",REPT(" ",99)),298,99)))+1,999),FIND(":",MID(TRIM(MID(SUBSTITUTE(K184,";",REPT(" ",99)),298,99)),FIND(":",TRIM(MID(SUBSTITUTE(K184,";",REPT(" ",99)),298,99)))+1,999))+1,999),FIND(":",MID(MID(TRIM(MID(SUBSTITUTE(K184,";",REPT(" ",99)),298,99)),FIND(":",TRIM(MID(SUBSTITUTE(K184,";",REPT(" ",99)),298,99)))+1,999),FIND(":",MID(TRIM(MID(SUBSTITUTE(K184,";",REPT(" ",99)),298,99)),FIND(":",TRIM(MID(SUBSTITUTE(K184,";",REPT(" ",99)),298,99)))+1,999))+1,999))-1)),IF(TRIM(MID(SUBSTITUTE(K184,";",REPT(" ",99)),397,99))="","",IFERROR(VLOOKUP(--LEFT(MID(TRIM(MID(SUBSTITUTE(K184,";",REPT(" ",99)),397,99)),FIND(":",TRIM(MID(SUBSTITUTE(K184,";",REPT(" ",99)),397,99)))+1,999),FIND(":",MID(TRIM(MID(SUBSTITUTE(K184,";",REPT(" ",99)),397,99)),FIND(":",TRIM(MID(SUBSTITUTE(K184,";",REPT(" ",99)),397,99)))+1,999))-1),_Lookup!$A:$B,2,FALSE),"?")&amp;"×"&amp;LEFT(MID(MID(TRIM(MID(SUBSTITUTE(K184,";",REPT(" ",99)),397,99)),FIND(":",TRIM(MID(SUBSTITUTE(K184,";",REPT(" ",99)),397,99)))+1,999),FIND(":",MID(TRIM(MID(SUBSTITUTE(K184,";",REPT(" ",99)),397,99)),FIND(":",TRIM(MID(SUBSTITUTE(K184,";",REPT(" ",99)),397,99)))+1,999))+1,999),FIND(":",MID(MID(TRIM(MID(SUBSTITUTE(K184,";",REPT(" ",99)),397,99)),FIND(":",TRIM(MID(SUBSTITUTE(K184,";",REPT(" ",99)),397,99)))+1,999),FIND(":",MID(TRIM(MID(SUBSTITUTE(K184,";",REPT(" ",99)),397,99)),FIND(":",TRIM(MID(SUBSTITUTE(K184,";",REPT(" ",99)),397,99)))+1,999))+1,999))-1))))</f>
        <v/>
      </c>
    </row>
    <row r="185">
      <c r="D185" s="11">
        <f>IFERROR(VLOOKUP(C185,ItemData_Fish!$A:$B,2,FALSE),"")</f>
        <v/>
      </c>
      <c r="L185" s="11">
        <f>IF(K185="","",TEXTJOIN("; ",TRUE,IF(TRIM(MID(SUBSTITUTE(K185,";",REPT(" ",99)),1,99))="","",IFERROR(VLOOKUP(--LEFT(MID(TRIM(MID(SUBSTITUTE(K185,";",REPT(" ",99)),1,99)),FIND(":",TRIM(MID(SUBSTITUTE(K185,";",REPT(" ",99)),1,99)))+1,999),FIND(":",MID(TRIM(MID(SUBSTITUTE(K185,";",REPT(" ",99)),1,99)),FIND(":",TRIM(MID(SUBSTITUTE(K185,";",REPT(" ",99)),1,99)))+1,999))-1),_Lookup!$A:$B,2,FALSE),"?")&amp;"×"&amp;LEFT(MID(MID(TRIM(MID(SUBSTITUTE(K185,";",REPT(" ",99)),1,99)),FIND(":",TRIM(MID(SUBSTITUTE(K185,";",REPT(" ",99)),1,99)))+1,999),FIND(":",MID(TRIM(MID(SUBSTITUTE(K185,";",REPT(" ",99)),1,99)),FIND(":",TRIM(MID(SUBSTITUTE(K185,";",REPT(" ",99)),1,99)))+1,999))+1,999),FIND(":",MID(MID(TRIM(MID(SUBSTITUTE(K185,";",REPT(" ",99)),1,99)),FIND(":",TRIM(MID(SUBSTITUTE(K185,";",REPT(" ",99)),1,99)))+1,999),FIND(":",MID(TRIM(MID(SUBSTITUTE(K185,";",REPT(" ",99)),1,99)),FIND(":",TRIM(MID(SUBSTITUTE(K185,";",REPT(" ",99)),1,99)))+1,999))+1,999))-1)),IF(TRIM(MID(SUBSTITUTE(K185,";",REPT(" ",99)),100,99))="","",IFERROR(VLOOKUP(--LEFT(MID(TRIM(MID(SUBSTITUTE(K185,";",REPT(" ",99)),100,99)),FIND(":",TRIM(MID(SUBSTITUTE(K185,";",REPT(" ",99)),100,99)))+1,999),FIND(":",MID(TRIM(MID(SUBSTITUTE(K185,";",REPT(" ",99)),100,99)),FIND(":",TRIM(MID(SUBSTITUTE(K185,";",REPT(" ",99)),100,99)))+1,999))-1),_Lookup!$A:$B,2,FALSE),"?")&amp;"×"&amp;LEFT(MID(MID(TRIM(MID(SUBSTITUTE(K185,";",REPT(" ",99)),100,99)),FIND(":",TRIM(MID(SUBSTITUTE(K185,";",REPT(" ",99)),100,99)))+1,999),FIND(":",MID(TRIM(MID(SUBSTITUTE(K185,";",REPT(" ",99)),100,99)),FIND(":",TRIM(MID(SUBSTITUTE(K185,";",REPT(" ",99)),100,99)))+1,999))+1,999),FIND(":",MID(MID(TRIM(MID(SUBSTITUTE(K185,";",REPT(" ",99)),100,99)),FIND(":",TRIM(MID(SUBSTITUTE(K185,";",REPT(" ",99)),100,99)))+1,999),FIND(":",MID(TRIM(MID(SUBSTITUTE(K185,";",REPT(" ",99)),100,99)),FIND(":",TRIM(MID(SUBSTITUTE(K185,";",REPT(" ",99)),100,99)))+1,999))+1,999))-1)),IF(TRIM(MID(SUBSTITUTE(K185,";",REPT(" ",99)),199,99))="","",IFERROR(VLOOKUP(--LEFT(MID(TRIM(MID(SUBSTITUTE(K185,";",REPT(" ",99)),199,99)),FIND(":",TRIM(MID(SUBSTITUTE(K185,";",REPT(" ",99)),199,99)))+1,999),FIND(":",MID(TRIM(MID(SUBSTITUTE(K185,";",REPT(" ",99)),199,99)),FIND(":",TRIM(MID(SUBSTITUTE(K185,";",REPT(" ",99)),199,99)))+1,999))-1),_Lookup!$A:$B,2,FALSE),"?")&amp;"×"&amp;LEFT(MID(MID(TRIM(MID(SUBSTITUTE(K185,";",REPT(" ",99)),199,99)),FIND(":",TRIM(MID(SUBSTITUTE(K185,";",REPT(" ",99)),199,99)))+1,999),FIND(":",MID(TRIM(MID(SUBSTITUTE(K185,";",REPT(" ",99)),199,99)),FIND(":",TRIM(MID(SUBSTITUTE(K185,";",REPT(" ",99)),199,99)))+1,999))+1,999),FIND(":",MID(MID(TRIM(MID(SUBSTITUTE(K185,";",REPT(" ",99)),199,99)),FIND(":",TRIM(MID(SUBSTITUTE(K185,";",REPT(" ",99)),199,99)))+1,999),FIND(":",MID(TRIM(MID(SUBSTITUTE(K185,";",REPT(" ",99)),199,99)),FIND(":",TRIM(MID(SUBSTITUTE(K185,";",REPT(" ",99)),199,99)))+1,999))+1,999))-1)),IF(TRIM(MID(SUBSTITUTE(K185,";",REPT(" ",99)),298,99))="","",IFERROR(VLOOKUP(--LEFT(MID(TRIM(MID(SUBSTITUTE(K185,";",REPT(" ",99)),298,99)),FIND(":",TRIM(MID(SUBSTITUTE(K185,";",REPT(" ",99)),298,99)))+1,999),FIND(":",MID(TRIM(MID(SUBSTITUTE(K185,";",REPT(" ",99)),298,99)),FIND(":",TRIM(MID(SUBSTITUTE(K185,";",REPT(" ",99)),298,99)))+1,999))-1),_Lookup!$A:$B,2,FALSE),"?")&amp;"×"&amp;LEFT(MID(MID(TRIM(MID(SUBSTITUTE(K185,";",REPT(" ",99)),298,99)),FIND(":",TRIM(MID(SUBSTITUTE(K185,";",REPT(" ",99)),298,99)))+1,999),FIND(":",MID(TRIM(MID(SUBSTITUTE(K185,";",REPT(" ",99)),298,99)),FIND(":",TRIM(MID(SUBSTITUTE(K185,";",REPT(" ",99)),298,99)))+1,999))+1,999),FIND(":",MID(MID(TRIM(MID(SUBSTITUTE(K185,";",REPT(" ",99)),298,99)),FIND(":",TRIM(MID(SUBSTITUTE(K185,";",REPT(" ",99)),298,99)))+1,999),FIND(":",MID(TRIM(MID(SUBSTITUTE(K185,";",REPT(" ",99)),298,99)),FIND(":",TRIM(MID(SUBSTITUTE(K185,";",REPT(" ",99)),298,99)))+1,999))+1,999))-1)),IF(TRIM(MID(SUBSTITUTE(K185,";",REPT(" ",99)),397,99))="","",IFERROR(VLOOKUP(--LEFT(MID(TRIM(MID(SUBSTITUTE(K185,";",REPT(" ",99)),397,99)),FIND(":",TRIM(MID(SUBSTITUTE(K185,";",REPT(" ",99)),397,99)))+1,999),FIND(":",MID(TRIM(MID(SUBSTITUTE(K185,";",REPT(" ",99)),397,99)),FIND(":",TRIM(MID(SUBSTITUTE(K185,";",REPT(" ",99)),397,99)))+1,999))-1),_Lookup!$A:$B,2,FALSE),"?")&amp;"×"&amp;LEFT(MID(MID(TRIM(MID(SUBSTITUTE(K185,";",REPT(" ",99)),397,99)),FIND(":",TRIM(MID(SUBSTITUTE(K185,";",REPT(" ",99)),397,99)))+1,999),FIND(":",MID(TRIM(MID(SUBSTITUTE(K185,";",REPT(" ",99)),397,99)),FIND(":",TRIM(MID(SUBSTITUTE(K185,";",REPT(" ",99)),397,99)))+1,999))+1,999),FIND(":",MID(MID(TRIM(MID(SUBSTITUTE(K185,";",REPT(" ",99)),397,99)),FIND(":",TRIM(MID(SUBSTITUTE(K185,";",REPT(" ",99)),397,99)))+1,999),FIND(":",MID(TRIM(MID(SUBSTITUTE(K185,";",REPT(" ",99)),397,99)),FIND(":",TRIM(MID(SUBSTITUTE(K185,";",REPT(" ",99)),397,99)))+1,999))+1,999))-1))))</f>
        <v/>
      </c>
    </row>
    <row r="186">
      <c r="D186" s="11">
        <f>IFERROR(VLOOKUP(C186,ItemData_Fish!$A:$B,2,FALSE),"")</f>
        <v/>
      </c>
      <c r="L186" s="11">
        <f>IF(K186="","",TEXTJOIN("; ",TRUE,IF(TRIM(MID(SUBSTITUTE(K186,";",REPT(" ",99)),1,99))="","",IFERROR(VLOOKUP(--LEFT(MID(TRIM(MID(SUBSTITUTE(K186,";",REPT(" ",99)),1,99)),FIND(":",TRIM(MID(SUBSTITUTE(K186,";",REPT(" ",99)),1,99)))+1,999),FIND(":",MID(TRIM(MID(SUBSTITUTE(K186,";",REPT(" ",99)),1,99)),FIND(":",TRIM(MID(SUBSTITUTE(K186,";",REPT(" ",99)),1,99)))+1,999))-1),_Lookup!$A:$B,2,FALSE),"?")&amp;"×"&amp;LEFT(MID(MID(TRIM(MID(SUBSTITUTE(K186,";",REPT(" ",99)),1,99)),FIND(":",TRIM(MID(SUBSTITUTE(K186,";",REPT(" ",99)),1,99)))+1,999),FIND(":",MID(TRIM(MID(SUBSTITUTE(K186,";",REPT(" ",99)),1,99)),FIND(":",TRIM(MID(SUBSTITUTE(K186,";",REPT(" ",99)),1,99)))+1,999))+1,999),FIND(":",MID(MID(TRIM(MID(SUBSTITUTE(K186,";",REPT(" ",99)),1,99)),FIND(":",TRIM(MID(SUBSTITUTE(K186,";",REPT(" ",99)),1,99)))+1,999),FIND(":",MID(TRIM(MID(SUBSTITUTE(K186,";",REPT(" ",99)),1,99)),FIND(":",TRIM(MID(SUBSTITUTE(K186,";",REPT(" ",99)),1,99)))+1,999))+1,999))-1)),IF(TRIM(MID(SUBSTITUTE(K186,";",REPT(" ",99)),100,99))="","",IFERROR(VLOOKUP(--LEFT(MID(TRIM(MID(SUBSTITUTE(K186,";",REPT(" ",99)),100,99)),FIND(":",TRIM(MID(SUBSTITUTE(K186,";",REPT(" ",99)),100,99)))+1,999),FIND(":",MID(TRIM(MID(SUBSTITUTE(K186,";",REPT(" ",99)),100,99)),FIND(":",TRIM(MID(SUBSTITUTE(K186,";",REPT(" ",99)),100,99)))+1,999))-1),_Lookup!$A:$B,2,FALSE),"?")&amp;"×"&amp;LEFT(MID(MID(TRIM(MID(SUBSTITUTE(K186,";",REPT(" ",99)),100,99)),FIND(":",TRIM(MID(SUBSTITUTE(K186,";",REPT(" ",99)),100,99)))+1,999),FIND(":",MID(TRIM(MID(SUBSTITUTE(K186,";",REPT(" ",99)),100,99)),FIND(":",TRIM(MID(SUBSTITUTE(K186,";",REPT(" ",99)),100,99)))+1,999))+1,999),FIND(":",MID(MID(TRIM(MID(SUBSTITUTE(K186,";",REPT(" ",99)),100,99)),FIND(":",TRIM(MID(SUBSTITUTE(K186,";",REPT(" ",99)),100,99)))+1,999),FIND(":",MID(TRIM(MID(SUBSTITUTE(K186,";",REPT(" ",99)),100,99)),FIND(":",TRIM(MID(SUBSTITUTE(K186,";",REPT(" ",99)),100,99)))+1,999))+1,999))-1)),IF(TRIM(MID(SUBSTITUTE(K186,";",REPT(" ",99)),199,99))="","",IFERROR(VLOOKUP(--LEFT(MID(TRIM(MID(SUBSTITUTE(K186,";",REPT(" ",99)),199,99)),FIND(":",TRIM(MID(SUBSTITUTE(K186,";",REPT(" ",99)),199,99)))+1,999),FIND(":",MID(TRIM(MID(SUBSTITUTE(K186,";",REPT(" ",99)),199,99)),FIND(":",TRIM(MID(SUBSTITUTE(K186,";",REPT(" ",99)),199,99)))+1,999))-1),_Lookup!$A:$B,2,FALSE),"?")&amp;"×"&amp;LEFT(MID(MID(TRIM(MID(SUBSTITUTE(K186,";",REPT(" ",99)),199,99)),FIND(":",TRIM(MID(SUBSTITUTE(K186,";",REPT(" ",99)),199,99)))+1,999),FIND(":",MID(TRIM(MID(SUBSTITUTE(K186,";",REPT(" ",99)),199,99)),FIND(":",TRIM(MID(SUBSTITUTE(K186,";",REPT(" ",99)),199,99)))+1,999))+1,999),FIND(":",MID(MID(TRIM(MID(SUBSTITUTE(K186,";",REPT(" ",99)),199,99)),FIND(":",TRIM(MID(SUBSTITUTE(K186,";",REPT(" ",99)),199,99)))+1,999),FIND(":",MID(TRIM(MID(SUBSTITUTE(K186,";",REPT(" ",99)),199,99)),FIND(":",TRIM(MID(SUBSTITUTE(K186,";",REPT(" ",99)),199,99)))+1,999))+1,999))-1)),IF(TRIM(MID(SUBSTITUTE(K186,";",REPT(" ",99)),298,99))="","",IFERROR(VLOOKUP(--LEFT(MID(TRIM(MID(SUBSTITUTE(K186,";",REPT(" ",99)),298,99)),FIND(":",TRIM(MID(SUBSTITUTE(K186,";",REPT(" ",99)),298,99)))+1,999),FIND(":",MID(TRIM(MID(SUBSTITUTE(K186,";",REPT(" ",99)),298,99)),FIND(":",TRIM(MID(SUBSTITUTE(K186,";",REPT(" ",99)),298,99)))+1,999))-1),_Lookup!$A:$B,2,FALSE),"?")&amp;"×"&amp;LEFT(MID(MID(TRIM(MID(SUBSTITUTE(K186,";",REPT(" ",99)),298,99)),FIND(":",TRIM(MID(SUBSTITUTE(K186,";",REPT(" ",99)),298,99)))+1,999),FIND(":",MID(TRIM(MID(SUBSTITUTE(K186,";",REPT(" ",99)),298,99)),FIND(":",TRIM(MID(SUBSTITUTE(K186,";",REPT(" ",99)),298,99)))+1,999))+1,999),FIND(":",MID(MID(TRIM(MID(SUBSTITUTE(K186,";",REPT(" ",99)),298,99)),FIND(":",TRIM(MID(SUBSTITUTE(K186,";",REPT(" ",99)),298,99)))+1,999),FIND(":",MID(TRIM(MID(SUBSTITUTE(K186,";",REPT(" ",99)),298,99)),FIND(":",TRIM(MID(SUBSTITUTE(K186,";",REPT(" ",99)),298,99)))+1,999))+1,999))-1)),IF(TRIM(MID(SUBSTITUTE(K186,";",REPT(" ",99)),397,99))="","",IFERROR(VLOOKUP(--LEFT(MID(TRIM(MID(SUBSTITUTE(K186,";",REPT(" ",99)),397,99)),FIND(":",TRIM(MID(SUBSTITUTE(K186,";",REPT(" ",99)),397,99)))+1,999),FIND(":",MID(TRIM(MID(SUBSTITUTE(K186,";",REPT(" ",99)),397,99)),FIND(":",TRIM(MID(SUBSTITUTE(K186,";",REPT(" ",99)),397,99)))+1,999))-1),_Lookup!$A:$B,2,FALSE),"?")&amp;"×"&amp;LEFT(MID(MID(TRIM(MID(SUBSTITUTE(K186,";",REPT(" ",99)),397,99)),FIND(":",TRIM(MID(SUBSTITUTE(K186,";",REPT(" ",99)),397,99)))+1,999),FIND(":",MID(TRIM(MID(SUBSTITUTE(K186,";",REPT(" ",99)),397,99)),FIND(":",TRIM(MID(SUBSTITUTE(K186,";",REPT(" ",99)),397,99)))+1,999))+1,999),FIND(":",MID(MID(TRIM(MID(SUBSTITUTE(K186,";",REPT(" ",99)),397,99)),FIND(":",TRIM(MID(SUBSTITUTE(K186,";",REPT(" ",99)),397,99)))+1,999),FIND(":",MID(TRIM(MID(SUBSTITUTE(K186,";",REPT(" ",99)),397,99)),FIND(":",TRIM(MID(SUBSTITUTE(K186,";",REPT(" ",99)),397,99)))+1,999))+1,999))-1))))</f>
        <v/>
      </c>
    </row>
    <row r="187">
      <c r="D187" s="11">
        <f>IFERROR(VLOOKUP(C187,ItemData_Fish!$A:$B,2,FALSE),"")</f>
        <v/>
      </c>
      <c r="L187" s="11">
        <f>IF(K187="","",TEXTJOIN("; ",TRUE,IF(TRIM(MID(SUBSTITUTE(K187,";",REPT(" ",99)),1,99))="","",IFERROR(VLOOKUP(--LEFT(MID(TRIM(MID(SUBSTITUTE(K187,";",REPT(" ",99)),1,99)),FIND(":",TRIM(MID(SUBSTITUTE(K187,";",REPT(" ",99)),1,99)))+1,999),FIND(":",MID(TRIM(MID(SUBSTITUTE(K187,";",REPT(" ",99)),1,99)),FIND(":",TRIM(MID(SUBSTITUTE(K187,";",REPT(" ",99)),1,99)))+1,999))-1),_Lookup!$A:$B,2,FALSE),"?")&amp;"×"&amp;LEFT(MID(MID(TRIM(MID(SUBSTITUTE(K187,";",REPT(" ",99)),1,99)),FIND(":",TRIM(MID(SUBSTITUTE(K187,";",REPT(" ",99)),1,99)))+1,999),FIND(":",MID(TRIM(MID(SUBSTITUTE(K187,";",REPT(" ",99)),1,99)),FIND(":",TRIM(MID(SUBSTITUTE(K187,";",REPT(" ",99)),1,99)))+1,999))+1,999),FIND(":",MID(MID(TRIM(MID(SUBSTITUTE(K187,";",REPT(" ",99)),1,99)),FIND(":",TRIM(MID(SUBSTITUTE(K187,";",REPT(" ",99)),1,99)))+1,999),FIND(":",MID(TRIM(MID(SUBSTITUTE(K187,";",REPT(" ",99)),1,99)),FIND(":",TRIM(MID(SUBSTITUTE(K187,";",REPT(" ",99)),1,99)))+1,999))+1,999))-1)),IF(TRIM(MID(SUBSTITUTE(K187,";",REPT(" ",99)),100,99))="","",IFERROR(VLOOKUP(--LEFT(MID(TRIM(MID(SUBSTITUTE(K187,";",REPT(" ",99)),100,99)),FIND(":",TRIM(MID(SUBSTITUTE(K187,";",REPT(" ",99)),100,99)))+1,999),FIND(":",MID(TRIM(MID(SUBSTITUTE(K187,";",REPT(" ",99)),100,99)),FIND(":",TRIM(MID(SUBSTITUTE(K187,";",REPT(" ",99)),100,99)))+1,999))-1),_Lookup!$A:$B,2,FALSE),"?")&amp;"×"&amp;LEFT(MID(MID(TRIM(MID(SUBSTITUTE(K187,";",REPT(" ",99)),100,99)),FIND(":",TRIM(MID(SUBSTITUTE(K187,";",REPT(" ",99)),100,99)))+1,999),FIND(":",MID(TRIM(MID(SUBSTITUTE(K187,";",REPT(" ",99)),100,99)),FIND(":",TRIM(MID(SUBSTITUTE(K187,";",REPT(" ",99)),100,99)))+1,999))+1,999),FIND(":",MID(MID(TRIM(MID(SUBSTITUTE(K187,";",REPT(" ",99)),100,99)),FIND(":",TRIM(MID(SUBSTITUTE(K187,";",REPT(" ",99)),100,99)))+1,999),FIND(":",MID(TRIM(MID(SUBSTITUTE(K187,";",REPT(" ",99)),100,99)),FIND(":",TRIM(MID(SUBSTITUTE(K187,";",REPT(" ",99)),100,99)))+1,999))+1,999))-1)),IF(TRIM(MID(SUBSTITUTE(K187,";",REPT(" ",99)),199,99))="","",IFERROR(VLOOKUP(--LEFT(MID(TRIM(MID(SUBSTITUTE(K187,";",REPT(" ",99)),199,99)),FIND(":",TRIM(MID(SUBSTITUTE(K187,";",REPT(" ",99)),199,99)))+1,999),FIND(":",MID(TRIM(MID(SUBSTITUTE(K187,";",REPT(" ",99)),199,99)),FIND(":",TRIM(MID(SUBSTITUTE(K187,";",REPT(" ",99)),199,99)))+1,999))-1),_Lookup!$A:$B,2,FALSE),"?")&amp;"×"&amp;LEFT(MID(MID(TRIM(MID(SUBSTITUTE(K187,";",REPT(" ",99)),199,99)),FIND(":",TRIM(MID(SUBSTITUTE(K187,";",REPT(" ",99)),199,99)))+1,999),FIND(":",MID(TRIM(MID(SUBSTITUTE(K187,";",REPT(" ",99)),199,99)),FIND(":",TRIM(MID(SUBSTITUTE(K187,";",REPT(" ",99)),199,99)))+1,999))+1,999),FIND(":",MID(MID(TRIM(MID(SUBSTITUTE(K187,";",REPT(" ",99)),199,99)),FIND(":",TRIM(MID(SUBSTITUTE(K187,";",REPT(" ",99)),199,99)))+1,999),FIND(":",MID(TRIM(MID(SUBSTITUTE(K187,";",REPT(" ",99)),199,99)),FIND(":",TRIM(MID(SUBSTITUTE(K187,";",REPT(" ",99)),199,99)))+1,999))+1,999))-1)),IF(TRIM(MID(SUBSTITUTE(K187,";",REPT(" ",99)),298,99))="","",IFERROR(VLOOKUP(--LEFT(MID(TRIM(MID(SUBSTITUTE(K187,";",REPT(" ",99)),298,99)),FIND(":",TRIM(MID(SUBSTITUTE(K187,";",REPT(" ",99)),298,99)))+1,999),FIND(":",MID(TRIM(MID(SUBSTITUTE(K187,";",REPT(" ",99)),298,99)),FIND(":",TRIM(MID(SUBSTITUTE(K187,";",REPT(" ",99)),298,99)))+1,999))-1),_Lookup!$A:$B,2,FALSE),"?")&amp;"×"&amp;LEFT(MID(MID(TRIM(MID(SUBSTITUTE(K187,";",REPT(" ",99)),298,99)),FIND(":",TRIM(MID(SUBSTITUTE(K187,";",REPT(" ",99)),298,99)))+1,999),FIND(":",MID(TRIM(MID(SUBSTITUTE(K187,";",REPT(" ",99)),298,99)),FIND(":",TRIM(MID(SUBSTITUTE(K187,";",REPT(" ",99)),298,99)))+1,999))+1,999),FIND(":",MID(MID(TRIM(MID(SUBSTITUTE(K187,";",REPT(" ",99)),298,99)),FIND(":",TRIM(MID(SUBSTITUTE(K187,";",REPT(" ",99)),298,99)))+1,999),FIND(":",MID(TRIM(MID(SUBSTITUTE(K187,";",REPT(" ",99)),298,99)),FIND(":",TRIM(MID(SUBSTITUTE(K187,";",REPT(" ",99)),298,99)))+1,999))+1,999))-1)),IF(TRIM(MID(SUBSTITUTE(K187,";",REPT(" ",99)),397,99))="","",IFERROR(VLOOKUP(--LEFT(MID(TRIM(MID(SUBSTITUTE(K187,";",REPT(" ",99)),397,99)),FIND(":",TRIM(MID(SUBSTITUTE(K187,";",REPT(" ",99)),397,99)))+1,999),FIND(":",MID(TRIM(MID(SUBSTITUTE(K187,";",REPT(" ",99)),397,99)),FIND(":",TRIM(MID(SUBSTITUTE(K187,";",REPT(" ",99)),397,99)))+1,999))-1),_Lookup!$A:$B,2,FALSE),"?")&amp;"×"&amp;LEFT(MID(MID(TRIM(MID(SUBSTITUTE(K187,";",REPT(" ",99)),397,99)),FIND(":",TRIM(MID(SUBSTITUTE(K187,";",REPT(" ",99)),397,99)))+1,999),FIND(":",MID(TRIM(MID(SUBSTITUTE(K187,";",REPT(" ",99)),397,99)),FIND(":",TRIM(MID(SUBSTITUTE(K187,";",REPT(" ",99)),397,99)))+1,999))+1,999),FIND(":",MID(MID(TRIM(MID(SUBSTITUTE(K187,";",REPT(" ",99)),397,99)),FIND(":",TRIM(MID(SUBSTITUTE(K187,";",REPT(" ",99)),397,99)))+1,999),FIND(":",MID(TRIM(MID(SUBSTITUTE(K187,";",REPT(" ",99)),397,99)),FIND(":",TRIM(MID(SUBSTITUTE(K187,";",REPT(" ",99)),397,99)))+1,999))+1,999))-1))))</f>
        <v/>
      </c>
    </row>
    <row r="188">
      <c r="D188" s="11">
        <f>IFERROR(VLOOKUP(C188,ItemData_Fish!$A:$B,2,FALSE),"")</f>
        <v/>
      </c>
      <c r="L188" s="11">
        <f>IF(K188="","",TEXTJOIN("; ",TRUE,IF(TRIM(MID(SUBSTITUTE(K188,";",REPT(" ",99)),1,99))="","",IFERROR(VLOOKUP(--LEFT(MID(TRIM(MID(SUBSTITUTE(K188,";",REPT(" ",99)),1,99)),FIND(":",TRIM(MID(SUBSTITUTE(K188,";",REPT(" ",99)),1,99)))+1,999),FIND(":",MID(TRIM(MID(SUBSTITUTE(K188,";",REPT(" ",99)),1,99)),FIND(":",TRIM(MID(SUBSTITUTE(K188,";",REPT(" ",99)),1,99)))+1,999))-1),_Lookup!$A:$B,2,FALSE),"?")&amp;"×"&amp;LEFT(MID(MID(TRIM(MID(SUBSTITUTE(K188,";",REPT(" ",99)),1,99)),FIND(":",TRIM(MID(SUBSTITUTE(K188,";",REPT(" ",99)),1,99)))+1,999),FIND(":",MID(TRIM(MID(SUBSTITUTE(K188,";",REPT(" ",99)),1,99)),FIND(":",TRIM(MID(SUBSTITUTE(K188,";",REPT(" ",99)),1,99)))+1,999))+1,999),FIND(":",MID(MID(TRIM(MID(SUBSTITUTE(K188,";",REPT(" ",99)),1,99)),FIND(":",TRIM(MID(SUBSTITUTE(K188,";",REPT(" ",99)),1,99)))+1,999),FIND(":",MID(TRIM(MID(SUBSTITUTE(K188,";",REPT(" ",99)),1,99)),FIND(":",TRIM(MID(SUBSTITUTE(K188,";",REPT(" ",99)),1,99)))+1,999))+1,999))-1)),IF(TRIM(MID(SUBSTITUTE(K188,";",REPT(" ",99)),100,99))="","",IFERROR(VLOOKUP(--LEFT(MID(TRIM(MID(SUBSTITUTE(K188,";",REPT(" ",99)),100,99)),FIND(":",TRIM(MID(SUBSTITUTE(K188,";",REPT(" ",99)),100,99)))+1,999),FIND(":",MID(TRIM(MID(SUBSTITUTE(K188,";",REPT(" ",99)),100,99)),FIND(":",TRIM(MID(SUBSTITUTE(K188,";",REPT(" ",99)),100,99)))+1,999))-1),_Lookup!$A:$B,2,FALSE),"?")&amp;"×"&amp;LEFT(MID(MID(TRIM(MID(SUBSTITUTE(K188,";",REPT(" ",99)),100,99)),FIND(":",TRIM(MID(SUBSTITUTE(K188,";",REPT(" ",99)),100,99)))+1,999),FIND(":",MID(TRIM(MID(SUBSTITUTE(K188,";",REPT(" ",99)),100,99)),FIND(":",TRIM(MID(SUBSTITUTE(K188,";",REPT(" ",99)),100,99)))+1,999))+1,999),FIND(":",MID(MID(TRIM(MID(SUBSTITUTE(K188,";",REPT(" ",99)),100,99)),FIND(":",TRIM(MID(SUBSTITUTE(K188,";",REPT(" ",99)),100,99)))+1,999),FIND(":",MID(TRIM(MID(SUBSTITUTE(K188,";",REPT(" ",99)),100,99)),FIND(":",TRIM(MID(SUBSTITUTE(K188,";",REPT(" ",99)),100,99)))+1,999))+1,999))-1)),IF(TRIM(MID(SUBSTITUTE(K188,";",REPT(" ",99)),199,99))="","",IFERROR(VLOOKUP(--LEFT(MID(TRIM(MID(SUBSTITUTE(K188,";",REPT(" ",99)),199,99)),FIND(":",TRIM(MID(SUBSTITUTE(K188,";",REPT(" ",99)),199,99)))+1,999),FIND(":",MID(TRIM(MID(SUBSTITUTE(K188,";",REPT(" ",99)),199,99)),FIND(":",TRIM(MID(SUBSTITUTE(K188,";",REPT(" ",99)),199,99)))+1,999))-1),_Lookup!$A:$B,2,FALSE),"?")&amp;"×"&amp;LEFT(MID(MID(TRIM(MID(SUBSTITUTE(K188,";",REPT(" ",99)),199,99)),FIND(":",TRIM(MID(SUBSTITUTE(K188,";",REPT(" ",99)),199,99)))+1,999),FIND(":",MID(TRIM(MID(SUBSTITUTE(K188,";",REPT(" ",99)),199,99)),FIND(":",TRIM(MID(SUBSTITUTE(K188,";",REPT(" ",99)),199,99)))+1,999))+1,999),FIND(":",MID(MID(TRIM(MID(SUBSTITUTE(K188,";",REPT(" ",99)),199,99)),FIND(":",TRIM(MID(SUBSTITUTE(K188,";",REPT(" ",99)),199,99)))+1,999),FIND(":",MID(TRIM(MID(SUBSTITUTE(K188,";",REPT(" ",99)),199,99)),FIND(":",TRIM(MID(SUBSTITUTE(K188,";",REPT(" ",99)),199,99)))+1,999))+1,999))-1)),IF(TRIM(MID(SUBSTITUTE(K188,";",REPT(" ",99)),298,99))="","",IFERROR(VLOOKUP(--LEFT(MID(TRIM(MID(SUBSTITUTE(K188,";",REPT(" ",99)),298,99)),FIND(":",TRIM(MID(SUBSTITUTE(K188,";",REPT(" ",99)),298,99)))+1,999),FIND(":",MID(TRIM(MID(SUBSTITUTE(K188,";",REPT(" ",99)),298,99)),FIND(":",TRIM(MID(SUBSTITUTE(K188,";",REPT(" ",99)),298,99)))+1,999))-1),_Lookup!$A:$B,2,FALSE),"?")&amp;"×"&amp;LEFT(MID(MID(TRIM(MID(SUBSTITUTE(K188,";",REPT(" ",99)),298,99)),FIND(":",TRIM(MID(SUBSTITUTE(K188,";",REPT(" ",99)),298,99)))+1,999),FIND(":",MID(TRIM(MID(SUBSTITUTE(K188,";",REPT(" ",99)),298,99)),FIND(":",TRIM(MID(SUBSTITUTE(K188,";",REPT(" ",99)),298,99)))+1,999))+1,999),FIND(":",MID(MID(TRIM(MID(SUBSTITUTE(K188,";",REPT(" ",99)),298,99)),FIND(":",TRIM(MID(SUBSTITUTE(K188,";",REPT(" ",99)),298,99)))+1,999),FIND(":",MID(TRIM(MID(SUBSTITUTE(K188,";",REPT(" ",99)),298,99)),FIND(":",TRIM(MID(SUBSTITUTE(K188,";",REPT(" ",99)),298,99)))+1,999))+1,999))-1)),IF(TRIM(MID(SUBSTITUTE(K188,";",REPT(" ",99)),397,99))="","",IFERROR(VLOOKUP(--LEFT(MID(TRIM(MID(SUBSTITUTE(K188,";",REPT(" ",99)),397,99)),FIND(":",TRIM(MID(SUBSTITUTE(K188,";",REPT(" ",99)),397,99)))+1,999),FIND(":",MID(TRIM(MID(SUBSTITUTE(K188,";",REPT(" ",99)),397,99)),FIND(":",TRIM(MID(SUBSTITUTE(K188,";",REPT(" ",99)),397,99)))+1,999))-1),_Lookup!$A:$B,2,FALSE),"?")&amp;"×"&amp;LEFT(MID(MID(TRIM(MID(SUBSTITUTE(K188,";",REPT(" ",99)),397,99)),FIND(":",TRIM(MID(SUBSTITUTE(K188,";",REPT(" ",99)),397,99)))+1,999),FIND(":",MID(TRIM(MID(SUBSTITUTE(K188,";",REPT(" ",99)),397,99)),FIND(":",TRIM(MID(SUBSTITUTE(K188,";",REPT(" ",99)),397,99)))+1,999))+1,999),FIND(":",MID(MID(TRIM(MID(SUBSTITUTE(K188,";",REPT(" ",99)),397,99)),FIND(":",TRIM(MID(SUBSTITUTE(K188,";",REPT(" ",99)),397,99)))+1,999),FIND(":",MID(TRIM(MID(SUBSTITUTE(K188,";",REPT(" ",99)),397,99)),FIND(":",TRIM(MID(SUBSTITUTE(K188,";",REPT(" ",99)),397,99)))+1,999))+1,999))-1))))</f>
        <v/>
      </c>
    </row>
    <row r="189">
      <c r="D189" s="11">
        <f>IFERROR(VLOOKUP(C189,ItemData_Fish!$A:$B,2,FALSE),"")</f>
        <v/>
      </c>
      <c r="L189" s="11">
        <f>IF(K189="","",TEXTJOIN("; ",TRUE,IF(TRIM(MID(SUBSTITUTE(K189,";",REPT(" ",99)),1,99))="","",IFERROR(VLOOKUP(--LEFT(MID(TRIM(MID(SUBSTITUTE(K189,";",REPT(" ",99)),1,99)),FIND(":",TRIM(MID(SUBSTITUTE(K189,";",REPT(" ",99)),1,99)))+1,999),FIND(":",MID(TRIM(MID(SUBSTITUTE(K189,";",REPT(" ",99)),1,99)),FIND(":",TRIM(MID(SUBSTITUTE(K189,";",REPT(" ",99)),1,99)))+1,999))-1),_Lookup!$A:$B,2,FALSE),"?")&amp;"×"&amp;LEFT(MID(MID(TRIM(MID(SUBSTITUTE(K189,";",REPT(" ",99)),1,99)),FIND(":",TRIM(MID(SUBSTITUTE(K189,";",REPT(" ",99)),1,99)))+1,999),FIND(":",MID(TRIM(MID(SUBSTITUTE(K189,";",REPT(" ",99)),1,99)),FIND(":",TRIM(MID(SUBSTITUTE(K189,";",REPT(" ",99)),1,99)))+1,999))+1,999),FIND(":",MID(MID(TRIM(MID(SUBSTITUTE(K189,";",REPT(" ",99)),1,99)),FIND(":",TRIM(MID(SUBSTITUTE(K189,";",REPT(" ",99)),1,99)))+1,999),FIND(":",MID(TRIM(MID(SUBSTITUTE(K189,";",REPT(" ",99)),1,99)),FIND(":",TRIM(MID(SUBSTITUTE(K189,";",REPT(" ",99)),1,99)))+1,999))+1,999))-1)),IF(TRIM(MID(SUBSTITUTE(K189,";",REPT(" ",99)),100,99))="","",IFERROR(VLOOKUP(--LEFT(MID(TRIM(MID(SUBSTITUTE(K189,";",REPT(" ",99)),100,99)),FIND(":",TRIM(MID(SUBSTITUTE(K189,";",REPT(" ",99)),100,99)))+1,999),FIND(":",MID(TRIM(MID(SUBSTITUTE(K189,";",REPT(" ",99)),100,99)),FIND(":",TRIM(MID(SUBSTITUTE(K189,";",REPT(" ",99)),100,99)))+1,999))-1),_Lookup!$A:$B,2,FALSE),"?")&amp;"×"&amp;LEFT(MID(MID(TRIM(MID(SUBSTITUTE(K189,";",REPT(" ",99)),100,99)),FIND(":",TRIM(MID(SUBSTITUTE(K189,";",REPT(" ",99)),100,99)))+1,999),FIND(":",MID(TRIM(MID(SUBSTITUTE(K189,";",REPT(" ",99)),100,99)),FIND(":",TRIM(MID(SUBSTITUTE(K189,";",REPT(" ",99)),100,99)))+1,999))+1,999),FIND(":",MID(MID(TRIM(MID(SUBSTITUTE(K189,";",REPT(" ",99)),100,99)),FIND(":",TRIM(MID(SUBSTITUTE(K189,";",REPT(" ",99)),100,99)))+1,999),FIND(":",MID(TRIM(MID(SUBSTITUTE(K189,";",REPT(" ",99)),100,99)),FIND(":",TRIM(MID(SUBSTITUTE(K189,";",REPT(" ",99)),100,99)))+1,999))+1,999))-1)),IF(TRIM(MID(SUBSTITUTE(K189,";",REPT(" ",99)),199,99))="","",IFERROR(VLOOKUP(--LEFT(MID(TRIM(MID(SUBSTITUTE(K189,";",REPT(" ",99)),199,99)),FIND(":",TRIM(MID(SUBSTITUTE(K189,";",REPT(" ",99)),199,99)))+1,999),FIND(":",MID(TRIM(MID(SUBSTITUTE(K189,";",REPT(" ",99)),199,99)),FIND(":",TRIM(MID(SUBSTITUTE(K189,";",REPT(" ",99)),199,99)))+1,999))-1),_Lookup!$A:$B,2,FALSE),"?")&amp;"×"&amp;LEFT(MID(MID(TRIM(MID(SUBSTITUTE(K189,";",REPT(" ",99)),199,99)),FIND(":",TRIM(MID(SUBSTITUTE(K189,";",REPT(" ",99)),199,99)))+1,999),FIND(":",MID(TRIM(MID(SUBSTITUTE(K189,";",REPT(" ",99)),199,99)),FIND(":",TRIM(MID(SUBSTITUTE(K189,";",REPT(" ",99)),199,99)))+1,999))+1,999),FIND(":",MID(MID(TRIM(MID(SUBSTITUTE(K189,";",REPT(" ",99)),199,99)),FIND(":",TRIM(MID(SUBSTITUTE(K189,";",REPT(" ",99)),199,99)))+1,999),FIND(":",MID(TRIM(MID(SUBSTITUTE(K189,";",REPT(" ",99)),199,99)),FIND(":",TRIM(MID(SUBSTITUTE(K189,";",REPT(" ",99)),199,99)))+1,999))+1,999))-1)),IF(TRIM(MID(SUBSTITUTE(K189,";",REPT(" ",99)),298,99))="","",IFERROR(VLOOKUP(--LEFT(MID(TRIM(MID(SUBSTITUTE(K189,";",REPT(" ",99)),298,99)),FIND(":",TRIM(MID(SUBSTITUTE(K189,";",REPT(" ",99)),298,99)))+1,999),FIND(":",MID(TRIM(MID(SUBSTITUTE(K189,";",REPT(" ",99)),298,99)),FIND(":",TRIM(MID(SUBSTITUTE(K189,";",REPT(" ",99)),298,99)))+1,999))-1),_Lookup!$A:$B,2,FALSE),"?")&amp;"×"&amp;LEFT(MID(MID(TRIM(MID(SUBSTITUTE(K189,";",REPT(" ",99)),298,99)),FIND(":",TRIM(MID(SUBSTITUTE(K189,";",REPT(" ",99)),298,99)))+1,999),FIND(":",MID(TRIM(MID(SUBSTITUTE(K189,";",REPT(" ",99)),298,99)),FIND(":",TRIM(MID(SUBSTITUTE(K189,";",REPT(" ",99)),298,99)))+1,999))+1,999),FIND(":",MID(MID(TRIM(MID(SUBSTITUTE(K189,";",REPT(" ",99)),298,99)),FIND(":",TRIM(MID(SUBSTITUTE(K189,";",REPT(" ",99)),298,99)))+1,999),FIND(":",MID(TRIM(MID(SUBSTITUTE(K189,";",REPT(" ",99)),298,99)),FIND(":",TRIM(MID(SUBSTITUTE(K189,";",REPT(" ",99)),298,99)))+1,999))+1,999))-1)),IF(TRIM(MID(SUBSTITUTE(K189,";",REPT(" ",99)),397,99))="","",IFERROR(VLOOKUP(--LEFT(MID(TRIM(MID(SUBSTITUTE(K189,";",REPT(" ",99)),397,99)),FIND(":",TRIM(MID(SUBSTITUTE(K189,";",REPT(" ",99)),397,99)))+1,999),FIND(":",MID(TRIM(MID(SUBSTITUTE(K189,";",REPT(" ",99)),397,99)),FIND(":",TRIM(MID(SUBSTITUTE(K189,";",REPT(" ",99)),397,99)))+1,999))-1),_Lookup!$A:$B,2,FALSE),"?")&amp;"×"&amp;LEFT(MID(MID(TRIM(MID(SUBSTITUTE(K189,";",REPT(" ",99)),397,99)),FIND(":",TRIM(MID(SUBSTITUTE(K189,";",REPT(" ",99)),397,99)))+1,999),FIND(":",MID(TRIM(MID(SUBSTITUTE(K189,";",REPT(" ",99)),397,99)),FIND(":",TRIM(MID(SUBSTITUTE(K189,";",REPT(" ",99)),397,99)))+1,999))+1,999),FIND(":",MID(MID(TRIM(MID(SUBSTITUTE(K189,";",REPT(" ",99)),397,99)),FIND(":",TRIM(MID(SUBSTITUTE(K189,";",REPT(" ",99)),397,99)))+1,999),FIND(":",MID(TRIM(MID(SUBSTITUTE(K189,";",REPT(" ",99)),397,99)),FIND(":",TRIM(MID(SUBSTITUTE(K189,";",REPT(" ",99)),397,99)))+1,999))+1,999))-1))))</f>
        <v/>
      </c>
    </row>
    <row r="190">
      <c r="D190" s="11">
        <f>IFERROR(VLOOKUP(C190,ItemData_Fish!$A:$B,2,FALSE),"")</f>
        <v/>
      </c>
      <c r="L190" s="11">
        <f>IF(K190="","",TEXTJOIN("; ",TRUE,IF(TRIM(MID(SUBSTITUTE(K190,";",REPT(" ",99)),1,99))="","",IFERROR(VLOOKUP(--LEFT(MID(TRIM(MID(SUBSTITUTE(K190,";",REPT(" ",99)),1,99)),FIND(":",TRIM(MID(SUBSTITUTE(K190,";",REPT(" ",99)),1,99)))+1,999),FIND(":",MID(TRIM(MID(SUBSTITUTE(K190,";",REPT(" ",99)),1,99)),FIND(":",TRIM(MID(SUBSTITUTE(K190,";",REPT(" ",99)),1,99)))+1,999))-1),_Lookup!$A:$B,2,FALSE),"?")&amp;"×"&amp;LEFT(MID(MID(TRIM(MID(SUBSTITUTE(K190,";",REPT(" ",99)),1,99)),FIND(":",TRIM(MID(SUBSTITUTE(K190,";",REPT(" ",99)),1,99)))+1,999),FIND(":",MID(TRIM(MID(SUBSTITUTE(K190,";",REPT(" ",99)),1,99)),FIND(":",TRIM(MID(SUBSTITUTE(K190,";",REPT(" ",99)),1,99)))+1,999))+1,999),FIND(":",MID(MID(TRIM(MID(SUBSTITUTE(K190,";",REPT(" ",99)),1,99)),FIND(":",TRIM(MID(SUBSTITUTE(K190,";",REPT(" ",99)),1,99)))+1,999),FIND(":",MID(TRIM(MID(SUBSTITUTE(K190,";",REPT(" ",99)),1,99)),FIND(":",TRIM(MID(SUBSTITUTE(K190,";",REPT(" ",99)),1,99)))+1,999))+1,999))-1)),IF(TRIM(MID(SUBSTITUTE(K190,";",REPT(" ",99)),100,99))="","",IFERROR(VLOOKUP(--LEFT(MID(TRIM(MID(SUBSTITUTE(K190,";",REPT(" ",99)),100,99)),FIND(":",TRIM(MID(SUBSTITUTE(K190,";",REPT(" ",99)),100,99)))+1,999),FIND(":",MID(TRIM(MID(SUBSTITUTE(K190,";",REPT(" ",99)),100,99)),FIND(":",TRIM(MID(SUBSTITUTE(K190,";",REPT(" ",99)),100,99)))+1,999))-1),_Lookup!$A:$B,2,FALSE),"?")&amp;"×"&amp;LEFT(MID(MID(TRIM(MID(SUBSTITUTE(K190,";",REPT(" ",99)),100,99)),FIND(":",TRIM(MID(SUBSTITUTE(K190,";",REPT(" ",99)),100,99)))+1,999),FIND(":",MID(TRIM(MID(SUBSTITUTE(K190,";",REPT(" ",99)),100,99)),FIND(":",TRIM(MID(SUBSTITUTE(K190,";",REPT(" ",99)),100,99)))+1,999))+1,999),FIND(":",MID(MID(TRIM(MID(SUBSTITUTE(K190,";",REPT(" ",99)),100,99)),FIND(":",TRIM(MID(SUBSTITUTE(K190,";",REPT(" ",99)),100,99)))+1,999),FIND(":",MID(TRIM(MID(SUBSTITUTE(K190,";",REPT(" ",99)),100,99)),FIND(":",TRIM(MID(SUBSTITUTE(K190,";",REPT(" ",99)),100,99)))+1,999))+1,999))-1)),IF(TRIM(MID(SUBSTITUTE(K190,";",REPT(" ",99)),199,99))="","",IFERROR(VLOOKUP(--LEFT(MID(TRIM(MID(SUBSTITUTE(K190,";",REPT(" ",99)),199,99)),FIND(":",TRIM(MID(SUBSTITUTE(K190,";",REPT(" ",99)),199,99)))+1,999),FIND(":",MID(TRIM(MID(SUBSTITUTE(K190,";",REPT(" ",99)),199,99)),FIND(":",TRIM(MID(SUBSTITUTE(K190,";",REPT(" ",99)),199,99)))+1,999))-1),_Lookup!$A:$B,2,FALSE),"?")&amp;"×"&amp;LEFT(MID(MID(TRIM(MID(SUBSTITUTE(K190,";",REPT(" ",99)),199,99)),FIND(":",TRIM(MID(SUBSTITUTE(K190,";",REPT(" ",99)),199,99)))+1,999),FIND(":",MID(TRIM(MID(SUBSTITUTE(K190,";",REPT(" ",99)),199,99)),FIND(":",TRIM(MID(SUBSTITUTE(K190,";",REPT(" ",99)),199,99)))+1,999))+1,999),FIND(":",MID(MID(TRIM(MID(SUBSTITUTE(K190,";",REPT(" ",99)),199,99)),FIND(":",TRIM(MID(SUBSTITUTE(K190,";",REPT(" ",99)),199,99)))+1,999),FIND(":",MID(TRIM(MID(SUBSTITUTE(K190,";",REPT(" ",99)),199,99)),FIND(":",TRIM(MID(SUBSTITUTE(K190,";",REPT(" ",99)),199,99)))+1,999))+1,999))-1)),IF(TRIM(MID(SUBSTITUTE(K190,";",REPT(" ",99)),298,99))="","",IFERROR(VLOOKUP(--LEFT(MID(TRIM(MID(SUBSTITUTE(K190,";",REPT(" ",99)),298,99)),FIND(":",TRIM(MID(SUBSTITUTE(K190,";",REPT(" ",99)),298,99)))+1,999),FIND(":",MID(TRIM(MID(SUBSTITUTE(K190,";",REPT(" ",99)),298,99)),FIND(":",TRIM(MID(SUBSTITUTE(K190,";",REPT(" ",99)),298,99)))+1,999))-1),_Lookup!$A:$B,2,FALSE),"?")&amp;"×"&amp;LEFT(MID(MID(TRIM(MID(SUBSTITUTE(K190,";",REPT(" ",99)),298,99)),FIND(":",TRIM(MID(SUBSTITUTE(K190,";",REPT(" ",99)),298,99)))+1,999),FIND(":",MID(TRIM(MID(SUBSTITUTE(K190,";",REPT(" ",99)),298,99)),FIND(":",TRIM(MID(SUBSTITUTE(K190,";",REPT(" ",99)),298,99)))+1,999))+1,999),FIND(":",MID(MID(TRIM(MID(SUBSTITUTE(K190,";",REPT(" ",99)),298,99)),FIND(":",TRIM(MID(SUBSTITUTE(K190,";",REPT(" ",99)),298,99)))+1,999),FIND(":",MID(TRIM(MID(SUBSTITUTE(K190,";",REPT(" ",99)),298,99)),FIND(":",TRIM(MID(SUBSTITUTE(K190,";",REPT(" ",99)),298,99)))+1,999))+1,999))-1)),IF(TRIM(MID(SUBSTITUTE(K190,";",REPT(" ",99)),397,99))="","",IFERROR(VLOOKUP(--LEFT(MID(TRIM(MID(SUBSTITUTE(K190,";",REPT(" ",99)),397,99)),FIND(":",TRIM(MID(SUBSTITUTE(K190,";",REPT(" ",99)),397,99)))+1,999),FIND(":",MID(TRIM(MID(SUBSTITUTE(K190,";",REPT(" ",99)),397,99)),FIND(":",TRIM(MID(SUBSTITUTE(K190,";",REPT(" ",99)),397,99)))+1,999))-1),_Lookup!$A:$B,2,FALSE),"?")&amp;"×"&amp;LEFT(MID(MID(TRIM(MID(SUBSTITUTE(K190,";",REPT(" ",99)),397,99)),FIND(":",TRIM(MID(SUBSTITUTE(K190,";",REPT(" ",99)),397,99)))+1,999),FIND(":",MID(TRIM(MID(SUBSTITUTE(K190,";",REPT(" ",99)),397,99)),FIND(":",TRIM(MID(SUBSTITUTE(K190,";",REPT(" ",99)),397,99)))+1,999))+1,999),FIND(":",MID(MID(TRIM(MID(SUBSTITUTE(K190,";",REPT(" ",99)),397,99)),FIND(":",TRIM(MID(SUBSTITUTE(K190,";",REPT(" ",99)),397,99)))+1,999),FIND(":",MID(TRIM(MID(SUBSTITUTE(K190,";",REPT(" ",99)),397,99)),FIND(":",TRIM(MID(SUBSTITUTE(K190,";",REPT(" ",99)),397,99)))+1,999))+1,999))-1))))</f>
        <v/>
      </c>
    </row>
    <row r="191">
      <c r="D191" s="11">
        <f>IFERROR(VLOOKUP(C191,ItemData_Fish!$A:$B,2,FALSE),"")</f>
        <v/>
      </c>
      <c r="L191" s="11">
        <f>IF(K191="","",TEXTJOIN("; ",TRUE,IF(TRIM(MID(SUBSTITUTE(K191,";",REPT(" ",99)),1,99))="","",IFERROR(VLOOKUP(--LEFT(MID(TRIM(MID(SUBSTITUTE(K191,";",REPT(" ",99)),1,99)),FIND(":",TRIM(MID(SUBSTITUTE(K191,";",REPT(" ",99)),1,99)))+1,999),FIND(":",MID(TRIM(MID(SUBSTITUTE(K191,";",REPT(" ",99)),1,99)),FIND(":",TRIM(MID(SUBSTITUTE(K191,";",REPT(" ",99)),1,99)))+1,999))-1),_Lookup!$A:$B,2,FALSE),"?")&amp;"×"&amp;LEFT(MID(MID(TRIM(MID(SUBSTITUTE(K191,";",REPT(" ",99)),1,99)),FIND(":",TRIM(MID(SUBSTITUTE(K191,";",REPT(" ",99)),1,99)))+1,999),FIND(":",MID(TRIM(MID(SUBSTITUTE(K191,";",REPT(" ",99)),1,99)),FIND(":",TRIM(MID(SUBSTITUTE(K191,";",REPT(" ",99)),1,99)))+1,999))+1,999),FIND(":",MID(MID(TRIM(MID(SUBSTITUTE(K191,";",REPT(" ",99)),1,99)),FIND(":",TRIM(MID(SUBSTITUTE(K191,";",REPT(" ",99)),1,99)))+1,999),FIND(":",MID(TRIM(MID(SUBSTITUTE(K191,";",REPT(" ",99)),1,99)),FIND(":",TRIM(MID(SUBSTITUTE(K191,";",REPT(" ",99)),1,99)))+1,999))+1,999))-1)),IF(TRIM(MID(SUBSTITUTE(K191,";",REPT(" ",99)),100,99))="","",IFERROR(VLOOKUP(--LEFT(MID(TRIM(MID(SUBSTITUTE(K191,";",REPT(" ",99)),100,99)),FIND(":",TRIM(MID(SUBSTITUTE(K191,";",REPT(" ",99)),100,99)))+1,999),FIND(":",MID(TRIM(MID(SUBSTITUTE(K191,";",REPT(" ",99)),100,99)),FIND(":",TRIM(MID(SUBSTITUTE(K191,";",REPT(" ",99)),100,99)))+1,999))-1),_Lookup!$A:$B,2,FALSE),"?")&amp;"×"&amp;LEFT(MID(MID(TRIM(MID(SUBSTITUTE(K191,";",REPT(" ",99)),100,99)),FIND(":",TRIM(MID(SUBSTITUTE(K191,";",REPT(" ",99)),100,99)))+1,999),FIND(":",MID(TRIM(MID(SUBSTITUTE(K191,";",REPT(" ",99)),100,99)),FIND(":",TRIM(MID(SUBSTITUTE(K191,";",REPT(" ",99)),100,99)))+1,999))+1,999),FIND(":",MID(MID(TRIM(MID(SUBSTITUTE(K191,";",REPT(" ",99)),100,99)),FIND(":",TRIM(MID(SUBSTITUTE(K191,";",REPT(" ",99)),100,99)))+1,999),FIND(":",MID(TRIM(MID(SUBSTITUTE(K191,";",REPT(" ",99)),100,99)),FIND(":",TRIM(MID(SUBSTITUTE(K191,";",REPT(" ",99)),100,99)))+1,999))+1,999))-1)),IF(TRIM(MID(SUBSTITUTE(K191,";",REPT(" ",99)),199,99))="","",IFERROR(VLOOKUP(--LEFT(MID(TRIM(MID(SUBSTITUTE(K191,";",REPT(" ",99)),199,99)),FIND(":",TRIM(MID(SUBSTITUTE(K191,";",REPT(" ",99)),199,99)))+1,999),FIND(":",MID(TRIM(MID(SUBSTITUTE(K191,";",REPT(" ",99)),199,99)),FIND(":",TRIM(MID(SUBSTITUTE(K191,";",REPT(" ",99)),199,99)))+1,999))-1),_Lookup!$A:$B,2,FALSE),"?")&amp;"×"&amp;LEFT(MID(MID(TRIM(MID(SUBSTITUTE(K191,";",REPT(" ",99)),199,99)),FIND(":",TRIM(MID(SUBSTITUTE(K191,";",REPT(" ",99)),199,99)))+1,999),FIND(":",MID(TRIM(MID(SUBSTITUTE(K191,";",REPT(" ",99)),199,99)),FIND(":",TRIM(MID(SUBSTITUTE(K191,";",REPT(" ",99)),199,99)))+1,999))+1,999),FIND(":",MID(MID(TRIM(MID(SUBSTITUTE(K191,";",REPT(" ",99)),199,99)),FIND(":",TRIM(MID(SUBSTITUTE(K191,";",REPT(" ",99)),199,99)))+1,999),FIND(":",MID(TRIM(MID(SUBSTITUTE(K191,";",REPT(" ",99)),199,99)),FIND(":",TRIM(MID(SUBSTITUTE(K191,";",REPT(" ",99)),199,99)))+1,999))+1,999))-1)),IF(TRIM(MID(SUBSTITUTE(K191,";",REPT(" ",99)),298,99))="","",IFERROR(VLOOKUP(--LEFT(MID(TRIM(MID(SUBSTITUTE(K191,";",REPT(" ",99)),298,99)),FIND(":",TRIM(MID(SUBSTITUTE(K191,";",REPT(" ",99)),298,99)))+1,999),FIND(":",MID(TRIM(MID(SUBSTITUTE(K191,";",REPT(" ",99)),298,99)),FIND(":",TRIM(MID(SUBSTITUTE(K191,";",REPT(" ",99)),298,99)))+1,999))-1),_Lookup!$A:$B,2,FALSE),"?")&amp;"×"&amp;LEFT(MID(MID(TRIM(MID(SUBSTITUTE(K191,";",REPT(" ",99)),298,99)),FIND(":",TRIM(MID(SUBSTITUTE(K191,";",REPT(" ",99)),298,99)))+1,999),FIND(":",MID(TRIM(MID(SUBSTITUTE(K191,";",REPT(" ",99)),298,99)),FIND(":",TRIM(MID(SUBSTITUTE(K191,";",REPT(" ",99)),298,99)))+1,999))+1,999),FIND(":",MID(MID(TRIM(MID(SUBSTITUTE(K191,";",REPT(" ",99)),298,99)),FIND(":",TRIM(MID(SUBSTITUTE(K191,";",REPT(" ",99)),298,99)))+1,999),FIND(":",MID(TRIM(MID(SUBSTITUTE(K191,";",REPT(" ",99)),298,99)),FIND(":",TRIM(MID(SUBSTITUTE(K191,";",REPT(" ",99)),298,99)))+1,999))+1,999))-1)),IF(TRIM(MID(SUBSTITUTE(K191,";",REPT(" ",99)),397,99))="","",IFERROR(VLOOKUP(--LEFT(MID(TRIM(MID(SUBSTITUTE(K191,";",REPT(" ",99)),397,99)),FIND(":",TRIM(MID(SUBSTITUTE(K191,";",REPT(" ",99)),397,99)))+1,999),FIND(":",MID(TRIM(MID(SUBSTITUTE(K191,";",REPT(" ",99)),397,99)),FIND(":",TRIM(MID(SUBSTITUTE(K191,";",REPT(" ",99)),397,99)))+1,999))-1),_Lookup!$A:$B,2,FALSE),"?")&amp;"×"&amp;LEFT(MID(MID(TRIM(MID(SUBSTITUTE(K191,";",REPT(" ",99)),397,99)),FIND(":",TRIM(MID(SUBSTITUTE(K191,";",REPT(" ",99)),397,99)))+1,999),FIND(":",MID(TRIM(MID(SUBSTITUTE(K191,";",REPT(" ",99)),397,99)),FIND(":",TRIM(MID(SUBSTITUTE(K191,";",REPT(" ",99)),397,99)))+1,999))+1,999),FIND(":",MID(MID(TRIM(MID(SUBSTITUTE(K191,";",REPT(" ",99)),397,99)),FIND(":",TRIM(MID(SUBSTITUTE(K191,";",REPT(" ",99)),397,99)))+1,999),FIND(":",MID(TRIM(MID(SUBSTITUTE(K191,";",REPT(" ",99)),397,99)),FIND(":",TRIM(MID(SUBSTITUTE(K191,";",REPT(" ",99)),397,99)))+1,999))+1,999))-1))))</f>
        <v/>
      </c>
    </row>
    <row r="192">
      <c r="D192" s="11">
        <f>IFERROR(VLOOKUP(C192,ItemData_Fish!$A:$B,2,FALSE),"")</f>
        <v/>
      </c>
      <c r="L192" s="11">
        <f>IF(K192="","",TEXTJOIN("; ",TRUE,IF(TRIM(MID(SUBSTITUTE(K192,";",REPT(" ",99)),1,99))="","",IFERROR(VLOOKUP(--LEFT(MID(TRIM(MID(SUBSTITUTE(K192,";",REPT(" ",99)),1,99)),FIND(":",TRIM(MID(SUBSTITUTE(K192,";",REPT(" ",99)),1,99)))+1,999),FIND(":",MID(TRIM(MID(SUBSTITUTE(K192,";",REPT(" ",99)),1,99)),FIND(":",TRIM(MID(SUBSTITUTE(K192,";",REPT(" ",99)),1,99)))+1,999))-1),_Lookup!$A:$B,2,FALSE),"?")&amp;"×"&amp;LEFT(MID(MID(TRIM(MID(SUBSTITUTE(K192,";",REPT(" ",99)),1,99)),FIND(":",TRIM(MID(SUBSTITUTE(K192,";",REPT(" ",99)),1,99)))+1,999),FIND(":",MID(TRIM(MID(SUBSTITUTE(K192,";",REPT(" ",99)),1,99)),FIND(":",TRIM(MID(SUBSTITUTE(K192,";",REPT(" ",99)),1,99)))+1,999))+1,999),FIND(":",MID(MID(TRIM(MID(SUBSTITUTE(K192,";",REPT(" ",99)),1,99)),FIND(":",TRIM(MID(SUBSTITUTE(K192,";",REPT(" ",99)),1,99)))+1,999),FIND(":",MID(TRIM(MID(SUBSTITUTE(K192,";",REPT(" ",99)),1,99)),FIND(":",TRIM(MID(SUBSTITUTE(K192,";",REPT(" ",99)),1,99)))+1,999))+1,999))-1)),IF(TRIM(MID(SUBSTITUTE(K192,";",REPT(" ",99)),100,99))="","",IFERROR(VLOOKUP(--LEFT(MID(TRIM(MID(SUBSTITUTE(K192,";",REPT(" ",99)),100,99)),FIND(":",TRIM(MID(SUBSTITUTE(K192,";",REPT(" ",99)),100,99)))+1,999),FIND(":",MID(TRIM(MID(SUBSTITUTE(K192,";",REPT(" ",99)),100,99)),FIND(":",TRIM(MID(SUBSTITUTE(K192,";",REPT(" ",99)),100,99)))+1,999))-1),_Lookup!$A:$B,2,FALSE),"?")&amp;"×"&amp;LEFT(MID(MID(TRIM(MID(SUBSTITUTE(K192,";",REPT(" ",99)),100,99)),FIND(":",TRIM(MID(SUBSTITUTE(K192,";",REPT(" ",99)),100,99)))+1,999),FIND(":",MID(TRIM(MID(SUBSTITUTE(K192,";",REPT(" ",99)),100,99)),FIND(":",TRIM(MID(SUBSTITUTE(K192,";",REPT(" ",99)),100,99)))+1,999))+1,999),FIND(":",MID(MID(TRIM(MID(SUBSTITUTE(K192,";",REPT(" ",99)),100,99)),FIND(":",TRIM(MID(SUBSTITUTE(K192,";",REPT(" ",99)),100,99)))+1,999),FIND(":",MID(TRIM(MID(SUBSTITUTE(K192,";",REPT(" ",99)),100,99)),FIND(":",TRIM(MID(SUBSTITUTE(K192,";",REPT(" ",99)),100,99)))+1,999))+1,999))-1)),IF(TRIM(MID(SUBSTITUTE(K192,";",REPT(" ",99)),199,99))="","",IFERROR(VLOOKUP(--LEFT(MID(TRIM(MID(SUBSTITUTE(K192,";",REPT(" ",99)),199,99)),FIND(":",TRIM(MID(SUBSTITUTE(K192,";",REPT(" ",99)),199,99)))+1,999),FIND(":",MID(TRIM(MID(SUBSTITUTE(K192,";",REPT(" ",99)),199,99)),FIND(":",TRIM(MID(SUBSTITUTE(K192,";",REPT(" ",99)),199,99)))+1,999))-1),_Lookup!$A:$B,2,FALSE),"?")&amp;"×"&amp;LEFT(MID(MID(TRIM(MID(SUBSTITUTE(K192,";",REPT(" ",99)),199,99)),FIND(":",TRIM(MID(SUBSTITUTE(K192,";",REPT(" ",99)),199,99)))+1,999),FIND(":",MID(TRIM(MID(SUBSTITUTE(K192,";",REPT(" ",99)),199,99)),FIND(":",TRIM(MID(SUBSTITUTE(K192,";",REPT(" ",99)),199,99)))+1,999))+1,999),FIND(":",MID(MID(TRIM(MID(SUBSTITUTE(K192,";",REPT(" ",99)),199,99)),FIND(":",TRIM(MID(SUBSTITUTE(K192,";",REPT(" ",99)),199,99)))+1,999),FIND(":",MID(TRIM(MID(SUBSTITUTE(K192,";",REPT(" ",99)),199,99)),FIND(":",TRIM(MID(SUBSTITUTE(K192,";",REPT(" ",99)),199,99)))+1,999))+1,999))-1)),IF(TRIM(MID(SUBSTITUTE(K192,";",REPT(" ",99)),298,99))="","",IFERROR(VLOOKUP(--LEFT(MID(TRIM(MID(SUBSTITUTE(K192,";",REPT(" ",99)),298,99)),FIND(":",TRIM(MID(SUBSTITUTE(K192,";",REPT(" ",99)),298,99)))+1,999),FIND(":",MID(TRIM(MID(SUBSTITUTE(K192,";",REPT(" ",99)),298,99)),FIND(":",TRIM(MID(SUBSTITUTE(K192,";",REPT(" ",99)),298,99)))+1,999))-1),_Lookup!$A:$B,2,FALSE),"?")&amp;"×"&amp;LEFT(MID(MID(TRIM(MID(SUBSTITUTE(K192,";",REPT(" ",99)),298,99)),FIND(":",TRIM(MID(SUBSTITUTE(K192,";",REPT(" ",99)),298,99)))+1,999),FIND(":",MID(TRIM(MID(SUBSTITUTE(K192,";",REPT(" ",99)),298,99)),FIND(":",TRIM(MID(SUBSTITUTE(K192,";",REPT(" ",99)),298,99)))+1,999))+1,999),FIND(":",MID(MID(TRIM(MID(SUBSTITUTE(K192,";",REPT(" ",99)),298,99)),FIND(":",TRIM(MID(SUBSTITUTE(K192,";",REPT(" ",99)),298,99)))+1,999),FIND(":",MID(TRIM(MID(SUBSTITUTE(K192,";",REPT(" ",99)),298,99)),FIND(":",TRIM(MID(SUBSTITUTE(K192,";",REPT(" ",99)),298,99)))+1,999))+1,999))-1)),IF(TRIM(MID(SUBSTITUTE(K192,";",REPT(" ",99)),397,99))="","",IFERROR(VLOOKUP(--LEFT(MID(TRIM(MID(SUBSTITUTE(K192,";",REPT(" ",99)),397,99)),FIND(":",TRIM(MID(SUBSTITUTE(K192,";",REPT(" ",99)),397,99)))+1,999),FIND(":",MID(TRIM(MID(SUBSTITUTE(K192,";",REPT(" ",99)),397,99)),FIND(":",TRIM(MID(SUBSTITUTE(K192,";",REPT(" ",99)),397,99)))+1,999))-1),_Lookup!$A:$B,2,FALSE),"?")&amp;"×"&amp;LEFT(MID(MID(TRIM(MID(SUBSTITUTE(K192,";",REPT(" ",99)),397,99)),FIND(":",TRIM(MID(SUBSTITUTE(K192,";",REPT(" ",99)),397,99)))+1,999),FIND(":",MID(TRIM(MID(SUBSTITUTE(K192,";",REPT(" ",99)),397,99)),FIND(":",TRIM(MID(SUBSTITUTE(K192,";",REPT(" ",99)),397,99)))+1,999))+1,999),FIND(":",MID(MID(TRIM(MID(SUBSTITUTE(K192,";",REPT(" ",99)),397,99)),FIND(":",TRIM(MID(SUBSTITUTE(K192,";",REPT(" ",99)),397,99)))+1,999),FIND(":",MID(TRIM(MID(SUBSTITUTE(K192,";",REPT(" ",99)),397,99)),FIND(":",TRIM(MID(SUBSTITUTE(K192,";",REPT(" ",99)),397,99)))+1,999))+1,999))-1))))</f>
        <v/>
      </c>
    </row>
    <row r="193">
      <c r="D193" s="11">
        <f>IFERROR(VLOOKUP(C193,ItemData_Fish!$A:$B,2,FALSE),"")</f>
        <v/>
      </c>
      <c r="L193" s="11">
        <f>IF(K193="","",TEXTJOIN("; ",TRUE,IF(TRIM(MID(SUBSTITUTE(K193,";",REPT(" ",99)),1,99))="","",IFERROR(VLOOKUP(--LEFT(MID(TRIM(MID(SUBSTITUTE(K193,";",REPT(" ",99)),1,99)),FIND(":",TRIM(MID(SUBSTITUTE(K193,";",REPT(" ",99)),1,99)))+1,999),FIND(":",MID(TRIM(MID(SUBSTITUTE(K193,";",REPT(" ",99)),1,99)),FIND(":",TRIM(MID(SUBSTITUTE(K193,";",REPT(" ",99)),1,99)))+1,999))-1),_Lookup!$A:$B,2,FALSE),"?")&amp;"×"&amp;LEFT(MID(MID(TRIM(MID(SUBSTITUTE(K193,";",REPT(" ",99)),1,99)),FIND(":",TRIM(MID(SUBSTITUTE(K193,";",REPT(" ",99)),1,99)))+1,999),FIND(":",MID(TRIM(MID(SUBSTITUTE(K193,";",REPT(" ",99)),1,99)),FIND(":",TRIM(MID(SUBSTITUTE(K193,";",REPT(" ",99)),1,99)))+1,999))+1,999),FIND(":",MID(MID(TRIM(MID(SUBSTITUTE(K193,";",REPT(" ",99)),1,99)),FIND(":",TRIM(MID(SUBSTITUTE(K193,";",REPT(" ",99)),1,99)))+1,999),FIND(":",MID(TRIM(MID(SUBSTITUTE(K193,";",REPT(" ",99)),1,99)),FIND(":",TRIM(MID(SUBSTITUTE(K193,";",REPT(" ",99)),1,99)))+1,999))+1,999))-1)),IF(TRIM(MID(SUBSTITUTE(K193,";",REPT(" ",99)),100,99))="","",IFERROR(VLOOKUP(--LEFT(MID(TRIM(MID(SUBSTITUTE(K193,";",REPT(" ",99)),100,99)),FIND(":",TRIM(MID(SUBSTITUTE(K193,";",REPT(" ",99)),100,99)))+1,999),FIND(":",MID(TRIM(MID(SUBSTITUTE(K193,";",REPT(" ",99)),100,99)),FIND(":",TRIM(MID(SUBSTITUTE(K193,";",REPT(" ",99)),100,99)))+1,999))-1),_Lookup!$A:$B,2,FALSE),"?")&amp;"×"&amp;LEFT(MID(MID(TRIM(MID(SUBSTITUTE(K193,";",REPT(" ",99)),100,99)),FIND(":",TRIM(MID(SUBSTITUTE(K193,";",REPT(" ",99)),100,99)))+1,999),FIND(":",MID(TRIM(MID(SUBSTITUTE(K193,";",REPT(" ",99)),100,99)),FIND(":",TRIM(MID(SUBSTITUTE(K193,";",REPT(" ",99)),100,99)))+1,999))+1,999),FIND(":",MID(MID(TRIM(MID(SUBSTITUTE(K193,";",REPT(" ",99)),100,99)),FIND(":",TRIM(MID(SUBSTITUTE(K193,";",REPT(" ",99)),100,99)))+1,999),FIND(":",MID(TRIM(MID(SUBSTITUTE(K193,";",REPT(" ",99)),100,99)),FIND(":",TRIM(MID(SUBSTITUTE(K193,";",REPT(" ",99)),100,99)))+1,999))+1,999))-1)),IF(TRIM(MID(SUBSTITUTE(K193,";",REPT(" ",99)),199,99))="","",IFERROR(VLOOKUP(--LEFT(MID(TRIM(MID(SUBSTITUTE(K193,";",REPT(" ",99)),199,99)),FIND(":",TRIM(MID(SUBSTITUTE(K193,";",REPT(" ",99)),199,99)))+1,999),FIND(":",MID(TRIM(MID(SUBSTITUTE(K193,";",REPT(" ",99)),199,99)),FIND(":",TRIM(MID(SUBSTITUTE(K193,";",REPT(" ",99)),199,99)))+1,999))-1),_Lookup!$A:$B,2,FALSE),"?")&amp;"×"&amp;LEFT(MID(MID(TRIM(MID(SUBSTITUTE(K193,";",REPT(" ",99)),199,99)),FIND(":",TRIM(MID(SUBSTITUTE(K193,";",REPT(" ",99)),199,99)))+1,999),FIND(":",MID(TRIM(MID(SUBSTITUTE(K193,";",REPT(" ",99)),199,99)),FIND(":",TRIM(MID(SUBSTITUTE(K193,";",REPT(" ",99)),199,99)))+1,999))+1,999),FIND(":",MID(MID(TRIM(MID(SUBSTITUTE(K193,";",REPT(" ",99)),199,99)),FIND(":",TRIM(MID(SUBSTITUTE(K193,";",REPT(" ",99)),199,99)))+1,999),FIND(":",MID(TRIM(MID(SUBSTITUTE(K193,";",REPT(" ",99)),199,99)),FIND(":",TRIM(MID(SUBSTITUTE(K193,";",REPT(" ",99)),199,99)))+1,999))+1,999))-1)),IF(TRIM(MID(SUBSTITUTE(K193,";",REPT(" ",99)),298,99))="","",IFERROR(VLOOKUP(--LEFT(MID(TRIM(MID(SUBSTITUTE(K193,";",REPT(" ",99)),298,99)),FIND(":",TRIM(MID(SUBSTITUTE(K193,";",REPT(" ",99)),298,99)))+1,999),FIND(":",MID(TRIM(MID(SUBSTITUTE(K193,";",REPT(" ",99)),298,99)),FIND(":",TRIM(MID(SUBSTITUTE(K193,";",REPT(" ",99)),298,99)))+1,999))-1),_Lookup!$A:$B,2,FALSE),"?")&amp;"×"&amp;LEFT(MID(MID(TRIM(MID(SUBSTITUTE(K193,";",REPT(" ",99)),298,99)),FIND(":",TRIM(MID(SUBSTITUTE(K193,";",REPT(" ",99)),298,99)))+1,999),FIND(":",MID(TRIM(MID(SUBSTITUTE(K193,";",REPT(" ",99)),298,99)),FIND(":",TRIM(MID(SUBSTITUTE(K193,";",REPT(" ",99)),298,99)))+1,999))+1,999),FIND(":",MID(MID(TRIM(MID(SUBSTITUTE(K193,";",REPT(" ",99)),298,99)),FIND(":",TRIM(MID(SUBSTITUTE(K193,";",REPT(" ",99)),298,99)))+1,999),FIND(":",MID(TRIM(MID(SUBSTITUTE(K193,";",REPT(" ",99)),298,99)),FIND(":",TRIM(MID(SUBSTITUTE(K193,";",REPT(" ",99)),298,99)))+1,999))+1,999))-1)),IF(TRIM(MID(SUBSTITUTE(K193,";",REPT(" ",99)),397,99))="","",IFERROR(VLOOKUP(--LEFT(MID(TRIM(MID(SUBSTITUTE(K193,";",REPT(" ",99)),397,99)),FIND(":",TRIM(MID(SUBSTITUTE(K193,";",REPT(" ",99)),397,99)))+1,999),FIND(":",MID(TRIM(MID(SUBSTITUTE(K193,";",REPT(" ",99)),397,99)),FIND(":",TRIM(MID(SUBSTITUTE(K193,";",REPT(" ",99)),397,99)))+1,999))-1),_Lookup!$A:$B,2,FALSE),"?")&amp;"×"&amp;LEFT(MID(MID(TRIM(MID(SUBSTITUTE(K193,";",REPT(" ",99)),397,99)),FIND(":",TRIM(MID(SUBSTITUTE(K193,";",REPT(" ",99)),397,99)))+1,999),FIND(":",MID(TRIM(MID(SUBSTITUTE(K193,";",REPT(" ",99)),397,99)),FIND(":",TRIM(MID(SUBSTITUTE(K193,";",REPT(" ",99)),397,99)))+1,999))+1,999),FIND(":",MID(MID(TRIM(MID(SUBSTITUTE(K193,";",REPT(" ",99)),397,99)),FIND(":",TRIM(MID(SUBSTITUTE(K193,";",REPT(" ",99)),397,99)))+1,999),FIND(":",MID(TRIM(MID(SUBSTITUTE(K193,";",REPT(" ",99)),397,99)),FIND(":",TRIM(MID(SUBSTITUTE(K193,";",REPT(" ",99)),397,99)))+1,999))+1,999))-1))))</f>
        <v/>
      </c>
    </row>
    <row r="194">
      <c r="D194" s="11">
        <f>IFERROR(VLOOKUP(C194,ItemData_Fish!$A:$B,2,FALSE),"")</f>
        <v/>
      </c>
      <c r="L194" s="11">
        <f>IF(K194="","",TEXTJOIN("; ",TRUE,IF(TRIM(MID(SUBSTITUTE(K194,";",REPT(" ",99)),1,99))="","",IFERROR(VLOOKUP(--LEFT(MID(TRIM(MID(SUBSTITUTE(K194,";",REPT(" ",99)),1,99)),FIND(":",TRIM(MID(SUBSTITUTE(K194,";",REPT(" ",99)),1,99)))+1,999),FIND(":",MID(TRIM(MID(SUBSTITUTE(K194,";",REPT(" ",99)),1,99)),FIND(":",TRIM(MID(SUBSTITUTE(K194,";",REPT(" ",99)),1,99)))+1,999))-1),_Lookup!$A:$B,2,FALSE),"?")&amp;"×"&amp;LEFT(MID(MID(TRIM(MID(SUBSTITUTE(K194,";",REPT(" ",99)),1,99)),FIND(":",TRIM(MID(SUBSTITUTE(K194,";",REPT(" ",99)),1,99)))+1,999),FIND(":",MID(TRIM(MID(SUBSTITUTE(K194,";",REPT(" ",99)),1,99)),FIND(":",TRIM(MID(SUBSTITUTE(K194,";",REPT(" ",99)),1,99)))+1,999))+1,999),FIND(":",MID(MID(TRIM(MID(SUBSTITUTE(K194,";",REPT(" ",99)),1,99)),FIND(":",TRIM(MID(SUBSTITUTE(K194,";",REPT(" ",99)),1,99)))+1,999),FIND(":",MID(TRIM(MID(SUBSTITUTE(K194,";",REPT(" ",99)),1,99)),FIND(":",TRIM(MID(SUBSTITUTE(K194,";",REPT(" ",99)),1,99)))+1,999))+1,999))-1)),IF(TRIM(MID(SUBSTITUTE(K194,";",REPT(" ",99)),100,99))="","",IFERROR(VLOOKUP(--LEFT(MID(TRIM(MID(SUBSTITUTE(K194,";",REPT(" ",99)),100,99)),FIND(":",TRIM(MID(SUBSTITUTE(K194,";",REPT(" ",99)),100,99)))+1,999),FIND(":",MID(TRIM(MID(SUBSTITUTE(K194,";",REPT(" ",99)),100,99)),FIND(":",TRIM(MID(SUBSTITUTE(K194,";",REPT(" ",99)),100,99)))+1,999))-1),_Lookup!$A:$B,2,FALSE),"?")&amp;"×"&amp;LEFT(MID(MID(TRIM(MID(SUBSTITUTE(K194,";",REPT(" ",99)),100,99)),FIND(":",TRIM(MID(SUBSTITUTE(K194,";",REPT(" ",99)),100,99)))+1,999),FIND(":",MID(TRIM(MID(SUBSTITUTE(K194,";",REPT(" ",99)),100,99)),FIND(":",TRIM(MID(SUBSTITUTE(K194,";",REPT(" ",99)),100,99)))+1,999))+1,999),FIND(":",MID(MID(TRIM(MID(SUBSTITUTE(K194,";",REPT(" ",99)),100,99)),FIND(":",TRIM(MID(SUBSTITUTE(K194,";",REPT(" ",99)),100,99)))+1,999),FIND(":",MID(TRIM(MID(SUBSTITUTE(K194,";",REPT(" ",99)),100,99)),FIND(":",TRIM(MID(SUBSTITUTE(K194,";",REPT(" ",99)),100,99)))+1,999))+1,999))-1)),IF(TRIM(MID(SUBSTITUTE(K194,";",REPT(" ",99)),199,99))="","",IFERROR(VLOOKUP(--LEFT(MID(TRIM(MID(SUBSTITUTE(K194,";",REPT(" ",99)),199,99)),FIND(":",TRIM(MID(SUBSTITUTE(K194,";",REPT(" ",99)),199,99)))+1,999),FIND(":",MID(TRIM(MID(SUBSTITUTE(K194,";",REPT(" ",99)),199,99)),FIND(":",TRIM(MID(SUBSTITUTE(K194,";",REPT(" ",99)),199,99)))+1,999))-1),_Lookup!$A:$B,2,FALSE),"?")&amp;"×"&amp;LEFT(MID(MID(TRIM(MID(SUBSTITUTE(K194,";",REPT(" ",99)),199,99)),FIND(":",TRIM(MID(SUBSTITUTE(K194,";",REPT(" ",99)),199,99)))+1,999),FIND(":",MID(TRIM(MID(SUBSTITUTE(K194,";",REPT(" ",99)),199,99)),FIND(":",TRIM(MID(SUBSTITUTE(K194,";",REPT(" ",99)),199,99)))+1,999))+1,999),FIND(":",MID(MID(TRIM(MID(SUBSTITUTE(K194,";",REPT(" ",99)),199,99)),FIND(":",TRIM(MID(SUBSTITUTE(K194,";",REPT(" ",99)),199,99)))+1,999),FIND(":",MID(TRIM(MID(SUBSTITUTE(K194,";",REPT(" ",99)),199,99)),FIND(":",TRIM(MID(SUBSTITUTE(K194,";",REPT(" ",99)),199,99)))+1,999))+1,999))-1)),IF(TRIM(MID(SUBSTITUTE(K194,";",REPT(" ",99)),298,99))="","",IFERROR(VLOOKUP(--LEFT(MID(TRIM(MID(SUBSTITUTE(K194,";",REPT(" ",99)),298,99)),FIND(":",TRIM(MID(SUBSTITUTE(K194,";",REPT(" ",99)),298,99)))+1,999),FIND(":",MID(TRIM(MID(SUBSTITUTE(K194,";",REPT(" ",99)),298,99)),FIND(":",TRIM(MID(SUBSTITUTE(K194,";",REPT(" ",99)),298,99)))+1,999))-1),_Lookup!$A:$B,2,FALSE),"?")&amp;"×"&amp;LEFT(MID(MID(TRIM(MID(SUBSTITUTE(K194,";",REPT(" ",99)),298,99)),FIND(":",TRIM(MID(SUBSTITUTE(K194,";",REPT(" ",99)),298,99)))+1,999),FIND(":",MID(TRIM(MID(SUBSTITUTE(K194,";",REPT(" ",99)),298,99)),FIND(":",TRIM(MID(SUBSTITUTE(K194,";",REPT(" ",99)),298,99)))+1,999))+1,999),FIND(":",MID(MID(TRIM(MID(SUBSTITUTE(K194,";",REPT(" ",99)),298,99)),FIND(":",TRIM(MID(SUBSTITUTE(K194,";",REPT(" ",99)),298,99)))+1,999),FIND(":",MID(TRIM(MID(SUBSTITUTE(K194,";",REPT(" ",99)),298,99)),FIND(":",TRIM(MID(SUBSTITUTE(K194,";",REPT(" ",99)),298,99)))+1,999))+1,999))-1)),IF(TRIM(MID(SUBSTITUTE(K194,";",REPT(" ",99)),397,99))="","",IFERROR(VLOOKUP(--LEFT(MID(TRIM(MID(SUBSTITUTE(K194,";",REPT(" ",99)),397,99)),FIND(":",TRIM(MID(SUBSTITUTE(K194,";",REPT(" ",99)),397,99)))+1,999),FIND(":",MID(TRIM(MID(SUBSTITUTE(K194,";",REPT(" ",99)),397,99)),FIND(":",TRIM(MID(SUBSTITUTE(K194,";",REPT(" ",99)),397,99)))+1,999))-1),_Lookup!$A:$B,2,FALSE),"?")&amp;"×"&amp;LEFT(MID(MID(TRIM(MID(SUBSTITUTE(K194,";",REPT(" ",99)),397,99)),FIND(":",TRIM(MID(SUBSTITUTE(K194,";",REPT(" ",99)),397,99)))+1,999),FIND(":",MID(TRIM(MID(SUBSTITUTE(K194,";",REPT(" ",99)),397,99)),FIND(":",TRIM(MID(SUBSTITUTE(K194,";",REPT(" ",99)),397,99)))+1,999))+1,999),FIND(":",MID(MID(TRIM(MID(SUBSTITUTE(K194,";",REPT(" ",99)),397,99)),FIND(":",TRIM(MID(SUBSTITUTE(K194,";",REPT(" ",99)),397,99)))+1,999),FIND(":",MID(TRIM(MID(SUBSTITUTE(K194,";",REPT(" ",99)),397,99)),FIND(":",TRIM(MID(SUBSTITUTE(K194,";",REPT(" ",99)),397,99)))+1,999))+1,999))-1))))</f>
        <v/>
      </c>
    </row>
    <row r="195">
      <c r="D195" s="11">
        <f>IFERROR(VLOOKUP(C195,ItemData_Fish!$A:$B,2,FALSE),"")</f>
        <v/>
      </c>
      <c r="L195" s="11">
        <f>IF(K195="","",TEXTJOIN("; ",TRUE,IF(TRIM(MID(SUBSTITUTE(K195,";",REPT(" ",99)),1,99))="","",IFERROR(VLOOKUP(--LEFT(MID(TRIM(MID(SUBSTITUTE(K195,";",REPT(" ",99)),1,99)),FIND(":",TRIM(MID(SUBSTITUTE(K195,";",REPT(" ",99)),1,99)))+1,999),FIND(":",MID(TRIM(MID(SUBSTITUTE(K195,";",REPT(" ",99)),1,99)),FIND(":",TRIM(MID(SUBSTITUTE(K195,";",REPT(" ",99)),1,99)))+1,999))-1),_Lookup!$A:$B,2,FALSE),"?")&amp;"×"&amp;LEFT(MID(MID(TRIM(MID(SUBSTITUTE(K195,";",REPT(" ",99)),1,99)),FIND(":",TRIM(MID(SUBSTITUTE(K195,";",REPT(" ",99)),1,99)))+1,999),FIND(":",MID(TRIM(MID(SUBSTITUTE(K195,";",REPT(" ",99)),1,99)),FIND(":",TRIM(MID(SUBSTITUTE(K195,";",REPT(" ",99)),1,99)))+1,999))+1,999),FIND(":",MID(MID(TRIM(MID(SUBSTITUTE(K195,";",REPT(" ",99)),1,99)),FIND(":",TRIM(MID(SUBSTITUTE(K195,";",REPT(" ",99)),1,99)))+1,999),FIND(":",MID(TRIM(MID(SUBSTITUTE(K195,";",REPT(" ",99)),1,99)),FIND(":",TRIM(MID(SUBSTITUTE(K195,";",REPT(" ",99)),1,99)))+1,999))+1,999))-1)),IF(TRIM(MID(SUBSTITUTE(K195,";",REPT(" ",99)),100,99))="","",IFERROR(VLOOKUP(--LEFT(MID(TRIM(MID(SUBSTITUTE(K195,";",REPT(" ",99)),100,99)),FIND(":",TRIM(MID(SUBSTITUTE(K195,";",REPT(" ",99)),100,99)))+1,999),FIND(":",MID(TRIM(MID(SUBSTITUTE(K195,";",REPT(" ",99)),100,99)),FIND(":",TRIM(MID(SUBSTITUTE(K195,";",REPT(" ",99)),100,99)))+1,999))-1),_Lookup!$A:$B,2,FALSE),"?")&amp;"×"&amp;LEFT(MID(MID(TRIM(MID(SUBSTITUTE(K195,";",REPT(" ",99)),100,99)),FIND(":",TRIM(MID(SUBSTITUTE(K195,";",REPT(" ",99)),100,99)))+1,999),FIND(":",MID(TRIM(MID(SUBSTITUTE(K195,";",REPT(" ",99)),100,99)),FIND(":",TRIM(MID(SUBSTITUTE(K195,";",REPT(" ",99)),100,99)))+1,999))+1,999),FIND(":",MID(MID(TRIM(MID(SUBSTITUTE(K195,";",REPT(" ",99)),100,99)),FIND(":",TRIM(MID(SUBSTITUTE(K195,";",REPT(" ",99)),100,99)))+1,999),FIND(":",MID(TRIM(MID(SUBSTITUTE(K195,";",REPT(" ",99)),100,99)),FIND(":",TRIM(MID(SUBSTITUTE(K195,";",REPT(" ",99)),100,99)))+1,999))+1,999))-1)),IF(TRIM(MID(SUBSTITUTE(K195,";",REPT(" ",99)),199,99))="","",IFERROR(VLOOKUP(--LEFT(MID(TRIM(MID(SUBSTITUTE(K195,";",REPT(" ",99)),199,99)),FIND(":",TRIM(MID(SUBSTITUTE(K195,";",REPT(" ",99)),199,99)))+1,999),FIND(":",MID(TRIM(MID(SUBSTITUTE(K195,";",REPT(" ",99)),199,99)),FIND(":",TRIM(MID(SUBSTITUTE(K195,";",REPT(" ",99)),199,99)))+1,999))-1),_Lookup!$A:$B,2,FALSE),"?")&amp;"×"&amp;LEFT(MID(MID(TRIM(MID(SUBSTITUTE(K195,";",REPT(" ",99)),199,99)),FIND(":",TRIM(MID(SUBSTITUTE(K195,";",REPT(" ",99)),199,99)))+1,999),FIND(":",MID(TRIM(MID(SUBSTITUTE(K195,";",REPT(" ",99)),199,99)),FIND(":",TRIM(MID(SUBSTITUTE(K195,";",REPT(" ",99)),199,99)))+1,999))+1,999),FIND(":",MID(MID(TRIM(MID(SUBSTITUTE(K195,";",REPT(" ",99)),199,99)),FIND(":",TRIM(MID(SUBSTITUTE(K195,";",REPT(" ",99)),199,99)))+1,999),FIND(":",MID(TRIM(MID(SUBSTITUTE(K195,";",REPT(" ",99)),199,99)),FIND(":",TRIM(MID(SUBSTITUTE(K195,";",REPT(" ",99)),199,99)))+1,999))+1,999))-1)),IF(TRIM(MID(SUBSTITUTE(K195,";",REPT(" ",99)),298,99))="","",IFERROR(VLOOKUP(--LEFT(MID(TRIM(MID(SUBSTITUTE(K195,";",REPT(" ",99)),298,99)),FIND(":",TRIM(MID(SUBSTITUTE(K195,";",REPT(" ",99)),298,99)))+1,999),FIND(":",MID(TRIM(MID(SUBSTITUTE(K195,";",REPT(" ",99)),298,99)),FIND(":",TRIM(MID(SUBSTITUTE(K195,";",REPT(" ",99)),298,99)))+1,999))-1),_Lookup!$A:$B,2,FALSE),"?")&amp;"×"&amp;LEFT(MID(MID(TRIM(MID(SUBSTITUTE(K195,";",REPT(" ",99)),298,99)),FIND(":",TRIM(MID(SUBSTITUTE(K195,";",REPT(" ",99)),298,99)))+1,999),FIND(":",MID(TRIM(MID(SUBSTITUTE(K195,";",REPT(" ",99)),298,99)),FIND(":",TRIM(MID(SUBSTITUTE(K195,";",REPT(" ",99)),298,99)))+1,999))+1,999),FIND(":",MID(MID(TRIM(MID(SUBSTITUTE(K195,";",REPT(" ",99)),298,99)),FIND(":",TRIM(MID(SUBSTITUTE(K195,";",REPT(" ",99)),298,99)))+1,999),FIND(":",MID(TRIM(MID(SUBSTITUTE(K195,";",REPT(" ",99)),298,99)),FIND(":",TRIM(MID(SUBSTITUTE(K195,";",REPT(" ",99)),298,99)))+1,999))+1,999))-1)),IF(TRIM(MID(SUBSTITUTE(K195,";",REPT(" ",99)),397,99))="","",IFERROR(VLOOKUP(--LEFT(MID(TRIM(MID(SUBSTITUTE(K195,";",REPT(" ",99)),397,99)),FIND(":",TRIM(MID(SUBSTITUTE(K195,";",REPT(" ",99)),397,99)))+1,999),FIND(":",MID(TRIM(MID(SUBSTITUTE(K195,";",REPT(" ",99)),397,99)),FIND(":",TRIM(MID(SUBSTITUTE(K195,";",REPT(" ",99)),397,99)))+1,999))-1),_Lookup!$A:$B,2,FALSE),"?")&amp;"×"&amp;LEFT(MID(MID(TRIM(MID(SUBSTITUTE(K195,";",REPT(" ",99)),397,99)),FIND(":",TRIM(MID(SUBSTITUTE(K195,";",REPT(" ",99)),397,99)))+1,999),FIND(":",MID(TRIM(MID(SUBSTITUTE(K195,";",REPT(" ",99)),397,99)),FIND(":",TRIM(MID(SUBSTITUTE(K195,";",REPT(" ",99)),397,99)))+1,999))+1,999),FIND(":",MID(MID(TRIM(MID(SUBSTITUTE(K195,";",REPT(" ",99)),397,99)),FIND(":",TRIM(MID(SUBSTITUTE(K195,";",REPT(" ",99)),397,99)))+1,999),FIND(":",MID(TRIM(MID(SUBSTITUTE(K195,";",REPT(" ",99)),397,99)),FIND(":",TRIM(MID(SUBSTITUTE(K195,";",REPT(" ",99)),397,99)))+1,999))+1,999))-1))))</f>
        <v/>
      </c>
    </row>
    <row r="196">
      <c r="D196" s="11">
        <f>IFERROR(VLOOKUP(C196,ItemData_Fish!$A:$B,2,FALSE),"")</f>
        <v/>
      </c>
      <c r="L196" s="11">
        <f>IF(K196="","",TEXTJOIN("; ",TRUE,IF(TRIM(MID(SUBSTITUTE(K196,";",REPT(" ",99)),1,99))="","",IFERROR(VLOOKUP(--LEFT(MID(TRIM(MID(SUBSTITUTE(K196,";",REPT(" ",99)),1,99)),FIND(":",TRIM(MID(SUBSTITUTE(K196,";",REPT(" ",99)),1,99)))+1,999),FIND(":",MID(TRIM(MID(SUBSTITUTE(K196,";",REPT(" ",99)),1,99)),FIND(":",TRIM(MID(SUBSTITUTE(K196,";",REPT(" ",99)),1,99)))+1,999))-1),_Lookup!$A:$B,2,FALSE),"?")&amp;"×"&amp;LEFT(MID(MID(TRIM(MID(SUBSTITUTE(K196,";",REPT(" ",99)),1,99)),FIND(":",TRIM(MID(SUBSTITUTE(K196,";",REPT(" ",99)),1,99)))+1,999),FIND(":",MID(TRIM(MID(SUBSTITUTE(K196,";",REPT(" ",99)),1,99)),FIND(":",TRIM(MID(SUBSTITUTE(K196,";",REPT(" ",99)),1,99)))+1,999))+1,999),FIND(":",MID(MID(TRIM(MID(SUBSTITUTE(K196,";",REPT(" ",99)),1,99)),FIND(":",TRIM(MID(SUBSTITUTE(K196,";",REPT(" ",99)),1,99)))+1,999),FIND(":",MID(TRIM(MID(SUBSTITUTE(K196,";",REPT(" ",99)),1,99)),FIND(":",TRIM(MID(SUBSTITUTE(K196,";",REPT(" ",99)),1,99)))+1,999))+1,999))-1)),IF(TRIM(MID(SUBSTITUTE(K196,";",REPT(" ",99)),100,99))="","",IFERROR(VLOOKUP(--LEFT(MID(TRIM(MID(SUBSTITUTE(K196,";",REPT(" ",99)),100,99)),FIND(":",TRIM(MID(SUBSTITUTE(K196,";",REPT(" ",99)),100,99)))+1,999),FIND(":",MID(TRIM(MID(SUBSTITUTE(K196,";",REPT(" ",99)),100,99)),FIND(":",TRIM(MID(SUBSTITUTE(K196,";",REPT(" ",99)),100,99)))+1,999))-1),_Lookup!$A:$B,2,FALSE),"?")&amp;"×"&amp;LEFT(MID(MID(TRIM(MID(SUBSTITUTE(K196,";",REPT(" ",99)),100,99)),FIND(":",TRIM(MID(SUBSTITUTE(K196,";",REPT(" ",99)),100,99)))+1,999),FIND(":",MID(TRIM(MID(SUBSTITUTE(K196,";",REPT(" ",99)),100,99)),FIND(":",TRIM(MID(SUBSTITUTE(K196,";",REPT(" ",99)),100,99)))+1,999))+1,999),FIND(":",MID(MID(TRIM(MID(SUBSTITUTE(K196,";",REPT(" ",99)),100,99)),FIND(":",TRIM(MID(SUBSTITUTE(K196,";",REPT(" ",99)),100,99)))+1,999),FIND(":",MID(TRIM(MID(SUBSTITUTE(K196,";",REPT(" ",99)),100,99)),FIND(":",TRIM(MID(SUBSTITUTE(K196,";",REPT(" ",99)),100,99)))+1,999))+1,999))-1)),IF(TRIM(MID(SUBSTITUTE(K196,";",REPT(" ",99)),199,99))="","",IFERROR(VLOOKUP(--LEFT(MID(TRIM(MID(SUBSTITUTE(K196,";",REPT(" ",99)),199,99)),FIND(":",TRIM(MID(SUBSTITUTE(K196,";",REPT(" ",99)),199,99)))+1,999),FIND(":",MID(TRIM(MID(SUBSTITUTE(K196,";",REPT(" ",99)),199,99)),FIND(":",TRIM(MID(SUBSTITUTE(K196,";",REPT(" ",99)),199,99)))+1,999))-1),_Lookup!$A:$B,2,FALSE),"?")&amp;"×"&amp;LEFT(MID(MID(TRIM(MID(SUBSTITUTE(K196,";",REPT(" ",99)),199,99)),FIND(":",TRIM(MID(SUBSTITUTE(K196,";",REPT(" ",99)),199,99)))+1,999),FIND(":",MID(TRIM(MID(SUBSTITUTE(K196,";",REPT(" ",99)),199,99)),FIND(":",TRIM(MID(SUBSTITUTE(K196,";",REPT(" ",99)),199,99)))+1,999))+1,999),FIND(":",MID(MID(TRIM(MID(SUBSTITUTE(K196,";",REPT(" ",99)),199,99)),FIND(":",TRIM(MID(SUBSTITUTE(K196,";",REPT(" ",99)),199,99)))+1,999),FIND(":",MID(TRIM(MID(SUBSTITUTE(K196,";",REPT(" ",99)),199,99)),FIND(":",TRIM(MID(SUBSTITUTE(K196,";",REPT(" ",99)),199,99)))+1,999))+1,999))-1)),IF(TRIM(MID(SUBSTITUTE(K196,";",REPT(" ",99)),298,99))="","",IFERROR(VLOOKUP(--LEFT(MID(TRIM(MID(SUBSTITUTE(K196,";",REPT(" ",99)),298,99)),FIND(":",TRIM(MID(SUBSTITUTE(K196,";",REPT(" ",99)),298,99)))+1,999),FIND(":",MID(TRIM(MID(SUBSTITUTE(K196,";",REPT(" ",99)),298,99)),FIND(":",TRIM(MID(SUBSTITUTE(K196,";",REPT(" ",99)),298,99)))+1,999))-1),_Lookup!$A:$B,2,FALSE),"?")&amp;"×"&amp;LEFT(MID(MID(TRIM(MID(SUBSTITUTE(K196,";",REPT(" ",99)),298,99)),FIND(":",TRIM(MID(SUBSTITUTE(K196,";",REPT(" ",99)),298,99)))+1,999),FIND(":",MID(TRIM(MID(SUBSTITUTE(K196,";",REPT(" ",99)),298,99)),FIND(":",TRIM(MID(SUBSTITUTE(K196,";",REPT(" ",99)),298,99)))+1,999))+1,999),FIND(":",MID(MID(TRIM(MID(SUBSTITUTE(K196,";",REPT(" ",99)),298,99)),FIND(":",TRIM(MID(SUBSTITUTE(K196,";",REPT(" ",99)),298,99)))+1,999),FIND(":",MID(TRIM(MID(SUBSTITUTE(K196,";",REPT(" ",99)),298,99)),FIND(":",TRIM(MID(SUBSTITUTE(K196,";",REPT(" ",99)),298,99)))+1,999))+1,999))-1)),IF(TRIM(MID(SUBSTITUTE(K196,";",REPT(" ",99)),397,99))="","",IFERROR(VLOOKUP(--LEFT(MID(TRIM(MID(SUBSTITUTE(K196,";",REPT(" ",99)),397,99)),FIND(":",TRIM(MID(SUBSTITUTE(K196,";",REPT(" ",99)),397,99)))+1,999),FIND(":",MID(TRIM(MID(SUBSTITUTE(K196,";",REPT(" ",99)),397,99)),FIND(":",TRIM(MID(SUBSTITUTE(K196,";",REPT(" ",99)),397,99)))+1,999))-1),_Lookup!$A:$B,2,FALSE),"?")&amp;"×"&amp;LEFT(MID(MID(TRIM(MID(SUBSTITUTE(K196,";",REPT(" ",99)),397,99)),FIND(":",TRIM(MID(SUBSTITUTE(K196,";",REPT(" ",99)),397,99)))+1,999),FIND(":",MID(TRIM(MID(SUBSTITUTE(K196,";",REPT(" ",99)),397,99)),FIND(":",TRIM(MID(SUBSTITUTE(K196,";",REPT(" ",99)),397,99)))+1,999))+1,999),FIND(":",MID(MID(TRIM(MID(SUBSTITUTE(K196,";",REPT(" ",99)),397,99)),FIND(":",TRIM(MID(SUBSTITUTE(K196,";",REPT(" ",99)),397,99)))+1,999),FIND(":",MID(TRIM(MID(SUBSTITUTE(K196,";",REPT(" ",99)),397,99)),FIND(":",TRIM(MID(SUBSTITUTE(K196,";",REPT(" ",99)),397,99)))+1,999))+1,999))-1))))</f>
        <v/>
      </c>
    </row>
    <row r="197">
      <c r="D197" s="11">
        <f>IFERROR(VLOOKUP(C197,ItemData_Fish!$A:$B,2,FALSE),"")</f>
        <v/>
      </c>
      <c r="L197" s="11">
        <f>IF(K197="","",TEXTJOIN("; ",TRUE,IF(TRIM(MID(SUBSTITUTE(K197,";",REPT(" ",99)),1,99))="","",IFERROR(VLOOKUP(--LEFT(MID(TRIM(MID(SUBSTITUTE(K197,";",REPT(" ",99)),1,99)),FIND(":",TRIM(MID(SUBSTITUTE(K197,";",REPT(" ",99)),1,99)))+1,999),FIND(":",MID(TRIM(MID(SUBSTITUTE(K197,";",REPT(" ",99)),1,99)),FIND(":",TRIM(MID(SUBSTITUTE(K197,";",REPT(" ",99)),1,99)))+1,999))-1),_Lookup!$A:$B,2,FALSE),"?")&amp;"×"&amp;LEFT(MID(MID(TRIM(MID(SUBSTITUTE(K197,";",REPT(" ",99)),1,99)),FIND(":",TRIM(MID(SUBSTITUTE(K197,";",REPT(" ",99)),1,99)))+1,999),FIND(":",MID(TRIM(MID(SUBSTITUTE(K197,";",REPT(" ",99)),1,99)),FIND(":",TRIM(MID(SUBSTITUTE(K197,";",REPT(" ",99)),1,99)))+1,999))+1,999),FIND(":",MID(MID(TRIM(MID(SUBSTITUTE(K197,";",REPT(" ",99)),1,99)),FIND(":",TRIM(MID(SUBSTITUTE(K197,";",REPT(" ",99)),1,99)))+1,999),FIND(":",MID(TRIM(MID(SUBSTITUTE(K197,";",REPT(" ",99)),1,99)),FIND(":",TRIM(MID(SUBSTITUTE(K197,";",REPT(" ",99)),1,99)))+1,999))+1,999))-1)),IF(TRIM(MID(SUBSTITUTE(K197,";",REPT(" ",99)),100,99))="","",IFERROR(VLOOKUP(--LEFT(MID(TRIM(MID(SUBSTITUTE(K197,";",REPT(" ",99)),100,99)),FIND(":",TRIM(MID(SUBSTITUTE(K197,";",REPT(" ",99)),100,99)))+1,999),FIND(":",MID(TRIM(MID(SUBSTITUTE(K197,";",REPT(" ",99)),100,99)),FIND(":",TRIM(MID(SUBSTITUTE(K197,";",REPT(" ",99)),100,99)))+1,999))-1),_Lookup!$A:$B,2,FALSE),"?")&amp;"×"&amp;LEFT(MID(MID(TRIM(MID(SUBSTITUTE(K197,";",REPT(" ",99)),100,99)),FIND(":",TRIM(MID(SUBSTITUTE(K197,";",REPT(" ",99)),100,99)))+1,999),FIND(":",MID(TRIM(MID(SUBSTITUTE(K197,";",REPT(" ",99)),100,99)),FIND(":",TRIM(MID(SUBSTITUTE(K197,";",REPT(" ",99)),100,99)))+1,999))+1,999),FIND(":",MID(MID(TRIM(MID(SUBSTITUTE(K197,";",REPT(" ",99)),100,99)),FIND(":",TRIM(MID(SUBSTITUTE(K197,";",REPT(" ",99)),100,99)))+1,999),FIND(":",MID(TRIM(MID(SUBSTITUTE(K197,";",REPT(" ",99)),100,99)),FIND(":",TRIM(MID(SUBSTITUTE(K197,";",REPT(" ",99)),100,99)))+1,999))+1,999))-1)),IF(TRIM(MID(SUBSTITUTE(K197,";",REPT(" ",99)),199,99))="","",IFERROR(VLOOKUP(--LEFT(MID(TRIM(MID(SUBSTITUTE(K197,";",REPT(" ",99)),199,99)),FIND(":",TRIM(MID(SUBSTITUTE(K197,";",REPT(" ",99)),199,99)))+1,999),FIND(":",MID(TRIM(MID(SUBSTITUTE(K197,";",REPT(" ",99)),199,99)),FIND(":",TRIM(MID(SUBSTITUTE(K197,";",REPT(" ",99)),199,99)))+1,999))-1),_Lookup!$A:$B,2,FALSE),"?")&amp;"×"&amp;LEFT(MID(MID(TRIM(MID(SUBSTITUTE(K197,";",REPT(" ",99)),199,99)),FIND(":",TRIM(MID(SUBSTITUTE(K197,";",REPT(" ",99)),199,99)))+1,999),FIND(":",MID(TRIM(MID(SUBSTITUTE(K197,";",REPT(" ",99)),199,99)),FIND(":",TRIM(MID(SUBSTITUTE(K197,";",REPT(" ",99)),199,99)))+1,999))+1,999),FIND(":",MID(MID(TRIM(MID(SUBSTITUTE(K197,";",REPT(" ",99)),199,99)),FIND(":",TRIM(MID(SUBSTITUTE(K197,";",REPT(" ",99)),199,99)))+1,999),FIND(":",MID(TRIM(MID(SUBSTITUTE(K197,";",REPT(" ",99)),199,99)),FIND(":",TRIM(MID(SUBSTITUTE(K197,";",REPT(" ",99)),199,99)))+1,999))+1,999))-1)),IF(TRIM(MID(SUBSTITUTE(K197,";",REPT(" ",99)),298,99))="","",IFERROR(VLOOKUP(--LEFT(MID(TRIM(MID(SUBSTITUTE(K197,";",REPT(" ",99)),298,99)),FIND(":",TRIM(MID(SUBSTITUTE(K197,";",REPT(" ",99)),298,99)))+1,999),FIND(":",MID(TRIM(MID(SUBSTITUTE(K197,";",REPT(" ",99)),298,99)),FIND(":",TRIM(MID(SUBSTITUTE(K197,";",REPT(" ",99)),298,99)))+1,999))-1),_Lookup!$A:$B,2,FALSE),"?")&amp;"×"&amp;LEFT(MID(MID(TRIM(MID(SUBSTITUTE(K197,";",REPT(" ",99)),298,99)),FIND(":",TRIM(MID(SUBSTITUTE(K197,";",REPT(" ",99)),298,99)))+1,999),FIND(":",MID(TRIM(MID(SUBSTITUTE(K197,";",REPT(" ",99)),298,99)),FIND(":",TRIM(MID(SUBSTITUTE(K197,";",REPT(" ",99)),298,99)))+1,999))+1,999),FIND(":",MID(MID(TRIM(MID(SUBSTITUTE(K197,";",REPT(" ",99)),298,99)),FIND(":",TRIM(MID(SUBSTITUTE(K197,";",REPT(" ",99)),298,99)))+1,999),FIND(":",MID(TRIM(MID(SUBSTITUTE(K197,";",REPT(" ",99)),298,99)),FIND(":",TRIM(MID(SUBSTITUTE(K197,";",REPT(" ",99)),298,99)))+1,999))+1,999))-1)),IF(TRIM(MID(SUBSTITUTE(K197,";",REPT(" ",99)),397,99))="","",IFERROR(VLOOKUP(--LEFT(MID(TRIM(MID(SUBSTITUTE(K197,";",REPT(" ",99)),397,99)),FIND(":",TRIM(MID(SUBSTITUTE(K197,";",REPT(" ",99)),397,99)))+1,999),FIND(":",MID(TRIM(MID(SUBSTITUTE(K197,";",REPT(" ",99)),397,99)),FIND(":",TRIM(MID(SUBSTITUTE(K197,";",REPT(" ",99)),397,99)))+1,999))-1),_Lookup!$A:$B,2,FALSE),"?")&amp;"×"&amp;LEFT(MID(MID(TRIM(MID(SUBSTITUTE(K197,";",REPT(" ",99)),397,99)),FIND(":",TRIM(MID(SUBSTITUTE(K197,";",REPT(" ",99)),397,99)))+1,999),FIND(":",MID(TRIM(MID(SUBSTITUTE(K197,";",REPT(" ",99)),397,99)),FIND(":",TRIM(MID(SUBSTITUTE(K197,";",REPT(" ",99)),397,99)))+1,999))+1,999),FIND(":",MID(MID(TRIM(MID(SUBSTITUTE(K197,";",REPT(" ",99)),397,99)),FIND(":",TRIM(MID(SUBSTITUTE(K197,";",REPT(" ",99)),397,99)))+1,999),FIND(":",MID(TRIM(MID(SUBSTITUTE(K197,";",REPT(" ",99)),397,99)),FIND(":",TRIM(MID(SUBSTITUTE(K197,";",REPT(" ",99)),397,99)))+1,999))+1,999))-1))))</f>
        <v/>
      </c>
    </row>
    <row r="198">
      <c r="D198" s="11">
        <f>IFERROR(VLOOKUP(C198,ItemData_Fish!$A:$B,2,FALSE),"")</f>
        <v/>
      </c>
      <c r="L198" s="11">
        <f>IF(K198="","",TEXTJOIN("; ",TRUE,IF(TRIM(MID(SUBSTITUTE(K198,";",REPT(" ",99)),1,99))="","",IFERROR(VLOOKUP(--LEFT(MID(TRIM(MID(SUBSTITUTE(K198,";",REPT(" ",99)),1,99)),FIND(":",TRIM(MID(SUBSTITUTE(K198,";",REPT(" ",99)),1,99)))+1,999),FIND(":",MID(TRIM(MID(SUBSTITUTE(K198,";",REPT(" ",99)),1,99)),FIND(":",TRIM(MID(SUBSTITUTE(K198,";",REPT(" ",99)),1,99)))+1,999))-1),_Lookup!$A:$B,2,FALSE),"?")&amp;"×"&amp;LEFT(MID(MID(TRIM(MID(SUBSTITUTE(K198,";",REPT(" ",99)),1,99)),FIND(":",TRIM(MID(SUBSTITUTE(K198,";",REPT(" ",99)),1,99)))+1,999),FIND(":",MID(TRIM(MID(SUBSTITUTE(K198,";",REPT(" ",99)),1,99)),FIND(":",TRIM(MID(SUBSTITUTE(K198,";",REPT(" ",99)),1,99)))+1,999))+1,999),FIND(":",MID(MID(TRIM(MID(SUBSTITUTE(K198,";",REPT(" ",99)),1,99)),FIND(":",TRIM(MID(SUBSTITUTE(K198,";",REPT(" ",99)),1,99)))+1,999),FIND(":",MID(TRIM(MID(SUBSTITUTE(K198,";",REPT(" ",99)),1,99)),FIND(":",TRIM(MID(SUBSTITUTE(K198,";",REPT(" ",99)),1,99)))+1,999))+1,999))-1)),IF(TRIM(MID(SUBSTITUTE(K198,";",REPT(" ",99)),100,99))="","",IFERROR(VLOOKUP(--LEFT(MID(TRIM(MID(SUBSTITUTE(K198,";",REPT(" ",99)),100,99)),FIND(":",TRIM(MID(SUBSTITUTE(K198,";",REPT(" ",99)),100,99)))+1,999),FIND(":",MID(TRIM(MID(SUBSTITUTE(K198,";",REPT(" ",99)),100,99)),FIND(":",TRIM(MID(SUBSTITUTE(K198,";",REPT(" ",99)),100,99)))+1,999))-1),_Lookup!$A:$B,2,FALSE),"?")&amp;"×"&amp;LEFT(MID(MID(TRIM(MID(SUBSTITUTE(K198,";",REPT(" ",99)),100,99)),FIND(":",TRIM(MID(SUBSTITUTE(K198,";",REPT(" ",99)),100,99)))+1,999),FIND(":",MID(TRIM(MID(SUBSTITUTE(K198,";",REPT(" ",99)),100,99)),FIND(":",TRIM(MID(SUBSTITUTE(K198,";",REPT(" ",99)),100,99)))+1,999))+1,999),FIND(":",MID(MID(TRIM(MID(SUBSTITUTE(K198,";",REPT(" ",99)),100,99)),FIND(":",TRIM(MID(SUBSTITUTE(K198,";",REPT(" ",99)),100,99)))+1,999),FIND(":",MID(TRIM(MID(SUBSTITUTE(K198,";",REPT(" ",99)),100,99)),FIND(":",TRIM(MID(SUBSTITUTE(K198,";",REPT(" ",99)),100,99)))+1,999))+1,999))-1)),IF(TRIM(MID(SUBSTITUTE(K198,";",REPT(" ",99)),199,99))="","",IFERROR(VLOOKUP(--LEFT(MID(TRIM(MID(SUBSTITUTE(K198,";",REPT(" ",99)),199,99)),FIND(":",TRIM(MID(SUBSTITUTE(K198,";",REPT(" ",99)),199,99)))+1,999),FIND(":",MID(TRIM(MID(SUBSTITUTE(K198,";",REPT(" ",99)),199,99)),FIND(":",TRIM(MID(SUBSTITUTE(K198,";",REPT(" ",99)),199,99)))+1,999))-1),_Lookup!$A:$B,2,FALSE),"?")&amp;"×"&amp;LEFT(MID(MID(TRIM(MID(SUBSTITUTE(K198,";",REPT(" ",99)),199,99)),FIND(":",TRIM(MID(SUBSTITUTE(K198,";",REPT(" ",99)),199,99)))+1,999),FIND(":",MID(TRIM(MID(SUBSTITUTE(K198,";",REPT(" ",99)),199,99)),FIND(":",TRIM(MID(SUBSTITUTE(K198,";",REPT(" ",99)),199,99)))+1,999))+1,999),FIND(":",MID(MID(TRIM(MID(SUBSTITUTE(K198,";",REPT(" ",99)),199,99)),FIND(":",TRIM(MID(SUBSTITUTE(K198,";",REPT(" ",99)),199,99)))+1,999),FIND(":",MID(TRIM(MID(SUBSTITUTE(K198,";",REPT(" ",99)),199,99)),FIND(":",TRIM(MID(SUBSTITUTE(K198,";",REPT(" ",99)),199,99)))+1,999))+1,999))-1)),IF(TRIM(MID(SUBSTITUTE(K198,";",REPT(" ",99)),298,99))="","",IFERROR(VLOOKUP(--LEFT(MID(TRIM(MID(SUBSTITUTE(K198,";",REPT(" ",99)),298,99)),FIND(":",TRIM(MID(SUBSTITUTE(K198,";",REPT(" ",99)),298,99)))+1,999),FIND(":",MID(TRIM(MID(SUBSTITUTE(K198,";",REPT(" ",99)),298,99)),FIND(":",TRIM(MID(SUBSTITUTE(K198,";",REPT(" ",99)),298,99)))+1,999))-1),_Lookup!$A:$B,2,FALSE),"?")&amp;"×"&amp;LEFT(MID(MID(TRIM(MID(SUBSTITUTE(K198,";",REPT(" ",99)),298,99)),FIND(":",TRIM(MID(SUBSTITUTE(K198,";",REPT(" ",99)),298,99)))+1,999),FIND(":",MID(TRIM(MID(SUBSTITUTE(K198,";",REPT(" ",99)),298,99)),FIND(":",TRIM(MID(SUBSTITUTE(K198,";",REPT(" ",99)),298,99)))+1,999))+1,999),FIND(":",MID(MID(TRIM(MID(SUBSTITUTE(K198,";",REPT(" ",99)),298,99)),FIND(":",TRIM(MID(SUBSTITUTE(K198,";",REPT(" ",99)),298,99)))+1,999),FIND(":",MID(TRIM(MID(SUBSTITUTE(K198,";",REPT(" ",99)),298,99)),FIND(":",TRIM(MID(SUBSTITUTE(K198,";",REPT(" ",99)),298,99)))+1,999))+1,999))-1)),IF(TRIM(MID(SUBSTITUTE(K198,";",REPT(" ",99)),397,99))="","",IFERROR(VLOOKUP(--LEFT(MID(TRIM(MID(SUBSTITUTE(K198,";",REPT(" ",99)),397,99)),FIND(":",TRIM(MID(SUBSTITUTE(K198,";",REPT(" ",99)),397,99)))+1,999),FIND(":",MID(TRIM(MID(SUBSTITUTE(K198,";",REPT(" ",99)),397,99)),FIND(":",TRIM(MID(SUBSTITUTE(K198,";",REPT(" ",99)),397,99)))+1,999))-1),_Lookup!$A:$B,2,FALSE),"?")&amp;"×"&amp;LEFT(MID(MID(TRIM(MID(SUBSTITUTE(K198,";",REPT(" ",99)),397,99)),FIND(":",TRIM(MID(SUBSTITUTE(K198,";",REPT(" ",99)),397,99)))+1,999),FIND(":",MID(TRIM(MID(SUBSTITUTE(K198,";",REPT(" ",99)),397,99)),FIND(":",TRIM(MID(SUBSTITUTE(K198,";",REPT(" ",99)),397,99)))+1,999))+1,999),FIND(":",MID(MID(TRIM(MID(SUBSTITUTE(K198,";",REPT(" ",99)),397,99)),FIND(":",TRIM(MID(SUBSTITUTE(K198,";",REPT(" ",99)),397,99)))+1,999),FIND(":",MID(TRIM(MID(SUBSTITUTE(K198,";",REPT(" ",99)),397,99)),FIND(":",TRIM(MID(SUBSTITUTE(K198,";",REPT(" ",99)),397,99)))+1,999))+1,999))-1))))</f>
        <v/>
      </c>
    </row>
    <row r="199">
      <c r="D199" s="11">
        <f>IFERROR(VLOOKUP(C199,ItemData_Fish!$A:$B,2,FALSE),"")</f>
        <v/>
      </c>
      <c r="L199" s="11">
        <f>IF(K199="","",TEXTJOIN("; ",TRUE,IF(TRIM(MID(SUBSTITUTE(K199,";",REPT(" ",99)),1,99))="","",IFERROR(VLOOKUP(--LEFT(MID(TRIM(MID(SUBSTITUTE(K199,";",REPT(" ",99)),1,99)),FIND(":",TRIM(MID(SUBSTITUTE(K199,";",REPT(" ",99)),1,99)))+1,999),FIND(":",MID(TRIM(MID(SUBSTITUTE(K199,";",REPT(" ",99)),1,99)),FIND(":",TRIM(MID(SUBSTITUTE(K199,";",REPT(" ",99)),1,99)))+1,999))-1),_Lookup!$A:$B,2,FALSE),"?")&amp;"×"&amp;LEFT(MID(MID(TRIM(MID(SUBSTITUTE(K199,";",REPT(" ",99)),1,99)),FIND(":",TRIM(MID(SUBSTITUTE(K199,";",REPT(" ",99)),1,99)))+1,999),FIND(":",MID(TRIM(MID(SUBSTITUTE(K199,";",REPT(" ",99)),1,99)),FIND(":",TRIM(MID(SUBSTITUTE(K199,";",REPT(" ",99)),1,99)))+1,999))+1,999),FIND(":",MID(MID(TRIM(MID(SUBSTITUTE(K199,";",REPT(" ",99)),1,99)),FIND(":",TRIM(MID(SUBSTITUTE(K199,";",REPT(" ",99)),1,99)))+1,999),FIND(":",MID(TRIM(MID(SUBSTITUTE(K199,";",REPT(" ",99)),1,99)),FIND(":",TRIM(MID(SUBSTITUTE(K199,";",REPT(" ",99)),1,99)))+1,999))+1,999))-1)),IF(TRIM(MID(SUBSTITUTE(K199,";",REPT(" ",99)),100,99))="","",IFERROR(VLOOKUP(--LEFT(MID(TRIM(MID(SUBSTITUTE(K199,";",REPT(" ",99)),100,99)),FIND(":",TRIM(MID(SUBSTITUTE(K199,";",REPT(" ",99)),100,99)))+1,999),FIND(":",MID(TRIM(MID(SUBSTITUTE(K199,";",REPT(" ",99)),100,99)),FIND(":",TRIM(MID(SUBSTITUTE(K199,";",REPT(" ",99)),100,99)))+1,999))-1),_Lookup!$A:$B,2,FALSE),"?")&amp;"×"&amp;LEFT(MID(MID(TRIM(MID(SUBSTITUTE(K199,";",REPT(" ",99)),100,99)),FIND(":",TRIM(MID(SUBSTITUTE(K199,";",REPT(" ",99)),100,99)))+1,999),FIND(":",MID(TRIM(MID(SUBSTITUTE(K199,";",REPT(" ",99)),100,99)),FIND(":",TRIM(MID(SUBSTITUTE(K199,";",REPT(" ",99)),100,99)))+1,999))+1,999),FIND(":",MID(MID(TRIM(MID(SUBSTITUTE(K199,";",REPT(" ",99)),100,99)),FIND(":",TRIM(MID(SUBSTITUTE(K199,";",REPT(" ",99)),100,99)))+1,999),FIND(":",MID(TRIM(MID(SUBSTITUTE(K199,";",REPT(" ",99)),100,99)),FIND(":",TRIM(MID(SUBSTITUTE(K199,";",REPT(" ",99)),100,99)))+1,999))+1,999))-1)),IF(TRIM(MID(SUBSTITUTE(K199,";",REPT(" ",99)),199,99))="","",IFERROR(VLOOKUP(--LEFT(MID(TRIM(MID(SUBSTITUTE(K199,";",REPT(" ",99)),199,99)),FIND(":",TRIM(MID(SUBSTITUTE(K199,";",REPT(" ",99)),199,99)))+1,999),FIND(":",MID(TRIM(MID(SUBSTITUTE(K199,";",REPT(" ",99)),199,99)),FIND(":",TRIM(MID(SUBSTITUTE(K199,";",REPT(" ",99)),199,99)))+1,999))-1),_Lookup!$A:$B,2,FALSE),"?")&amp;"×"&amp;LEFT(MID(MID(TRIM(MID(SUBSTITUTE(K199,";",REPT(" ",99)),199,99)),FIND(":",TRIM(MID(SUBSTITUTE(K199,";",REPT(" ",99)),199,99)))+1,999),FIND(":",MID(TRIM(MID(SUBSTITUTE(K199,";",REPT(" ",99)),199,99)),FIND(":",TRIM(MID(SUBSTITUTE(K199,";",REPT(" ",99)),199,99)))+1,999))+1,999),FIND(":",MID(MID(TRIM(MID(SUBSTITUTE(K199,";",REPT(" ",99)),199,99)),FIND(":",TRIM(MID(SUBSTITUTE(K199,";",REPT(" ",99)),199,99)))+1,999),FIND(":",MID(TRIM(MID(SUBSTITUTE(K199,";",REPT(" ",99)),199,99)),FIND(":",TRIM(MID(SUBSTITUTE(K199,";",REPT(" ",99)),199,99)))+1,999))+1,999))-1)),IF(TRIM(MID(SUBSTITUTE(K199,";",REPT(" ",99)),298,99))="","",IFERROR(VLOOKUP(--LEFT(MID(TRIM(MID(SUBSTITUTE(K199,";",REPT(" ",99)),298,99)),FIND(":",TRIM(MID(SUBSTITUTE(K199,";",REPT(" ",99)),298,99)))+1,999),FIND(":",MID(TRIM(MID(SUBSTITUTE(K199,";",REPT(" ",99)),298,99)),FIND(":",TRIM(MID(SUBSTITUTE(K199,";",REPT(" ",99)),298,99)))+1,999))-1),_Lookup!$A:$B,2,FALSE),"?")&amp;"×"&amp;LEFT(MID(MID(TRIM(MID(SUBSTITUTE(K199,";",REPT(" ",99)),298,99)),FIND(":",TRIM(MID(SUBSTITUTE(K199,";",REPT(" ",99)),298,99)))+1,999),FIND(":",MID(TRIM(MID(SUBSTITUTE(K199,";",REPT(" ",99)),298,99)),FIND(":",TRIM(MID(SUBSTITUTE(K199,";",REPT(" ",99)),298,99)))+1,999))+1,999),FIND(":",MID(MID(TRIM(MID(SUBSTITUTE(K199,";",REPT(" ",99)),298,99)),FIND(":",TRIM(MID(SUBSTITUTE(K199,";",REPT(" ",99)),298,99)))+1,999),FIND(":",MID(TRIM(MID(SUBSTITUTE(K199,";",REPT(" ",99)),298,99)),FIND(":",TRIM(MID(SUBSTITUTE(K199,";",REPT(" ",99)),298,99)))+1,999))+1,999))-1)),IF(TRIM(MID(SUBSTITUTE(K199,";",REPT(" ",99)),397,99))="","",IFERROR(VLOOKUP(--LEFT(MID(TRIM(MID(SUBSTITUTE(K199,";",REPT(" ",99)),397,99)),FIND(":",TRIM(MID(SUBSTITUTE(K199,";",REPT(" ",99)),397,99)))+1,999),FIND(":",MID(TRIM(MID(SUBSTITUTE(K199,";",REPT(" ",99)),397,99)),FIND(":",TRIM(MID(SUBSTITUTE(K199,";",REPT(" ",99)),397,99)))+1,999))-1),_Lookup!$A:$B,2,FALSE),"?")&amp;"×"&amp;LEFT(MID(MID(TRIM(MID(SUBSTITUTE(K199,";",REPT(" ",99)),397,99)),FIND(":",TRIM(MID(SUBSTITUTE(K199,";",REPT(" ",99)),397,99)))+1,999),FIND(":",MID(TRIM(MID(SUBSTITUTE(K199,";",REPT(" ",99)),397,99)),FIND(":",TRIM(MID(SUBSTITUTE(K199,";",REPT(" ",99)),397,99)))+1,999))+1,999),FIND(":",MID(MID(TRIM(MID(SUBSTITUTE(K199,";",REPT(" ",99)),397,99)),FIND(":",TRIM(MID(SUBSTITUTE(K199,";",REPT(" ",99)),397,99)))+1,999),FIND(":",MID(TRIM(MID(SUBSTITUTE(K199,";",REPT(" ",99)),397,99)),FIND(":",TRIM(MID(SUBSTITUTE(K199,";",REPT(" ",99)),397,99)))+1,999))+1,999))-1))))</f>
        <v/>
      </c>
    </row>
    <row r="200">
      <c r="D200" s="11">
        <f>IFERROR(VLOOKUP(C200,ItemData_Fish!$A:$B,2,FALSE),"")</f>
        <v/>
      </c>
      <c r="L200" s="11">
        <f>IF(K200="","",TEXTJOIN("; ",TRUE,IF(TRIM(MID(SUBSTITUTE(K200,";",REPT(" ",99)),1,99))="","",IFERROR(VLOOKUP(--LEFT(MID(TRIM(MID(SUBSTITUTE(K200,";",REPT(" ",99)),1,99)),FIND(":",TRIM(MID(SUBSTITUTE(K200,";",REPT(" ",99)),1,99)))+1,999),FIND(":",MID(TRIM(MID(SUBSTITUTE(K200,";",REPT(" ",99)),1,99)),FIND(":",TRIM(MID(SUBSTITUTE(K200,";",REPT(" ",99)),1,99)))+1,999))-1),_Lookup!$A:$B,2,FALSE),"?")&amp;"×"&amp;LEFT(MID(MID(TRIM(MID(SUBSTITUTE(K200,";",REPT(" ",99)),1,99)),FIND(":",TRIM(MID(SUBSTITUTE(K200,";",REPT(" ",99)),1,99)))+1,999),FIND(":",MID(TRIM(MID(SUBSTITUTE(K200,";",REPT(" ",99)),1,99)),FIND(":",TRIM(MID(SUBSTITUTE(K200,";",REPT(" ",99)),1,99)))+1,999))+1,999),FIND(":",MID(MID(TRIM(MID(SUBSTITUTE(K200,";",REPT(" ",99)),1,99)),FIND(":",TRIM(MID(SUBSTITUTE(K200,";",REPT(" ",99)),1,99)))+1,999),FIND(":",MID(TRIM(MID(SUBSTITUTE(K200,";",REPT(" ",99)),1,99)),FIND(":",TRIM(MID(SUBSTITUTE(K200,";",REPT(" ",99)),1,99)))+1,999))+1,999))-1)),IF(TRIM(MID(SUBSTITUTE(K200,";",REPT(" ",99)),100,99))="","",IFERROR(VLOOKUP(--LEFT(MID(TRIM(MID(SUBSTITUTE(K200,";",REPT(" ",99)),100,99)),FIND(":",TRIM(MID(SUBSTITUTE(K200,";",REPT(" ",99)),100,99)))+1,999),FIND(":",MID(TRIM(MID(SUBSTITUTE(K200,";",REPT(" ",99)),100,99)),FIND(":",TRIM(MID(SUBSTITUTE(K200,";",REPT(" ",99)),100,99)))+1,999))-1),_Lookup!$A:$B,2,FALSE),"?")&amp;"×"&amp;LEFT(MID(MID(TRIM(MID(SUBSTITUTE(K200,";",REPT(" ",99)),100,99)),FIND(":",TRIM(MID(SUBSTITUTE(K200,";",REPT(" ",99)),100,99)))+1,999),FIND(":",MID(TRIM(MID(SUBSTITUTE(K200,";",REPT(" ",99)),100,99)),FIND(":",TRIM(MID(SUBSTITUTE(K200,";",REPT(" ",99)),100,99)))+1,999))+1,999),FIND(":",MID(MID(TRIM(MID(SUBSTITUTE(K200,";",REPT(" ",99)),100,99)),FIND(":",TRIM(MID(SUBSTITUTE(K200,";",REPT(" ",99)),100,99)))+1,999),FIND(":",MID(TRIM(MID(SUBSTITUTE(K200,";",REPT(" ",99)),100,99)),FIND(":",TRIM(MID(SUBSTITUTE(K200,";",REPT(" ",99)),100,99)))+1,999))+1,999))-1)),IF(TRIM(MID(SUBSTITUTE(K200,";",REPT(" ",99)),199,99))="","",IFERROR(VLOOKUP(--LEFT(MID(TRIM(MID(SUBSTITUTE(K200,";",REPT(" ",99)),199,99)),FIND(":",TRIM(MID(SUBSTITUTE(K200,";",REPT(" ",99)),199,99)))+1,999),FIND(":",MID(TRIM(MID(SUBSTITUTE(K200,";",REPT(" ",99)),199,99)),FIND(":",TRIM(MID(SUBSTITUTE(K200,";",REPT(" ",99)),199,99)))+1,999))-1),_Lookup!$A:$B,2,FALSE),"?")&amp;"×"&amp;LEFT(MID(MID(TRIM(MID(SUBSTITUTE(K200,";",REPT(" ",99)),199,99)),FIND(":",TRIM(MID(SUBSTITUTE(K200,";",REPT(" ",99)),199,99)))+1,999),FIND(":",MID(TRIM(MID(SUBSTITUTE(K200,";",REPT(" ",99)),199,99)),FIND(":",TRIM(MID(SUBSTITUTE(K200,";",REPT(" ",99)),199,99)))+1,999))+1,999),FIND(":",MID(MID(TRIM(MID(SUBSTITUTE(K200,";",REPT(" ",99)),199,99)),FIND(":",TRIM(MID(SUBSTITUTE(K200,";",REPT(" ",99)),199,99)))+1,999),FIND(":",MID(TRIM(MID(SUBSTITUTE(K200,";",REPT(" ",99)),199,99)),FIND(":",TRIM(MID(SUBSTITUTE(K200,";",REPT(" ",99)),199,99)))+1,999))+1,999))-1)),IF(TRIM(MID(SUBSTITUTE(K200,";",REPT(" ",99)),298,99))="","",IFERROR(VLOOKUP(--LEFT(MID(TRIM(MID(SUBSTITUTE(K200,";",REPT(" ",99)),298,99)),FIND(":",TRIM(MID(SUBSTITUTE(K200,";",REPT(" ",99)),298,99)))+1,999),FIND(":",MID(TRIM(MID(SUBSTITUTE(K200,";",REPT(" ",99)),298,99)),FIND(":",TRIM(MID(SUBSTITUTE(K200,";",REPT(" ",99)),298,99)))+1,999))-1),_Lookup!$A:$B,2,FALSE),"?")&amp;"×"&amp;LEFT(MID(MID(TRIM(MID(SUBSTITUTE(K200,";",REPT(" ",99)),298,99)),FIND(":",TRIM(MID(SUBSTITUTE(K200,";",REPT(" ",99)),298,99)))+1,999),FIND(":",MID(TRIM(MID(SUBSTITUTE(K200,";",REPT(" ",99)),298,99)),FIND(":",TRIM(MID(SUBSTITUTE(K200,";",REPT(" ",99)),298,99)))+1,999))+1,999),FIND(":",MID(MID(TRIM(MID(SUBSTITUTE(K200,";",REPT(" ",99)),298,99)),FIND(":",TRIM(MID(SUBSTITUTE(K200,";",REPT(" ",99)),298,99)))+1,999),FIND(":",MID(TRIM(MID(SUBSTITUTE(K200,";",REPT(" ",99)),298,99)),FIND(":",TRIM(MID(SUBSTITUTE(K200,";",REPT(" ",99)),298,99)))+1,999))+1,999))-1)),IF(TRIM(MID(SUBSTITUTE(K200,";",REPT(" ",99)),397,99))="","",IFERROR(VLOOKUP(--LEFT(MID(TRIM(MID(SUBSTITUTE(K200,";",REPT(" ",99)),397,99)),FIND(":",TRIM(MID(SUBSTITUTE(K200,";",REPT(" ",99)),397,99)))+1,999),FIND(":",MID(TRIM(MID(SUBSTITUTE(K200,";",REPT(" ",99)),397,99)),FIND(":",TRIM(MID(SUBSTITUTE(K200,";",REPT(" ",99)),397,99)))+1,999))-1),_Lookup!$A:$B,2,FALSE),"?")&amp;"×"&amp;LEFT(MID(MID(TRIM(MID(SUBSTITUTE(K200,";",REPT(" ",99)),397,99)),FIND(":",TRIM(MID(SUBSTITUTE(K200,";",REPT(" ",99)),397,99)))+1,999),FIND(":",MID(TRIM(MID(SUBSTITUTE(K200,";",REPT(" ",99)),397,99)),FIND(":",TRIM(MID(SUBSTITUTE(K200,";",REPT(" ",99)),397,99)))+1,999))+1,999),FIND(":",MID(MID(TRIM(MID(SUBSTITUTE(K200,";",REPT(" ",99)),397,99)),FIND(":",TRIM(MID(SUBSTITUTE(K200,";",REPT(" ",99)),397,99)))+1,999),FIND(":",MID(TRIM(MID(SUBSTITUTE(K200,";",REPT(" ",99)),397,99)),FIND(":",TRIM(MID(SUBSTITUTE(K200,";",REPT(" ",99)),397,99)))+1,999))+1,999))-1))))</f>
        <v/>
      </c>
    </row>
    <row r="201">
      <c r="D201" s="11">
        <f>IFERROR(VLOOKUP(C201,ItemData_Fish!$A:$B,2,FALSE),"")</f>
        <v/>
      </c>
      <c r="L201" s="11">
        <f>IF(K201="","",TEXTJOIN("; ",TRUE,IF(TRIM(MID(SUBSTITUTE(K201,";",REPT(" ",99)),1,99))="","",IFERROR(VLOOKUP(--LEFT(MID(TRIM(MID(SUBSTITUTE(K201,";",REPT(" ",99)),1,99)),FIND(":",TRIM(MID(SUBSTITUTE(K201,";",REPT(" ",99)),1,99)))+1,999),FIND(":",MID(TRIM(MID(SUBSTITUTE(K201,";",REPT(" ",99)),1,99)),FIND(":",TRIM(MID(SUBSTITUTE(K201,";",REPT(" ",99)),1,99)))+1,999))-1),_Lookup!$A:$B,2,FALSE),"?")&amp;"×"&amp;LEFT(MID(MID(TRIM(MID(SUBSTITUTE(K201,";",REPT(" ",99)),1,99)),FIND(":",TRIM(MID(SUBSTITUTE(K201,";",REPT(" ",99)),1,99)))+1,999),FIND(":",MID(TRIM(MID(SUBSTITUTE(K201,";",REPT(" ",99)),1,99)),FIND(":",TRIM(MID(SUBSTITUTE(K201,";",REPT(" ",99)),1,99)))+1,999))+1,999),FIND(":",MID(MID(TRIM(MID(SUBSTITUTE(K201,";",REPT(" ",99)),1,99)),FIND(":",TRIM(MID(SUBSTITUTE(K201,";",REPT(" ",99)),1,99)))+1,999),FIND(":",MID(TRIM(MID(SUBSTITUTE(K201,";",REPT(" ",99)),1,99)),FIND(":",TRIM(MID(SUBSTITUTE(K201,";",REPT(" ",99)),1,99)))+1,999))+1,999))-1)),IF(TRIM(MID(SUBSTITUTE(K201,";",REPT(" ",99)),100,99))="","",IFERROR(VLOOKUP(--LEFT(MID(TRIM(MID(SUBSTITUTE(K201,";",REPT(" ",99)),100,99)),FIND(":",TRIM(MID(SUBSTITUTE(K201,";",REPT(" ",99)),100,99)))+1,999),FIND(":",MID(TRIM(MID(SUBSTITUTE(K201,";",REPT(" ",99)),100,99)),FIND(":",TRIM(MID(SUBSTITUTE(K201,";",REPT(" ",99)),100,99)))+1,999))-1),_Lookup!$A:$B,2,FALSE),"?")&amp;"×"&amp;LEFT(MID(MID(TRIM(MID(SUBSTITUTE(K201,";",REPT(" ",99)),100,99)),FIND(":",TRIM(MID(SUBSTITUTE(K201,";",REPT(" ",99)),100,99)))+1,999),FIND(":",MID(TRIM(MID(SUBSTITUTE(K201,";",REPT(" ",99)),100,99)),FIND(":",TRIM(MID(SUBSTITUTE(K201,";",REPT(" ",99)),100,99)))+1,999))+1,999),FIND(":",MID(MID(TRIM(MID(SUBSTITUTE(K201,";",REPT(" ",99)),100,99)),FIND(":",TRIM(MID(SUBSTITUTE(K201,";",REPT(" ",99)),100,99)))+1,999),FIND(":",MID(TRIM(MID(SUBSTITUTE(K201,";",REPT(" ",99)),100,99)),FIND(":",TRIM(MID(SUBSTITUTE(K201,";",REPT(" ",99)),100,99)))+1,999))+1,999))-1)),IF(TRIM(MID(SUBSTITUTE(K201,";",REPT(" ",99)),199,99))="","",IFERROR(VLOOKUP(--LEFT(MID(TRIM(MID(SUBSTITUTE(K201,";",REPT(" ",99)),199,99)),FIND(":",TRIM(MID(SUBSTITUTE(K201,";",REPT(" ",99)),199,99)))+1,999),FIND(":",MID(TRIM(MID(SUBSTITUTE(K201,";",REPT(" ",99)),199,99)),FIND(":",TRIM(MID(SUBSTITUTE(K201,";",REPT(" ",99)),199,99)))+1,999))-1),_Lookup!$A:$B,2,FALSE),"?")&amp;"×"&amp;LEFT(MID(MID(TRIM(MID(SUBSTITUTE(K201,";",REPT(" ",99)),199,99)),FIND(":",TRIM(MID(SUBSTITUTE(K201,";",REPT(" ",99)),199,99)))+1,999),FIND(":",MID(TRIM(MID(SUBSTITUTE(K201,";",REPT(" ",99)),199,99)),FIND(":",TRIM(MID(SUBSTITUTE(K201,";",REPT(" ",99)),199,99)))+1,999))+1,999),FIND(":",MID(MID(TRIM(MID(SUBSTITUTE(K201,";",REPT(" ",99)),199,99)),FIND(":",TRIM(MID(SUBSTITUTE(K201,";",REPT(" ",99)),199,99)))+1,999),FIND(":",MID(TRIM(MID(SUBSTITUTE(K201,";",REPT(" ",99)),199,99)),FIND(":",TRIM(MID(SUBSTITUTE(K201,";",REPT(" ",99)),199,99)))+1,999))+1,999))-1)),IF(TRIM(MID(SUBSTITUTE(K201,";",REPT(" ",99)),298,99))="","",IFERROR(VLOOKUP(--LEFT(MID(TRIM(MID(SUBSTITUTE(K201,";",REPT(" ",99)),298,99)),FIND(":",TRIM(MID(SUBSTITUTE(K201,";",REPT(" ",99)),298,99)))+1,999),FIND(":",MID(TRIM(MID(SUBSTITUTE(K201,";",REPT(" ",99)),298,99)),FIND(":",TRIM(MID(SUBSTITUTE(K201,";",REPT(" ",99)),298,99)))+1,999))-1),_Lookup!$A:$B,2,FALSE),"?")&amp;"×"&amp;LEFT(MID(MID(TRIM(MID(SUBSTITUTE(K201,";",REPT(" ",99)),298,99)),FIND(":",TRIM(MID(SUBSTITUTE(K201,";",REPT(" ",99)),298,99)))+1,999),FIND(":",MID(TRIM(MID(SUBSTITUTE(K201,";",REPT(" ",99)),298,99)),FIND(":",TRIM(MID(SUBSTITUTE(K201,";",REPT(" ",99)),298,99)))+1,999))+1,999),FIND(":",MID(MID(TRIM(MID(SUBSTITUTE(K201,";",REPT(" ",99)),298,99)),FIND(":",TRIM(MID(SUBSTITUTE(K201,";",REPT(" ",99)),298,99)))+1,999),FIND(":",MID(TRIM(MID(SUBSTITUTE(K201,";",REPT(" ",99)),298,99)),FIND(":",TRIM(MID(SUBSTITUTE(K201,";",REPT(" ",99)),298,99)))+1,999))+1,999))-1)),IF(TRIM(MID(SUBSTITUTE(K201,";",REPT(" ",99)),397,99))="","",IFERROR(VLOOKUP(--LEFT(MID(TRIM(MID(SUBSTITUTE(K201,";",REPT(" ",99)),397,99)),FIND(":",TRIM(MID(SUBSTITUTE(K201,";",REPT(" ",99)),397,99)))+1,999),FIND(":",MID(TRIM(MID(SUBSTITUTE(K201,";",REPT(" ",99)),397,99)),FIND(":",TRIM(MID(SUBSTITUTE(K201,";",REPT(" ",99)),397,99)))+1,999))-1),_Lookup!$A:$B,2,FALSE),"?")&amp;"×"&amp;LEFT(MID(MID(TRIM(MID(SUBSTITUTE(K201,";",REPT(" ",99)),397,99)),FIND(":",TRIM(MID(SUBSTITUTE(K201,";",REPT(" ",99)),397,99)))+1,999),FIND(":",MID(TRIM(MID(SUBSTITUTE(K201,";",REPT(" ",99)),397,99)),FIND(":",TRIM(MID(SUBSTITUTE(K201,";",REPT(" ",99)),397,99)))+1,999))+1,999),FIND(":",MID(MID(TRIM(MID(SUBSTITUTE(K201,";",REPT(" ",99)),397,99)),FIND(":",TRIM(MID(SUBSTITUTE(K201,";",REPT(" ",99)),397,99)))+1,999),FIND(":",MID(TRIM(MID(SUBSTITUTE(K201,";",REPT(" ",99)),397,99)),FIND(":",TRIM(MID(SUBSTITUTE(K201,";",REPT(" ",99)),397,99)))+1,999))+1,999))-1))))</f>
        <v/>
      </c>
    </row>
    <row r="202">
      <c r="D202" s="11">
        <f>IFERROR(VLOOKUP(C202,ItemData_Fish!$A:$B,2,FALSE),"")</f>
        <v/>
      </c>
      <c r="L202" s="11">
        <f>IF(K202="","",TEXTJOIN("; ",TRUE,IF(TRIM(MID(SUBSTITUTE(K202,";",REPT(" ",99)),1,99))="","",IFERROR(VLOOKUP(--LEFT(MID(TRIM(MID(SUBSTITUTE(K202,";",REPT(" ",99)),1,99)),FIND(":",TRIM(MID(SUBSTITUTE(K202,";",REPT(" ",99)),1,99)))+1,999),FIND(":",MID(TRIM(MID(SUBSTITUTE(K202,";",REPT(" ",99)),1,99)),FIND(":",TRIM(MID(SUBSTITUTE(K202,";",REPT(" ",99)),1,99)))+1,999))-1),_Lookup!$A:$B,2,FALSE),"?")&amp;"×"&amp;LEFT(MID(MID(TRIM(MID(SUBSTITUTE(K202,";",REPT(" ",99)),1,99)),FIND(":",TRIM(MID(SUBSTITUTE(K202,";",REPT(" ",99)),1,99)))+1,999),FIND(":",MID(TRIM(MID(SUBSTITUTE(K202,";",REPT(" ",99)),1,99)),FIND(":",TRIM(MID(SUBSTITUTE(K202,";",REPT(" ",99)),1,99)))+1,999))+1,999),FIND(":",MID(MID(TRIM(MID(SUBSTITUTE(K202,";",REPT(" ",99)),1,99)),FIND(":",TRIM(MID(SUBSTITUTE(K202,";",REPT(" ",99)),1,99)))+1,999),FIND(":",MID(TRIM(MID(SUBSTITUTE(K202,";",REPT(" ",99)),1,99)),FIND(":",TRIM(MID(SUBSTITUTE(K202,";",REPT(" ",99)),1,99)))+1,999))+1,999))-1)),IF(TRIM(MID(SUBSTITUTE(K202,";",REPT(" ",99)),100,99))="","",IFERROR(VLOOKUP(--LEFT(MID(TRIM(MID(SUBSTITUTE(K202,";",REPT(" ",99)),100,99)),FIND(":",TRIM(MID(SUBSTITUTE(K202,";",REPT(" ",99)),100,99)))+1,999),FIND(":",MID(TRIM(MID(SUBSTITUTE(K202,";",REPT(" ",99)),100,99)),FIND(":",TRIM(MID(SUBSTITUTE(K202,";",REPT(" ",99)),100,99)))+1,999))-1),_Lookup!$A:$B,2,FALSE),"?")&amp;"×"&amp;LEFT(MID(MID(TRIM(MID(SUBSTITUTE(K202,";",REPT(" ",99)),100,99)),FIND(":",TRIM(MID(SUBSTITUTE(K202,";",REPT(" ",99)),100,99)))+1,999),FIND(":",MID(TRIM(MID(SUBSTITUTE(K202,";",REPT(" ",99)),100,99)),FIND(":",TRIM(MID(SUBSTITUTE(K202,";",REPT(" ",99)),100,99)))+1,999))+1,999),FIND(":",MID(MID(TRIM(MID(SUBSTITUTE(K202,";",REPT(" ",99)),100,99)),FIND(":",TRIM(MID(SUBSTITUTE(K202,";",REPT(" ",99)),100,99)))+1,999),FIND(":",MID(TRIM(MID(SUBSTITUTE(K202,";",REPT(" ",99)),100,99)),FIND(":",TRIM(MID(SUBSTITUTE(K202,";",REPT(" ",99)),100,99)))+1,999))+1,999))-1)),IF(TRIM(MID(SUBSTITUTE(K202,";",REPT(" ",99)),199,99))="","",IFERROR(VLOOKUP(--LEFT(MID(TRIM(MID(SUBSTITUTE(K202,";",REPT(" ",99)),199,99)),FIND(":",TRIM(MID(SUBSTITUTE(K202,";",REPT(" ",99)),199,99)))+1,999),FIND(":",MID(TRIM(MID(SUBSTITUTE(K202,";",REPT(" ",99)),199,99)),FIND(":",TRIM(MID(SUBSTITUTE(K202,";",REPT(" ",99)),199,99)))+1,999))-1),_Lookup!$A:$B,2,FALSE),"?")&amp;"×"&amp;LEFT(MID(MID(TRIM(MID(SUBSTITUTE(K202,";",REPT(" ",99)),199,99)),FIND(":",TRIM(MID(SUBSTITUTE(K202,";",REPT(" ",99)),199,99)))+1,999),FIND(":",MID(TRIM(MID(SUBSTITUTE(K202,";",REPT(" ",99)),199,99)),FIND(":",TRIM(MID(SUBSTITUTE(K202,";",REPT(" ",99)),199,99)))+1,999))+1,999),FIND(":",MID(MID(TRIM(MID(SUBSTITUTE(K202,";",REPT(" ",99)),199,99)),FIND(":",TRIM(MID(SUBSTITUTE(K202,";",REPT(" ",99)),199,99)))+1,999),FIND(":",MID(TRIM(MID(SUBSTITUTE(K202,";",REPT(" ",99)),199,99)),FIND(":",TRIM(MID(SUBSTITUTE(K202,";",REPT(" ",99)),199,99)))+1,999))+1,999))-1)),IF(TRIM(MID(SUBSTITUTE(K202,";",REPT(" ",99)),298,99))="","",IFERROR(VLOOKUP(--LEFT(MID(TRIM(MID(SUBSTITUTE(K202,";",REPT(" ",99)),298,99)),FIND(":",TRIM(MID(SUBSTITUTE(K202,";",REPT(" ",99)),298,99)))+1,999),FIND(":",MID(TRIM(MID(SUBSTITUTE(K202,";",REPT(" ",99)),298,99)),FIND(":",TRIM(MID(SUBSTITUTE(K202,";",REPT(" ",99)),298,99)))+1,999))-1),_Lookup!$A:$B,2,FALSE),"?")&amp;"×"&amp;LEFT(MID(MID(TRIM(MID(SUBSTITUTE(K202,";",REPT(" ",99)),298,99)),FIND(":",TRIM(MID(SUBSTITUTE(K202,";",REPT(" ",99)),298,99)))+1,999),FIND(":",MID(TRIM(MID(SUBSTITUTE(K202,";",REPT(" ",99)),298,99)),FIND(":",TRIM(MID(SUBSTITUTE(K202,";",REPT(" ",99)),298,99)))+1,999))+1,999),FIND(":",MID(MID(TRIM(MID(SUBSTITUTE(K202,";",REPT(" ",99)),298,99)),FIND(":",TRIM(MID(SUBSTITUTE(K202,";",REPT(" ",99)),298,99)))+1,999),FIND(":",MID(TRIM(MID(SUBSTITUTE(K202,";",REPT(" ",99)),298,99)),FIND(":",TRIM(MID(SUBSTITUTE(K202,";",REPT(" ",99)),298,99)))+1,999))+1,999))-1)),IF(TRIM(MID(SUBSTITUTE(K202,";",REPT(" ",99)),397,99))="","",IFERROR(VLOOKUP(--LEFT(MID(TRIM(MID(SUBSTITUTE(K202,";",REPT(" ",99)),397,99)),FIND(":",TRIM(MID(SUBSTITUTE(K202,";",REPT(" ",99)),397,99)))+1,999),FIND(":",MID(TRIM(MID(SUBSTITUTE(K202,";",REPT(" ",99)),397,99)),FIND(":",TRIM(MID(SUBSTITUTE(K202,";",REPT(" ",99)),397,99)))+1,999))-1),_Lookup!$A:$B,2,FALSE),"?")&amp;"×"&amp;LEFT(MID(MID(TRIM(MID(SUBSTITUTE(K202,";",REPT(" ",99)),397,99)),FIND(":",TRIM(MID(SUBSTITUTE(K202,";",REPT(" ",99)),397,99)))+1,999),FIND(":",MID(TRIM(MID(SUBSTITUTE(K202,";",REPT(" ",99)),397,99)),FIND(":",TRIM(MID(SUBSTITUTE(K202,";",REPT(" ",99)),397,99)))+1,999))+1,999),FIND(":",MID(MID(TRIM(MID(SUBSTITUTE(K202,";",REPT(" ",99)),397,99)),FIND(":",TRIM(MID(SUBSTITUTE(K202,";",REPT(" ",99)),397,99)))+1,999),FIND(":",MID(TRIM(MID(SUBSTITUTE(K202,";",REPT(" ",99)),397,99)),FIND(":",TRIM(MID(SUBSTITUTE(K202,";",REPT(" ",99)),397,99)))+1,999))+1,999))-1))))</f>
        <v/>
      </c>
    </row>
    <row r="203">
      <c r="D203" s="11">
        <f>IFERROR(VLOOKUP(C203,ItemData_Fish!$A:$B,2,FALSE),"")</f>
        <v/>
      </c>
      <c r="L203" s="11">
        <f>IF(K203="","",TEXTJOIN("; ",TRUE,IF(TRIM(MID(SUBSTITUTE(K203,";",REPT(" ",99)),1,99))="","",IFERROR(VLOOKUP(--LEFT(MID(TRIM(MID(SUBSTITUTE(K203,";",REPT(" ",99)),1,99)),FIND(":",TRIM(MID(SUBSTITUTE(K203,";",REPT(" ",99)),1,99)))+1,999),FIND(":",MID(TRIM(MID(SUBSTITUTE(K203,";",REPT(" ",99)),1,99)),FIND(":",TRIM(MID(SUBSTITUTE(K203,";",REPT(" ",99)),1,99)))+1,999))-1),_Lookup!$A:$B,2,FALSE),"?")&amp;"×"&amp;LEFT(MID(MID(TRIM(MID(SUBSTITUTE(K203,";",REPT(" ",99)),1,99)),FIND(":",TRIM(MID(SUBSTITUTE(K203,";",REPT(" ",99)),1,99)))+1,999),FIND(":",MID(TRIM(MID(SUBSTITUTE(K203,";",REPT(" ",99)),1,99)),FIND(":",TRIM(MID(SUBSTITUTE(K203,";",REPT(" ",99)),1,99)))+1,999))+1,999),FIND(":",MID(MID(TRIM(MID(SUBSTITUTE(K203,";",REPT(" ",99)),1,99)),FIND(":",TRIM(MID(SUBSTITUTE(K203,";",REPT(" ",99)),1,99)))+1,999),FIND(":",MID(TRIM(MID(SUBSTITUTE(K203,";",REPT(" ",99)),1,99)),FIND(":",TRIM(MID(SUBSTITUTE(K203,";",REPT(" ",99)),1,99)))+1,999))+1,999))-1)),IF(TRIM(MID(SUBSTITUTE(K203,";",REPT(" ",99)),100,99))="","",IFERROR(VLOOKUP(--LEFT(MID(TRIM(MID(SUBSTITUTE(K203,";",REPT(" ",99)),100,99)),FIND(":",TRIM(MID(SUBSTITUTE(K203,";",REPT(" ",99)),100,99)))+1,999),FIND(":",MID(TRIM(MID(SUBSTITUTE(K203,";",REPT(" ",99)),100,99)),FIND(":",TRIM(MID(SUBSTITUTE(K203,";",REPT(" ",99)),100,99)))+1,999))-1),_Lookup!$A:$B,2,FALSE),"?")&amp;"×"&amp;LEFT(MID(MID(TRIM(MID(SUBSTITUTE(K203,";",REPT(" ",99)),100,99)),FIND(":",TRIM(MID(SUBSTITUTE(K203,";",REPT(" ",99)),100,99)))+1,999),FIND(":",MID(TRIM(MID(SUBSTITUTE(K203,";",REPT(" ",99)),100,99)),FIND(":",TRIM(MID(SUBSTITUTE(K203,";",REPT(" ",99)),100,99)))+1,999))+1,999),FIND(":",MID(MID(TRIM(MID(SUBSTITUTE(K203,";",REPT(" ",99)),100,99)),FIND(":",TRIM(MID(SUBSTITUTE(K203,";",REPT(" ",99)),100,99)))+1,999),FIND(":",MID(TRIM(MID(SUBSTITUTE(K203,";",REPT(" ",99)),100,99)),FIND(":",TRIM(MID(SUBSTITUTE(K203,";",REPT(" ",99)),100,99)))+1,999))+1,999))-1)),IF(TRIM(MID(SUBSTITUTE(K203,";",REPT(" ",99)),199,99))="","",IFERROR(VLOOKUP(--LEFT(MID(TRIM(MID(SUBSTITUTE(K203,";",REPT(" ",99)),199,99)),FIND(":",TRIM(MID(SUBSTITUTE(K203,";",REPT(" ",99)),199,99)))+1,999),FIND(":",MID(TRIM(MID(SUBSTITUTE(K203,";",REPT(" ",99)),199,99)),FIND(":",TRIM(MID(SUBSTITUTE(K203,";",REPT(" ",99)),199,99)))+1,999))-1),_Lookup!$A:$B,2,FALSE),"?")&amp;"×"&amp;LEFT(MID(MID(TRIM(MID(SUBSTITUTE(K203,";",REPT(" ",99)),199,99)),FIND(":",TRIM(MID(SUBSTITUTE(K203,";",REPT(" ",99)),199,99)))+1,999),FIND(":",MID(TRIM(MID(SUBSTITUTE(K203,";",REPT(" ",99)),199,99)),FIND(":",TRIM(MID(SUBSTITUTE(K203,";",REPT(" ",99)),199,99)))+1,999))+1,999),FIND(":",MID(MID(TRIM(MID(SUBSTITUTE(K203,";",REPT(" ",99)),199,99)),FIND(":",TRIM(MID(SUBSTITUTE(K203,";",REPT(" ",99)),199,99)))+1,999),FIND(":",MID(TRIM(MID(SUBSTITUTE(K203,";",REPT(" ",99)),199,99)),FIND(":",TRIM(MID(SUBSTITUTE(K203,";",REPT(" ",99)),199,99)))+1,999))+1,999))-1)),IF(TRIM(MID(SUBSTITUTE(K203,";",REPT(" ",99)),298,99))="","",IFERROR(VLOOKUP(--LEFT(MID(TRIM(MID(SUBSTITUTE(K203,";",REPT(" ",99)),298,99)),FIND(":",TRIM(MID(SUBSTITUTE(K203,";",REPT(" ",99)),298,99)))+1,999),FIND(":",MID(TRIM(MID(SUBSTITUTE(K203,";",REPT(" ",99)),298,99)),FIND(":",TRIM(MID(SUBSTITUTE(K203,";",REPT(" ",99)),298,99)))+1,999))-1),_Lookup!$A:$B,2,FALSE),"?")&amp;"×"&amp;LEFT(MID(MID(TRIM(MID(SUBSTITUTE(K203,";",REPT(" ",99)),298,99)),FIND(":",TRIM(MID(SUBSTITUTE(K203,";",REPT(" ",99)),298,99)))+1,999),FIND(":",MID(TRIM(MID(SUBSTITUTE(K203,";",REPT(" ",99)),298,99)),FIND(":",TRIM(MID(SUBSTITUTE(K203,";",REPT(" ",99)),298,99)))+1,999))+1,999),FIND(":",MID(MID(TRIM(MID(SUBSTITUTE(K203,";",REPT(" ",99)),298,99)),FIND(":",TRIM(MID(SUBSTITUTE(K203,";",REPT(" ",99)),298,99)))+1,999),FIND(":",MID(TRIM(MID(SUBSTITUTE(K203,";",REPT(" ",99)),298,99)),FIND(":",TRIM(MID(SUBSTITUTE(K203,";",REPT(" ",99)),298,99)))+1,999))+1,999))-1)),IF(TRIM(MID(SUBSTITUTE(K203,";",REPT(" ",99)),397,99))="","",IFERROR(VLOOKUP(--LEFT(MID(TRIM(MID(SUBSTITUTE(K203,";",REPT(" ",99)),397,99)),FIND(":",TRIM(MID(SUBSTITUTE(K203,";",REPT(" ",99)),397,99)))+1,999),FIND(":",MID(TRIM(MID(SUBSTITUTE(K203,";",REPT(" ",99)),397,99)),FIND(":",TRIM(MID(SUBSTITUTE(K203,";",REPT(" ",99)),397,99)))+1,999))-1),_Lookup!$A:$B,2,FALSE),"?")&amp;"×"&amp;LEFT(MID(MID(TRIM(MID(SUBSTITUTE(K203,";",REPT(" ",99)),397,99)),FIND(":",TRIM(MID(SUBSTITUTE(K203,";",REPT(" ",99)),397,99)))+1,999),FIND(":",MID(TRIM(MID(SUBSTITUTE(K203,";",REPT(" ",99)),397,99)),FIND(":",TRIM(MID(SUBSTITUTE(K203,";",REPT(" ",99)),397,99)))+1,999))+1,999),FIND(":",MID(MID(TRIM(MID(SUBSTITUTE(K203,";",REPT(" ",99)),397,99)),FIND(":",TRIM(MID(SUBSTITUTE(K203,";",REPT(" ",99)),397,99)))+1,999),FIND(":",MID(TRIM(MID(SUBSTITUTE(K203,";",REPT(" ",99)),397,99)),FIND(":",TRIM(MID(SUBSTITUTE(K203,";",REPT(" ",99)),397,99)))+1,999))+1,999))-1))))</f>
        <v/>
      </c>
    </row>
    <row r="204">
      <c r="D204" s="11">
        <f>IFERROR(VLOOKUP(C204,ItemData_Fish!$A:$B,2,FALSE),"")</f>
        <v/>
      </c>
      <c r="L204" s="11">
        <f>IF(K204="","",TEXTJOIN("; ",TRUE,IF(TRIM(MID(SUBSTITUTE(K204,";",REPT(" ",99)),1,99))="","",IFERROR(VLOOKUP(--LEFT(MID(TRIM(MID(SUBSTITUTE(K204,";",REPT(" ",99)),1,99)),FIND(":",TRIM(MID(SUBSTITUTE(K204,";",REPT(" ",99)),1,99)))+1,999),FIND(":",MID(TRIM(MID(SUBSTITUTE(K204,";",REPT(" ",99)),1,99)),FIND(":",TRIM(MID(SUBSTITUTE(K204,";",REPT(" ",99)),1,99)))+1,999))-1),_Lookup!$A:$B,2,FALSE),"?")&amp;"×"&amp;LEFT(MID(MID(TRIM(MID(SUBSTITUTE(K204,";",REPT(" ",99)),1,99)),FIND(":",TRIM(MID(SUBSTITUTE(K204,";",REPT(" ",99)),1,99)))+1,999),FIND(":",MID(TRIM(MID(SUBSTITUTE(K204,";",REPT(" ",99)),1,99)),FIND(":",TRIM(MID(SUBSTITUTE(K204,";",REPT(" ",99)),1,99)))+1,999))+1,999),FIND(":",MID(MID(TRIM(MID(SUBSTITUTE(K204,";",REPT(" ",99)),1,99)),FIND(":",TRIM(MID(SUBSTITUTE(K204,";",REPT(" ",99)),1,99)))+1,999),FIND(":",MID(TRIM(MID(SUBSTITUTE(K204,";",REPT(" ",99)),1,99)),FIND(":",TRIM(MID(SUBSTITUTE(K204,";",REPT(" ",99)),1,99)))+1,999))+1,999))-1)),IF(TRIM(MID(SUBSTITUTE(K204,";",REPT(" ",99)),100,99))="","",IFERROR(VLOOKUP(--LEFT(MID(TRIM(MID(SUBSTITUTE(K204,";",REPT(" ",99)),100,99)),FIND(":",TRIM(MID(SUBSTITUTE(K204,";",REPT(" ",99)),100,99)))+1,999),FIND(":",MID(TRIM(MID(SUBSTITUTE(K204,";",REPT(" ",99)),100,99)),FIND(":",TRIM(MID(SUBSTITUTE(K204,";",REPT(" ",99)),100,99)))+1,999))-1),_Lookup!$A:$B,2,FALSE),"?")&amp;"×"&amp;LEFT(MID(MID(TRIM(MID(SUBSTITUTE(K204,";",REPT(" ",99)),100,99)),FIND(":",TRIM(MID(SUBSTITUTE(K204,";",REPT(" ",99)),100,99)))+1,999),FIND(":",MID(TRIM(MID(SUBSTITUTE(K204,";",REPT(" ",99)),100,99)),FIND(":",TRIM(MID(SUBSTITUTE(K204,";",REPT(" ",99)),100,99)))+1,999))+1,999),FIND(":",MID(MID(TRIM(MID(SUBSTITUTE(K204,";",REPT(" ",99)),100,99)),FIND(":",TRIM(MID(SUBSTITUTE(K204,";",REPT(" ",99)),100,99)))+1,999),FIND(":",MID(TRIM(MID(SUBSTITUTE(K204,";",REPT(" ",99)),100,99)),FIND(":",TRIM(MID(SUBSTITUTE(K204,";",REPT(" ",99)),100,99)))+1,999))+1,999))-1)),IF(TRIM(MID(SUBSTITUTE(K204,";",REPT(" ",99)),199,99))="","",IFERROR(VLOOKUP(--LEFT(MID(TRIM(MID(SUBSTITUTE(K204,";",REPT(" ",99)),199,99)),FIND(":",TRIM(MID(SUBSTITUTE(K204,";",REPT(" ",99)),199,99)))+1,999),FIND(":",MID(TRIM(MID(SUBSTITUTE(K204,";",REPT(" ",99)),199,99)),FIND(":",TRIM(MID(SUBSTITUTE(K204,";",REPT(" ",99)),199,99)))+1,999))-1),_Lookup!$A:$B,2,FALSE),"?")&amp;"×"&amp;LEFT(MID(MID(TRIM(MID(SUBSTITUTE(K204,";",REPT(" ",99)),199,99)),FIND(":",TRIM(MID(SUBSTITUTE(K204,";",REPT(" ",99)),199,99)))+1,999),FIND(":",MID(TRIM(MID(SUBSTITUTE(K204,";",REPT(" ",99)),199,99)),FIND(":",TRIM(MID(SUBSTITUTE(K204,";",REPT(" ",99)),199,99)))+1,999))+1,999),FIND(":",MID(MID(TRIM(MID(SUBSTITUTE(K204,";",REPT(" ",99)),199,99)),FIND(":",TRIM(MID(SUBSTITUTE(K204,";",REPT(" ",99)),199,99)))+1,999),FIND(":",MID(TRIM(MID(SUBSTITUTE(K204,";",REPT(" ",99)),199,99)),FIND(":",TRIM(MID(SUBSTITUTE(K204,";",REPT(" ",99)),199,99)))+1,999))+1,999))-1)),IF(TRIM(MID(SUBSTITUTE(K204,";",REPT(" ",99)),298,99))="","",IFERROR(VLOOKUP(--LEFT(MID(TRIM(MID(SUBSTITUTE(K204,";",REPT(" ",99)),298,99)),FIND(":",TRIM(MID(SUBSTITUTE(K204,";",REPT(" ",99)),298,99)))+1,999),FIND(":",MID(TRIM(MID(SUBSTITUTE(K204,";",REPT(" ",99)),298,99)),FIND(":",TRIM(MID(SUBSTITUTE(K204,";",REPT(" ",99)),298,99)))+1,999))-1),_Lookup!$A:$B,2,FALSE),"?")&amp;"×"&amp;LEFT(MID(MID(TRIM(MID(SUBSTITUTE(K204,";",REPT(" ",99)),298,99)),FIND(":",TRIM(MID(SUBSTITUTE(K204,";",REPT(" ",99)),298,99)))+1,999),FIND(":",MID(TRIM(MID(SUBSTITUTE(K204,";",REPT(" ",99)),298,99)),FIND(":",TRIM(MID(SUBSTITUTE(K204,";",REPT(" ",99)),298,99)))+1,999))+1,999),FIND(":",MID(MID(TRIM(MID(SUBSTITUTE(K204,";",REPT(" ",99)),298,99)),FIND(":",TRIM(MID(SUBSTITUTE(K204,";",REPT(" ",99)),298,99)))+1,999),FIND(":",MID(TRIM(MID(SUBSTITUTE(K204,";",REPT(" ",99)),298,99)),FIND(":",TRIM(MID(SUBSTITUTE(K204,";",REPT(" ",99)),298,99)))+1,999))+1,999))-1)),IF(TRIM(MID(SUBSTITUTE(K204,";",REPT(" ",99)),397,99))="","",IFERROR(VLOOKUP(--LEFT(MID(TRIM(MID(SUBSTITUTE(K204,";",REPT(" ",99)),397,99)),FIND(":",TRIM(MID(SUBSTITUTE(K204,";",REPT(" ",99)),397,99)))+1,999),FIND(":",MID(TRIM(MID(SUBSTITUTE(K204,";",REPT(" ",99)),397,99)),FIND(":",TRIM(MID(SUBSTITUTE(K204,";",REPT(" ",99)),397,99)))+1,999))-1),_Lookup!$A:$B,2,FALSE),"?")&amp;"×"&amp;LEFT(MID(MID(TRIM(MID(SUBSTITUTE(K204,";",REPT(" ",99)),397,99)),FIND(":",TRIM(MID(SUBSTITUTE(K204,";",REPT(" ",99)),397,99)))+1,999),FIND(":",MID(TRIM(MID(SUBSTITUTE(K204,";",REPT(" ",99)),397,99)),FIND(":",TRIM(MID(SUBSTITUTE(K204,";",REPT(" ",99)),397,99)))+1,999))+1,999),FIND(":",MID(MID(TRIM(MID(SUBSTITUTE(K204,";",REPT(" ",99)),397,99)),FIND(":",TRIM(MID(SUBSTITUTE(K204,";",REPT(" ",99)),397,99)))+1,999),FIND(":",MID(TRIM(MID(SUBSTITUTE(K204,";",REPT(" ",99)),397,99)),FIND(":",TRIM(MID(SUBSTITUTE(K204,";",REPT(" ",99)),397,99)))+1,999))+1,999))-1))))</f>
        <v/>
      </c>
    </row>
    <row r="205">
      <c r="D205" s="11">
        <f>IFERROR(VLOOKUP(C205,ItemData_Fish!$A:$B,2,FALSE),"")</f>
        <v/>
      </c>
      <c r="L205" s="11">
        <f>IF(K205="","",TEXTJOIN("; ",TRUE,IF(TRIM(MID(SUBSTITUTE(K205,";",REPT(" ",99)),1,99))="","",IFERROR(VLOOKUP(--LEFT(MID(TRIM(MID(SUBSTITUTE(K205,";",REPT(" ",99)),1,99)),FIND(":",TRIM(MID(SUBSTITUTE(K205,";",REPT(" ",99)),1,99)))+1,999),FIND(":",MID(TRIM(MID(SUBSTITUTE(K205,";",REPT(" ",99)),1,99)),FIND(":",TRIM(MID(SUBSTITUTE(K205,";",REPT(" ",99)),1,99)))+1,999))-1),_Lookup!$A:$B,2,FALSE),"?")&amp;"×"&amp;LEFT(MID(MID(TRIM(MID(SUBSTITUTE(K205,";",REPT(" ",99)),1,99)),FIND(":",TRIM(MID(SUBSTITUTE(K205,";",REPT(" ",99)),1,99)))+1,999),FIND(":",MID(TRIM(MID(SUBSTITUTE(K205,";",REPT(" ",99)),1,99)),FIND(":",TRIM(MID(SUBSTITUTE(K205,";",REPT(" ",99)),1,99)))+1,999))+1,999),FIND(":",MID(MID(TRIM(MID(SUBSTITUTE(K205,";",REPT(" ",99)),1,99)),FIND(":",TRIM(MID(SUBSTITUTE(K205,";",REPT(" ",99)),1,99)))+1,999),FIND(":",MID(TRIM(MID(SUBSTITUTE(K205,";",REPT(" ",99)),1,99)),FIND(":",TRIM(MID(SUBSTITUTE(K205,";",REPT(" ",99)),1,99)))+1,999))+1,999))-1)),IF(TRIM(MID(SUBSTITUTE(K205,";",REPT(" ",99)),100,99))="","",IFERROR(VLOOKUP(--LEFT(MID(TRIM(MID(SUBSTITUTE(K205,";",REPT(" ",99)),100,99)),FIND(":",TRIM(MID(SUBSTITUTE(K205,";",REPT(" ",99)),100,99)))+1,999),FIND(":",MID(TRIM(MID(SUBSTITUTE(K205,";",REPT(" ",99)),100,99)),FIND(":",TRIM(MID(SUBSTITUTE(K205,";",REPT(" ",99)),100,99)))+1,999))-1),_Lookup!$A:$B,2,FALSE),"?")&amp;"×"&amp;LEFT(MID(MID(TRIM(MID(SUBSTITUTE(K205,";",REPT(" ",99)),100,99)),FIND(":",TRIM(MID(SUBSTITUTE(K205,";",REPT(" ",99)),100,99)))+1,999),FIND(":",MID(TRIM(MID(SUBSTITUTE(K205,";",REPT(" ",99)),100,99)),FIND(":",TRIM(MID(SUBSTITUTE(K205,";",REPT(" ",99)),100,99)))+1,999))+1,999),FIND(":",MID(MID(TRIM(MID(SUBSTITUTE(K205,";",REPT(" ",99)),100,99)),FIND(":",TRIM(MID(SUBSTITUTE(K205,";",REPT(" ",99)),100,99)))+1,999),FIND(":",MID(TRIM(MID(SUBSTITUTE(K205,";",REPT(" ",99)),100,99)),FIND(":",TRIM(MID(SUBSTITUTE(K205,";",REPT(" ",99)),100,99)))+1,999))+1,999))-1)),IF(TRIM(MID(SUBSTITUTE(K205,";",REPT(" ",99)),199,99))="","",IFERROR(VLOOKUP(--LEFT(MID(TRIM(MID(SUBSTITUTE(K205,";",REPT(" ",99)),199,99)),FIND(":",TRIM(MID(SUBSTITUTE(K205,";",REPT(" ",99)),199,99)))+1,999),FIND(":",MID(TRIM(MID(SUBSTITUTE(K205,";",REPT(" ",99)),199,99)),FIND(":",TRIM(MID(SUBSTITUTE(K205,";",REPT(" ",99)),199,99)))+1,999))-1),_Lookup!$A:$B,2,FALSE),"?")&amp;"×"&amp;LEFT(MID(MID(TRIM(MID(SUBSTITUTE(K205,";",REPT(" ",99)),199,99)),FIND(":",TRIM(MID(SUBSTITUTE(K205,";",REPT(" ",99)),199,99)))+1,999),FIND(":",MID(TRIM(MID(SUBSTITUTE(K205,";",REPT(" ",99)),199,99)),FIND(":",TRIM(MID(SUBSTITUTE(K205,";",REPT(" ",99)),199,99)))+1,999))+1,999),FIND(":",MID(MID(TRIM(MID(SUBSTITUTE(K205,";",REPT(" ",99)),199,99)),FIND(":",TRIM(MID(SUBSTITUTE(K205,";",REPT(" ",99)),199,99)))+1,999),FIND(":",MID(TRIM(MID(SUBSTITUTE(K205,";",REPT(" ",99)),199,99)),FIND(":",TRIM(MID(SUBSTITUTE(K205,";",REPT(" ",99)),199,99)))+1,999))+1,999))-1)),IF(TRIM(MID(SUBSTITUTE(K205,";",REPT(" ",99)),298,99))="","",IFERROR(VLOOKUP(--LEFT(MID(TRIM(MID(SUBSTITUTE(K205,";",REPT(" ",99)),298,99)),FIND(":",TRIM(MID(SUBSTITUTE(K205,";",REPT(" ",99)),298,99)))+1,999),FIND(":",MID(TRIM(MID(SUBSTITUTE(K205,";",REPT(" ",99)),298,99)),FIND(":",TRIM(MID(SUBSTITUTE(K205,";",REPT(" ",99)),298,99)))+1,999))-1),_Lookup!$A:$B,2,FALSE),"?")&amp;"×"&amp;LEFT(MID(MID(TRIM(MID(SUBSTITUTE(K205,";",REPT(" ",99)),298,99)),FIND(":",TRIM(MID(SUBSTITUTE(K205,";",REPT(" ",99)),298,99)))+1,999),FIND(":",MID(TRIM(MID(SUBSTITUTE(K205,";",REPT(" ",99)),298,99)),FIND(":",TRIM(MID(SUBSTITUTE(K205,";",REPT(" ",99)),298,99)))+1,999))+1,999),FIND(":",MID(MID(TRIM(MID(SUBSTITUTE(K205,";",REPT(" ",99)),298,99)),FIND(":",TRIM(MID(SUBSTITUTE(K205,";",REPT(" ",99)),298,99)))+1,999),FIND(":",MID(TRIM(MID(SUBSTITUTE(K205,";",REPT(" ",99)),298,99)),FIND(":",TRIM(MID(SUBSTITUTE(K205,";",REPT(" ",99)),298,99)))+1,999))+1,999))-1)),IF(TRIM(MID(SUBSTITUTE(K205,";",REPT(" ",99)),397,99))="","",IFERROR(VLOOKUP(--LEFT(MID(TRIM(MID(SUBSTITUTE(K205,";",REPT(" ",99)),397,99)),FIND(":",TRIM(MID(SUBSTITUTE(K205,";",REPT(" ",99)),397,99)))+1,999),FIND(":",MID(TRIM(MID(SUBSTITUTE(K205,";",REPT(" ",99)),397,99)),FIND(":",TRIM(MID(SUBSTITUTE(K205,";",REPT(" ",99)),397,99)))+1,999))-1),_Lookup!$A:$B,2,FALSE),"?")&amp;"×"&amp;LEFT(MID(MID(TRIM(MID(SUBSTITUTE(K205,";",REPT(" ",99)),397,99)),FIND(":",TRIM(MID(SUBSTITUTE(K205,";",REPT(" ",99)),397,99)))+1,999),FIND(":",MID(TRIM(MID(SUBSTITUTE(K205,";",REPT(" ",99)),397,99)),FIND(":",TRIM(MID(SUBSTITUTE(K205,";",REPT(" ",99)),397,99)))+1,999))+1,999),FIND(":",MID(MID(TRIM(MID(SUBSTITUTE(K205,";",REPT(" ",99)),397,99)),FIND(":",TRIM(MID(SUBSTITUTE(K205,";",REPT(" ",99)),397,99)))+1,999),FIND(":",MID(TRIM(MID(SUBSTITUTE(K205,";",REPT(" ",99)),397,99)),FIND(":",TRIM(MID(SUBSTITUTE(K205,";",REPT(" ",99)),397,99)))+1,999))+1,999))-1))))</f>
        <v/>
      </c>
    </row>
    <row r="206">
      <c r="D206" s="11">
        <f>IFERROR(VLOOKUP(C206,ItemData_Fish!$A:$B,2,FALSE),"")</f>
        <v/>
      </c>
      <c r="L206" s="11">
        <f>IF(K206="","",TEXTJOIN("; ",TRUE,IF(TRIM(MID(SUBSTITUTE(K206,";",REPT(" ",99)),1,99))="","",IFERROR(VLOOKUP(--LEFT(MID(TRIM(MID(SUBSTITUTE(K206,";",REPT(" ",99)),1,99)),FIND(":",TRIM(MID(SUBSTITUTE(K206,";",REPT(" ",99)),1,99)))+1,999),FIND(":",MID(TRIM(MID(SUBSTITUTE(K206,";",REPT(" ",99)),1,99)),FIND(":",TRIM(MID(SUBSTITUTE(K206,";",REPT(" ",99)),1,99)))+1,999))-1),_Lookup!$A:$B,2,FALSE),"?")&amp;"×"&amp;LEFT(MID(MID(TRIM(MID(SUBSTITUTE(K206,";",REPT(" ",99)),1,99)),FIND(":",TRIM(MID(SUBSTITUTE(K206,";",REPT(" ",99)),1,99)))+1,999),FIND(":",MID(TRIM(MID(SUBSTITUTE(K206,";",REPT(" ",99)),1,99)),FIND(":",TRIM(MID(SUBSTITUTE(K206,";",REPT(" ",99)),1,99)))+1,999))+1,999),FIND(":",MID(MID(TRIM(MID(SUBSTITUTE(K206,";",REPT(" ",99)),1,99)),FIND(":",TRIM(MID(SUBSTITUTE(K206,";",REPT(" ",99)),1,99)))+1,999),FIND(":",MID(TRIM(MID(SUBSTITUTE(K206,";",REPT(" ",99)),1,99)),FIND(":",TRIM(MID(SUBSTITUTE(K206,";",REPT(" ",99)),1,99)))+1,999))+1,999))-1)),IF(TRIM(MID(SUBSTITUTE(K206,";",REPT(" ",99)),100,99))="","",IFERROR(VLOOKUP(--LEFT(MID(TRIM(MID(SUBSTITUTE(K206,";",REPT(" ",99)),100,99)),FIND(":",TRIM(MID(SUBSTITUTE(K206,";",REPT(" ",99)),100,99)))+1,999),FIND(":",MID(TRIM(MID(SUBSTITUTE(K206,";",REPT(" ",99)),100,99)),FIND(":",TRIM(MID(SUBSTITUTE(K206,";",REPT(" ",99)),100,99)))+1,999))-1),_Lookup!$A:$B,2,FALSE),"?")&amp;"×"&amp;LEFT(MID(MID(TRIM(MID(SUBSTITUTE(K206,";",REPT(" ",99)),100,99)),FIND(":",TRIM(MID(SUBSTITUTE(K206,";",REPT(" ",99)),100,99)))+1,999),FIND(":",MID(TRIM(MID(SUBSTITUTE(K206,";",REPT(" ",99)),100,99)),FIND(":",TRIM(MID(SUBSTITUTE(K206,";",REPT(" ",99)),100,99)))+1,999))+1,999),FIND(":",MID(MID(TRIM(MID(SUBSTITUTE(K206,";",REPT(" ",99)),100,99)),FIND(":",TRIM(MID(SUBSTITUTE(K206,";",REPT(" ",99)),100,99)))+1,999),FIND(":",MID(TRIM(MID(SUBSTITUTE(K206,";",REPT(" ",99)),100,99)),FIND(":",TRIM(MID(SUBSTITUTE(K206,";",REPT(" ",99)),100,99)))+1,999))+1,999))-1)),IF(TRIM(MID(SUBSTITUTE(K206,";",REPT(" ",99)),199,99))="","",IFERROR(VLOOKUP(--LEFT(MID(TRIM(MID(SUBSTITUTE(K206,";",REPT(" ",99)),199,99)),FIND(":",TRIM(MID(SUBSTITUTE(K206,";",REPT(" ",99)),199,99)))+1,999),FIND(":",MID(TRIM(MID(SUBSTITUTE(K206,";",REPT(" ",99)),199,99)),FIND(":",TRIM(MID(SUBSTITUTE(K206,";",REPT(" ",99)),199,99)))+1,999))-1),_Lookup!$A:$B,2,FALSE),"?")&amp;"×"&amp;LEFT(MID(MID(TRIM(MID(SUBSTITUTE(K206,";",REPT(" ",99)),199,99)),FIND(":",TRIM(MID(SUBSTITUTE(K206,";",REPT(" ",99)),199,99)))+1,999),FIND(":",MID(TRIM(MID(SUBSTITUTE(K206,";",REPT(" ",99)),199,99)),FIND(":",TRIM(MID(SUBSTITUTE(K206,";",REPT(" ",99)),199,99)))+1,999))+1,999),FIND(":",MID(MID(TRIM(MID(SUBSTITUTE(K206,";",REPT(" ",99)),199,99)),FIND(":",TRIM(MID(SUBSTITUTE(K206,";",REPT(" ",99)),199,99)))+1,999),FIND(":",MID(TRIM(MID(SUBSTITUTE(K206,";",REPT(" ",99)),199,99)),FIND(":",TRIM(MID(SUBSTITUTE(K206,";",REPT(" ",99)),199,99)))+1,999))+1,999))-1)),IF(TRIM(MID(SUBSTITUTE(K206,";",REPT(" ",99)),298,99))="","",IFERROR(VLOOKUP(--LEFT(MID(TRIM(MID(SUBSTITUTE(K206,";",REPT(" ",99)),298,99)),FIND(":",TRIM(MID(SUBSTITUTE(K206,";",REPT(" ",99)),298,99)))+1,999),FIND(":",MID(TRIM(MID(SUBSTITUTE(K206,";",REPT(" ",99)),298,99)),FIND(":",TRIM(MID(SUBSTITUTE(K206,";",REPT(" ",99)),298,99)))+1,999))-1),_Lookup!$A:$B,2,FALSE),"?")&amp;"×"&amp;LEFT(MID(MID(TRIM(MID(SUBSTITUTE(K206,";",REPT(" ",99)),298,99)),FIND(":",TRIM(MID(SUBSTITUTE(K206,";",REPT(" ",99)),298,99)))+1,999),FIND(":",MID(TRIM(MID(SUBSTITUTE(K206,";",REPT(" ",99)),298,99)),FIND(":",TRIM(MID(SUBSTITUTE(K206,";",REPT(" ",99)),298,99)))+1,999))+1,999),FIND(":",MID(MID(TRIM(MID(SUBSTITUTE(K206,";",REPT(" ",99)),298,99)),FIND(":",TRIM(MID(SUBSTITUTE(K206,";",REPT(" ",99)),298,99)))+1,999),FIND(":",MID(TRIM(MID(SUBSTITUTE(K206,";",REPT(" ",99)),298,99)),FIND(":",TRIM(MID(SUBSTITUTE(K206,";",REPT(" ",99)),298,99)))+1,999))+1,999))-1)),IF(TRIM(MID(SUBSTITUTE(K206,";",REPT(" ",99)),397,99))="","",IFERROR(VLOOKUP(--LEFT(MID(TRIM(MID(SUBSTITUTE(K206,";",REPT(" ",99)),397,99)),FIND(":",TRIM(MID(SUBSTITUTE(K206,";",REPT(" ",99)),397,99)))+1,999),FIND(":",MID(TRIM(MID(SUBSTITUTE(K206,";",REPT(" ",99)),397,99)),FIND(":",TRIM(MID(SUBSTITUTE(K206,";",REPT(" ",99)),397,99)))+1,999))-1),_Lookup!$A:$B,2,FALSE),"?")&amp;"×"&amp;LEFT(MID(MID(TRIM(MID(SUBSTITUTE(K206,";",REPT(" ",99)),397,99)),FIND(":",TRIM(MID(SUBSTITUTE(K206,";",REPT(" ",99)),397,99)))+1,999),FIND(":",MID(TRIM(MID(SUBSTITUTE(K206,";",REPT(" ",99)),397,99)),FIND(":",TRIM(MID(SUBSTITUTE(K206,";",REPT(" ",99)),397,99)))+1,999))+1,999),FIND(":",MID(MID(TRIM(MID(SUBSTITUTE(K206,";",REPT(" ",99)),397,99)),FIND(":",TRIM(MID(SUBSTITUTE(K206,";",REPT(" ",99)),397,99)))+1,999),FIND(":",MID(TRIM(MID(SUBSTITUTE(K206,";",REPT(" ",99)),397,99)),FIND(":",TRIM(MID(SUBSTITUTE(K206,";",REPT(" ",99)),397,99)))+1,999))+1,999))-1))))</f>
        <v/>
      </c>
    </row>
    <row r="207">
      <c r="D207" s="11">
        <f>IFERROR(VLOOKUP(C207,ItemData_Fish!$A:$B,2,FALSE),"")</f>
        <v/>
      </c>
      <c r="L207" s="11">
        <f>IF(K207="","",TEXTJOIN("; ",TRUE,IF(TRIM(MID(SUBSTITUTE(K207,";",REPT(" ",99)),1,99))="","",IFERROR(VLOOKUP(--LEFT(MID(TRIM(MID(SUBSTITUTE(K207,";",REPT(" ",99)),1,99)),FIND(":",TRIM(MID(SUBSTITUTE(K207,";",REPT(" ",99)),1,99)))+1,999),FIND(":",MID(TRIM(MID(SUBSTITUTE(K207,";",REPT(" ",99)),1,99)),FIND(":",TRIM(MID(SUBSTITUTE(K207,";",REPT(" ",99)),1,99)))+1,999))-1),_Lookup!$A:$B,2,FALSE),"?")&amp;"×"&amp;LEFT(MID(MID(TRIM(MID(SUBSTITUTE(K207,";",REPT(" ",99)),1,99)),FIND(":",TRIM(MID(SUBSTITUTE(K207,";",REPT(" ",99)),1,99)))+1,999),FIND(":",MID(TRIM(MID(SUBSTITUTE(K207,";",REPT(" ",99)),1,99)),FIND(":",TRIM(MID(SUBSTITUTE(K207,";",REPT(" ",99)),1,99)))+1,999))+1,999),FIND(":",MID(MID(TRIM(MID(SUBSTITUTE(K207,";",REPT(" ",99)),1,99)),FIND(":",TRIM(MID(SUBSTITUTE(K207,";",REPT(" ",99)),1,99)))+1,999),FIND(":",MID(TRIM(MID(SUBSTITUTE(K207,";",REPT(" ",99)),1,99)),FIND(":",TRIM(MID(SUBSTITUTE(K207,";",REPT(" ",99)),1,99)))+1,999))+1,999))-1)),IF(TRIM(MID(SUBSTITUTE(K207,";",REPT(" ",99)),100,99))="","",IFERROR(VLOOKUP(--LEFT(MID(TRIM(MID(SUBSTITUTE(K207,";",REPT(" ",99)),100,99)),FIND(":",TRIM(MID(SUBSTITUTE(K207,";",REPT(" ",99)),100,99)))+1,999),FIND(":",MID(TRIM(MID(SUBSTITUTE(K207,";",REPT(" ",99)),100,99)),FIND(":",TRIM(MID(SUBSTITUTE(K207,";",REPT(" ",99)),100,99)))+1,999))-1),_Lookup!$A:$B,2,FALSE),"?")&amp;"×"&amp;LEFT(MID(MID(TRIM(MID(SUBSTITUTE(K207,";",REPT(" ",99)),100,99)),FIND(":",TRIM(MID(SUBSTITUTE(K207,";",REPT(" ",99)),100,99)))+1,999),FIND(":",MID(TRIM(MID(SUBSTITUTE(K207,";",REPT(" ",99)),100,99)),FIND(":",TRIM(MID(SUBSTITUTE(K207,";",REPT(" ",99)),100,99)))+1,999))+1,999),FIND(":",MID(MID(TRIM(MID(SUBSTITUTE(K207,";",REPT(" ",99)),100,99)),FIND(":",TRIM(MID(SUBSTITUTE(K207,";",REPT(" ",99)),100,99)))+1,999),FIND(":",MID(TRIM(MID(SUBSTITUTE(K207,";",REPT(" ",99)),100,99)),FIND(":",TRIM(MID(SUBSTITUTE(K207,";",REPT(" ",99)),100,99)))+1,999))+1,999))-1)),IF(TRIM(MID(SUBSTITUTE(K207,";",REPT(" ",99)),199,99))="","",IFERROR(VLOOKUP(--LEFT(MID(TRIM(MID(SUBSTITUTE(K207,";",REPT(" ",99)),199,99)),FIND(":",TRIM(MID(SUBSTITUTE(K207,";",REPT(" ",99)),199,99)))+1,999),FIND(":",MID(TRIM(MID(SUBSTITUTE(K207,";",REPT(" ",99)),199,99)),FIND(":",TRIM(MID(SUBSTITUTE(K207,";",REPT(" ",99)),199,99)))+1,999))-1),_Lookup!$A:$B,2,FALSE),"?")&amp;"×"&amp;LEFT(MID(MID(TRIM(MID(SUBSTITUTE(K207,";",REPT(" ",99)),199,99)),FIND(":",TRIM(MID(SUBSTITUTE(K207,";",REPT(" ",99)),199,99)))+1,999),FIND(":",MID(TRIM(MID(SUBSTITUTE(K207,";",REPT(" ",99)),199,99)),FIND(":",TRIM(MID(SUBSTITUTE(K207,";",REPT(" ",99)),199,99)))+1,999))+1,999),FIND(":",MID(MID(TRIM(MID(SUBSTITUTE(K207,";",REPT(" ",99)),199,99)),FIND(":",TRIM(MID(SUBSTITUTE(K207,";",REPT(" ",99)),199,99)))+1,999),FIND(":",MID(TRIM(MID(SUBSTITUTE(K207,";",REPT(" ",99)),199,99)),FIND(":",TRIM(MID(SUBSTITUTE(K207,";",REPT(" ",99)),199,99)))+1,999))+1,999))-1)),IF(TRIM(MID(SUBSTITUTE(K207,";",REPT(" ",99)),298,99))="","",IFERROR(VLOOKUP(--LEFT(MID(TRIM(MID(SUBSTITUTE(K207,";",REPT(" ",99)),298,99)),FIND(":",TRIM(MID(SUBSTITUTE(K207,";",REPT(" ",99)),298,99)))+1,999),FIND(":",MID(TRIM(MID(SUBSTITUTE(K207,";",REPT(" ",99)),298,99)),FIND(":",TRIM(MID(SUBSTITUTE(K207,";",REPT(" ",99)),298,99)))+1,999))-1),_Lookup!$A:$B,2,FALSE),"?")&amp;"×"&amp;LEFT(MID(MID(TRIM(MID(SUBSTITUTE(K207,";",REPT(" ",99)),298,99)),FIND(":",TRIM(MID(SUBSTITUTE(K207,";",REPT(" ",99)),298,99)))+1,999),FIND(":",MID(TRIM(MID(SUBSTITUTE(K207,";",REPT(" ",99)),298,99)),FIND(":",TRIM(MID(SUBSTITUTE(K207,";",REPT(" ",99)),298,99)))+1,999))+1,999),FIND(":",MID(MID(TRIM(MID(SUBSTITUTE(K207,";",REPT(" ",99)),298,99)),FIND(":",TRIM(MID(SUBSTITUTE(K207,";",REPT(" ",99)),298,99)))+1,999),FIND(":",MID(TRIM(MID(SUBSTITUTE(K207,";",REPT(" ",99)),298,99)),FIND(":",TRIM(MID(SUBSTITUTE(K207,";",REPT(" ",99)),298,99)))+1,999))+1,999))-1)),IF(TRIM(MID(SUBSTITUTE(K207,";",REPT(" ",99)),397,99))="","",IFERROR(VLOOKUP(--LEFT(MID(TRIM(MID(SUBSTITUTE(K207,";",REPT(" ",99)),397,99)),FIND(":",TRIM(MID(SUBSTITUTE(K207,";",REPT(" ",99)),397,99)))+1,999),FIND(":",MID(TRIM(MID(SUBSTITUTE(K207,";",REPT(" ",99)),397,99)),FIND(":",TRIM(MID(SUBSTITUTE(K207,";",REPT(" ",99)),397,99)))+1,999))-1),_Lookup!$A:$B,2,FALSE),"?")&amp;"×"&amp;LEFT(MID(MID(TRIM(MID(SUBSTITUTE(K207,";",REPT(" ",99)),397,99)),FIND(":",TRIM(MID(SUBSTITUTE(K207,";",REPT(" ",99)),397,99)))+1,999),FIND(":",MID(TRIM(MID(SUBSTITUTE(K207,";",REPT(" ",99)),397,99)),FIND(":",TRIM(MID(SUBSTITUTE(K207,";",REPT(" ",99)),397,99)))+1,999))+1,999),FIND(":",MID(MID(TRIM(MID(SUBSTITUTE(K207,";",REPT(" ",99)),397,99)),FIND(":",TRIM(MID(SUBSTITUTE(K207,";",REPT(" ",99)),397,99)))+1,999),FIND(":",MID(TRIM(MID(SUBSTITUTE(K207,";",REPT(" ",99)),397,99)),FIND(":",TRIM(MID(SUBSTITUTE(K207,";",REPT(" ",99)),397,99)))+1,999))+1,999))-1))))</f>
        <v/>
      </c>
    </row>
    <row r="208">
      <c r="D208" s="11">
        <f>IFERROR(VLOOKUP(C208,ItemData_Fish!$A:$B,2,FALSE),"")</f>
        <v/>
      </c>
      <c r="L208" s="11">
        <f>IF(K208="","",TEXTJOIN("; ",TRUE,IF(TRIM(MID(SUBSTITUTE(K208,";",REPT(" ",99)),1,99))="","",IFERROR(VLOOKUP(--LEFT(MID(TRIM(MID(SUBSTITUTE(K208,";",REPT(" ",99)),1,99)),FIND(":",TRIM(MID(SUBSTITUTE(K208,";",REPT(" ",99)),1,99)))+1,999),FIND(":",MID(TRIM(MID(SUBSTITUTE(K208,";",REPT(" ",99)),1,99)),FIND(":",TRIM(MID(SUBSTITUTE(K208,";",REPT(" ",99)),1,99)))+1,999))-1),_Lookup!$A:$B,2,FALSE),"?")&amp;"×"&amp;LEFT(MID(MID(TRIM(MID(SUBSTITUTE(K208,";",REPT(" ",99)),1,99)),FIND(":",TRIM(MID(SUBSTITUTE(K208,";",REPT(" ",99)),1,99)))+1,999),FIND(":",MID(TRIM(MID(SUBSTITUTE(K208,";",REPT(" ",99)),1,99)),FIND(":",TRIM(MID(SUBSTITUTE(K208,";",REPT(" ",99)),1,99)))+1,999))+1,999),FIND(":",MID(MID(TRIM(MID(SUBSTITUTE(K208,";",REPT(" ",99)),1,99)),FIND(":",TRIM(MID(SUBSTITUTE(K208,";",REPT(" ",99)),1,99)))+1,999),FIND(":",MID(TRIM(MID(SUBSTITUTE(K208,";",REPT(" ",99)),1,99)),FIND(":",TRIM(MID(SUBSTITUTE(K208,";",REPT(" ",99)),1,99)))+1,999))+1,999))-1)),IF(TRIM(MID(SUBSTITUTE(K208,";",REPT(" ",99)),100,99))="","",IFERROR(VLOOKUP(--LEFT(MID(TRIM(MID(SUBSTITUTE(K208,";",REPT(" ",99)),100,99)),FIND(":",TRIM(MID(SUBSTITUTE(K208,";",REPT(" ",99)),100,99)))+1,999),FIND(":",MID(TRIM(MID(SUBSTITUTE(K208,";",REPT(" ",99)),100,99)),FIND(":",TRIM(MID(SUBSTITUTE(K208,";",REPT(" ",99)),100,99)))+1,999))-1),_Lookup!$A:$B,2,FALSE),"?")&amp;"×"&amp;LEFT(MID(MID(TRIM(MID(SUBSTITUTE(K208,";",REPT(" ",99)),100,99)),FIND(":",TRIM(MID(SUBSTITUTE(K208,";",REPT(" ",99)),100,99)))+1,999),FIND(":",MID(TRIM(MID(SUBSTITUTE(K208,";",REPT(" ",99)),100,99)),FIND(":",TRIM(MID(SUBSTITUTE(K208,";",REPT(" ",99)),100,99)))+1,999))+1,999),FIND(":",MID(MID(TRIM(MID(SUBSTITUTE(K208,";",REPT(" ",99)),100,99)),FIND(":",TRIM(MID(SUBSTITUTE(K208,";",REPT(" ",99)),100,99)))+1,999),FIND(":",MID(TRIM(MID(SUBSTITUTE(K208,";",REPT(" ",99)),100,99)),FIND(":",TRIM(MID(SUBSTITUTE(K208,";",REPT(" ",99)),100,99)))+1,999))+1,999))-1)),IF(TRIM(MID(SUBSTITUTE(K208,";",REPT(" ",99)),199,99))="","",IFERROR(VLOOKUP(--LEFT(MID(TRIM(MID(SUBSTITUTE(K208,";",REPT(" ",99)),199,99)),FIND(":",TRIM(MID(SUBSTITUTE(K208,";",REPT(" ",99)),199,99)))+1,999),FIND(":",MID(TRIM(MID(SUBSTITUTE(K208,";",REPT(" ",99)),199,99)),FIND(":",TRIM(MID(SUBSTITUTE(K208,";",REPT(" ",99)),199,99)))+1,999))-1),_Lookup!$A:$B,2,FALSE),"?")&amp;"×"&amp;LEFT(MID(MID(TRIM(MID(SUBSTITUTE(K208,";",REPT(" ",99)),199,99)),FIND(":",TRIM(MID(SUBSTITUTE(K208,";",REPT(" ",99)),199,99)))+1,999),FIND(":",MID(TRIM(MID(SUBSTITUTE(K208,";",REPT(" ",99)),199,99)),FIND(":",TRIM(MID(SUBSTITUTE(K208,";",REPT(" ",99)),199,99)))+1,999))+1,999),FIND(":",MID(MID(TRIM(MID(SUBSTITUTE(K208,";",REPT(" ",99)),199,99)),FIND(":",TRIM(MID(SUBSTITUTE(K208,";",REPT(" ",99)),199,99)))+1,999),FIND(":",MID(TRIM(MID(SUBSTITUTE(K208,";",REPT(" ",99)),199,99)),FIND(":",TRIM(MID(SUBSTITUTE(K208,";",REPT(" ",99)),199,99)))+1,999))+1,999))-1)),IF(TRIM(MID(SUBSTITUTE(K208,";",REPT(" ",99)),298,99))="","",IFERROR(VLOOKUP(--LEFT(MID(TRIM(MID(SUBSTITUTE(K208,";",REPT(" ",99)),298,99)),FIND(":",TRIM(MID(SUBSTITUTE(K208,";",REPT(" ",99)),298,99)))+1,999),FIND(":",MID(TRIM(MID(SUBSTITUTE(K208,";",REPT(" ",99)),298,99)),FIND(":",TRIM(MID(SUBSTITUTE(K208,";",REPT(" ",99)),298,99)))+1,999))-1),_Lookup!$A:$B,2,FALSE),"?")&amp;"×"&amp;LEFT(MID(MID(TRIM(MID(SUBSTITUTE(K208,";",REPT(" ",99)),298,99)),FIND(":",TRIM(MID(SUBSTITUTE(K208,";",REPT(" ",99)),298,99)))+1,999),FIND(":",MID(TRIM(MID(SUBSTITUTE(K208,";",REPT(" ",99)),298,99)),FIND(":",TRIM(MID(SUBSTITUTE(K208,";",REPT(" ",99)),298,99)))+1,999))+1,999),FIND(":",MID(MID(TRIM(MID(SUBSTITUTE(K208,";",REPT(" ",99)),298,99)),FIND(":",TRIM(MID(SUBSTITUTE(K208,";",REPT(" ",99)),298,99)))+1,999),FIND(":",MID(TRIM(MID(SUBSTITUTE(K208,";",REPT(" ",99)),298,99)),FIND(":",TRIM(MID(SUBSTITUTE(K208,";",REPT(" ",99)),298,99)))+1,999))+1,999))-1)),IF(TRIM(MID(SUBSTITUTE(K208,";",REPT(" ",99)),397,99))="","",IFERROR(VLOOKUP(--LEFT(MID(TRIM(MID(SUBSTITUTE(K208,";",REPT(" ",99)),397,99)),FIND(":",TRIM(MID(SUBSTITUTE(K208,";",REPT(" ",99)),397,99)))+1,999),FIND(":",MID(TRIM(MID(SUBSTITUTE(K208,";",REPT(" ",99)),397,99)),FIND(":",TRIM(MID(SUBSTITUTE(K208,";",REPT(" ",99)),397,99)))+1,999))-1),_Lookup!$A:$B,2,FALSE),"?")&amp;"×"&amp;LEFT(MID(MID(TRIM(MID(SUBSTITUTE(K208,";",REPT(" ",99)),397,99)),FIND(":",TRIM(MID(SUBSTITUTE(K208,";",REPT(" ",99)),397,99)))+1,999),FIND(":",MID(TRIM(MID(SUBSTITUTE(K208,";",REPT(" ",99)),397,99)),FIND(":",TRIM(MID(SUBSTITUTE(K208,";",REPT(" ",99)),397,99)))+1,999))+1,999),FIND(":",MID(MID(TRIM(MID(SUBSTITUTE(K208,";",REPT(" ",99)),397,99)),FIND(":",TRIM(MID(SUBSTITUTE(K208,";",REPT(" ",99)),397,99)))+1,999),FIND(":",MID(TRIM(MID(SUBSTITUTE(K208,";",REPT(" ",99)),397,99)),FIND(":",TRIM(MID(SUBSTITUTE(K208,";",REPT(" ",99)),397,99)))+1,999))+1,999))-1))))</f>
        <v/>
      </c>
    </row>
    <row r="209">
      <c r="D209" s="11">
        <f>IFERROR(VLOOKUP(C209,ItemData_Fish!$A:$B,2,FALSE),"")</f>
        <v/>
      </c>
      <c r="L209" s="11">
        <f>IF(K209="","",TEXTJOIN("; ",TRUE,IF(TRIM(MID(SUBSTITUTE(K209,";",REPT(" ",99)),1,99))="","",IFERROR(VLOOKUP(--LEFT(MID(TRIM(MID(SUBSTITUTE(K209,";",REPT(" ",99)),1,99)),FIND(":",TRIM(MID(SUBSTITUTE(K209,";",REPT(" ",99)),1,99)))+1,999),FIND(":",MID(TRIM(MID(SUBSTITUTE(K209,";",REPT(" ",99)),1,99)),FIND(":",TRIM(MID(SUBSTITUTE(K209,";",REPT(" ",99)),1,99)))+1,999))-1),_Lookup!$A:$B,2,FALSE),"?")&amp;"×"&amp;LEFT(MID(MID(TRIM(MID(SUBSTITUTE(K209,";",REPT(" ",99)),1,99)),FIND(":",TRIM(MID(SUBSTITUTE(K209,";",REPT(" ",99)),1,99)))+1,999),FIND(":",MID(TRIM(MID(SUBSTITUTE(K209,";",REPT(" ",99)),1,99)),FIND(":",TRIM(MID(SUBSTITUTE(K209,";",REPT(" ",99)),1,99)))+1,999))+1,999),FIND(":",MID(MID(TRIM(MID(SUBSTITUTE(K209,";",REPT(" ",99)),1,99)),FIND(":",TRIM(MID(SUBSTITUTE(K209,";",REPT(" ",99)),1,99)))+1,999),FIND(":",MID(TRIM(MID(SUBSTITUTE(K209,";",REPT(" ",99)),1,99)),FIND(":",TRIM(MID(SUBSTITUTE(K209,";",REPT(" ",99)),1,99)))+1,999))+1,999))-1)),IF(TRIM(MID(SUBSTITUTE(K209,";",REPT(" ",99)),100,99))="","",IFERROR(VLOOKUP(--LEFT(MID(TRIM(MID(SUBSTITUTE(K209,";",REPT(" ",99)),100,99)),FIND(":",TRIM(MID(SUBSTITUTE(K209,";",REPT(" ",99)),100,99)))+1,999),FIND(":",MID(TRIM(MID(SUBSTITUTE(K209,";",REPT(" ",99)),100,99)),FIND(":",TRIM(MID(SUBSTITUTE(K209,";",REPT(" ",99)),100,99)))+1,999))-1),_Lookup!$A:$B,2,FALSE),"?")&amp;"×"&amp;LEFT(MID(MID(TRIM(MID(SUBSTITUTE(K209,";",REPT(" ",99)),100,99)),FIND(":",TRIM(MID(SUBSTITUTE(K209,";",REPT(" ",99)),100,99)))+1,999),FIND(":",MID(TRIM(MID(SUBSTITUTE(K209,";",REPT(" ",99)),100,99)),FIND(":",TRIM(MID(SUBSTITUTE(K209,";",REPT(" ",99)),100,99)))+1,999))+1,999),FIND(":",MID(MID(TRIM(MID(SUBSTITUTE(K209,";",REPT(" ",99)),100,99)),FIND(":",TRIM(MID(SUBSTITUTE(K209,";",REPT(" ",99)),100,99)))+1,999),FIND(":",MID(TRIM(MID(SUBSTITUTE(K209,";",REPT(" ",99)),100,99)),FIND(":",TRIM(MID(SUBSTITUTE(K209,";",REPT(" ",99)),100,99)))+1,999))+1,999))-1)),IF(TRIM(MID(SUBSTITUTE(K209,";",REPT(" ",99)),199,99))="","",IFERROR(VLOOKUP(--LEFT(MID(TRIM(MID(SUBSTITUTE(K209,";",REPT(" ",99)),199,99)),FIND(":",TRIM(MID(SUBSTITUTE(K209,";",REPT(" ",99)),199,99)))+1,999),FIND(":",MID(TRIM(MID(SUBSTITUTE(K209,";",REPT(" ",99)),199,99)),FIND(":",TRIM(MID(SUBSTITUTE(K209,";",REPT(" ",99)),199,99)))+1,999))-1),_Lookup!$A:$B,2,FALSE),"?")&amp;"×"&amp;LEFT(MID(MID(TRIM(MID(SUBSTITUTE(K209,";",REPT(" ",99)),199,99)),FIND(":",TRIM(MID(SUBSTITUTE(K209,";",REPT(" ",99)),199,99)))+1,999),FIND(":",MID(TRIM(MID(SUBSTITUTE(K209,";",REPT(" ",99)),199,99)),FIND(":",TRIM(MID(SUBSTITUTE(K209,";",REPT(" ",99)),199,99)))+1,999))+1,999),FIND(":",MID(MID(TRIM(MID(SUBSTITUTE(K209,";",REPT(" ",99)),199,99)),FIND(":",TRIM(MID(SUBSTITUTE(K209,";",REPT(" ",99)),199,99)))+1,999),FIND(":",MID(TRIM(MID(SUBSTITUTE(K209,";",REPT(" ",99)),199,99)),FIND(":",TRIM(MID(SUBSTITUTE(K209,";",REPT(" ",99)),199,99)))+1,999))+1,999))-1)),IF(TRIM(MID(SUBSTITUTE(K209,";",REPT(" ",99)),298,99))="","",IFERROR(VLOOKUP(--LEFT(MID(TRIM(MID(SUBSTITUTE(K209,";",REPT(" ",99)),298,99)),FIND(":",TRIM(MID(SUBSTITUTE(K209,";",REPT(" ",99)),298,99)))+1,999),FIND(":",MID(TRIM(MID(SUBSTITUTE(K209,";",REPT(" ",99)),298,99)),FIND(":",TRIM(MID(SUBSTITUTE(K209,";",REPT(" ",99)),298,99)))+1,999))-1),_Lookup!$A:$B,2,FALSE),"?")&amp;"×"&amp;LEFT(MID(MID(TRIM(MID(SUBSTITUTE(K209,";",REPT(" ",99)),298,99)),FIND(":",TRIM(MID(SUBSTITUTE(K209,";",REPT(" ",99)),298,99)))+1,999),FIND(":",MID(TRIM(MID(SUBSTITUTE(K209,";",REPT(" ",99)),298,99)),FIND(":",TRIM(MID(SUBSTITUTE(K209,";",REPT(" ",99)),298,99)))+1,999))+1,999),FIND(":",MID(MID(TRIM(MID(SUBSTITUTE(K209,";",REPT(" ",99)),298,99)),FIND(":",TRIM(MID(SUBSTITUTE(K209,";",REPT(" ",99)),298,99)))+1,999),FIND(":",MID(TRIM(MID(SUBSTITUTE(K209,";",REPT(" ",99)),298,99)),FIND(":",TRIM(MID(SUBSTITUTE(K209,";",REPT(" ",99)),298,99)))+1,999))+1,999))-1)),IF(TRIM(MID(SUBSTITUTE(K209,";",REPT(" ",99)),397,99))="","",IFERROR(VLOOKUP(--LEFT(MID(TRIM(MID(SUBSTITUTE(K209,";",REPT(" ",99)),397,99)),FIND(":",TRIM(MID(SUBSTITUTE(K209,";",REPT(" ",99)),397,99)))+1,999),FIND(":",MID(TRIM(MID(SUBSTITUTE(K209,";",REPT(" ",99)),397,99)),FIND(":",TRIM(MID(SUBSTITUTE(K209,";",REPT(" ",99)),397,99)))+1,999))-1),_Lookup!$A:$B,2,FALSE),"?")&amp;"×"&amp;LEFT(MID(MID(TRIM(MID(SUBSTITUTE(K209,";",REPT(" ",99)),397,99)),FIND(":",TRIM(MID(SUBSTITUTE(K209,";",REPT(" ",99)),397,99)))+1,999),FIND(":",MID(TRIM(MID(SUBSTITUTE(K209,";",REPT(" ",99)),397,99)),FIND(":",TRIM(MID(SUBSTITUTE(K209,";",REPT(" ",99)),397,99)))+1,999))+1,999),FIND(":",MID(MID(TRIM(MID(SUBSTITUTE(K209,";",REPT(" ",99)),397,99)),FIND(":",TRIM(MID(SUBSTITUTE(K209,";",REPT(" ",99)),397,99)))+1,999),FIND(":",MID(TRIM(MID(SUBSTITUTE(K209,";",REPT(" ",99)),397,99)),FIND(":",TRIM(MID(SUBSTITUTE(K209,";",REPT(" ",99)),397,99)))+1,999))+1,999))-1))))</f>
        <v/>
      </c>
    </row>
    <row r="210">
      <c r="D210" s="11">
        <f>IFERROR(VLOOKUP(C210,ItemData_Fish!$A:$B,2,FALSE),"")</f>
        <v/>
      </c>
      <c r="L210" s="11">
        <f>IF(K210="","",TEXTJOIN("; ",TRUE,IF(TRIM(MID(SUBSTITUTE(K210,";",REPT(" ",99)),1,99))="","",IFERROR(VLOOKUP(--LEFT(MID(TRIM(MID(SUBSTITUTE(K210,";",REPT(" ",99)),1,99)),FIND(":",TRIM(MID(SUBSTITUTE(K210,";",REPT(" ",99)),1,99)))+1,999),FIND(":",MID(TRIM(MID(SUBSTITUTE(K210,";",REPT(" ",99)),1,99)),FIND(":",TRIM(MID(SUBSTITUTE(K210,";",REPT(" ",99)),1,99)))+1,999))-1),_Lookup!$A:$B,2,FALSE),"?")&amp;"×"&amp;LEFT(MID(MID(TRIM(MID(SUBSTITUTE(K210,";",REPT(" ",99)),1,99)),FIND(":",TRIM(MID(SUBSTITUTE(K210,";",REPT(" ",99)),1,99)))+1,999),FIND(":",MID(TRIM(MID(SUBSTITUTE(K210,";",REPT(" ",99)),1,99)),FIND(":",TRIM(MID(SUBSTITUTE(K210,";",REPT(" ",99)),1,99)))+1,999))+1,999),FIND(":",MID(MID(TRIM(MID(SUBSTITUTE(K210,";",REPT(" ",99)),1,99)),FIND(":",TRIM(MID(SUBSTITUTE(K210,";",REPT(" ",99)),1,99)))+1,999),FIND(":",MID(TRIM(MID(SUBSTITUTE(K210,";",REPT(" ",99)),1,99)),FIND(":",TRIM(MID(SUBSTITUTE(K210,";",REPT(" ",99)),1,99)))+1,999))+1,999))-1)),IF(TRIM(MID(SUBSTITUTE(K210,";",REPT(" ",99)),100,99))="","",IFERROR(VLOOKUP(--LEFT(MID(TRIM(MID(SUBSTITUTE(K210,";",REPT(" ",99)),100,99)),FIND(":",TRIM(MID(SUBSTITUTE(K210,";",REPT(" ",99)),100,99)))+1,999),FIND(":",MID(TRIM(MID(SUBSTITUTE(K210,";",REPT(" ",99)),100,99)),FIND(":",TRIM(MID(SUBSTITUTE(K210,";",REPT(" ",99)),100,99)))+1,999))-1),_Lookup!$A:$B,2,FALSE),"?")&amp;"×"&amp;LEFT(MID(MID(TRIM(MID(SUBSTITUTE(K210,";",REPT(" ",99)),100,99)),FIND(":",TRIM(MID(SUBSTITUTE(K210,";",REPT(" ",99)),100,99)))+1,999),FIND(":",MID(TRIM(MID(SUBSTITUTE(K210,";",REPT(" ",99)),100,99)),FIND(":",TRIM(MID(SUBSTITUTE(K210,";",REPT(" ",99)),100,99)))+1,999))+1,999),FIND(":",MID(MID(TRIM(MID(SUBSTITUTE(K210,";",REPT(" ",99)),100,99)),FIND(":",TRIM(MID(SUBSTITUTE(K210,";",REPT(" ",99)),100,99)))+1,999),FIND(":",MID(TRIM(MID(SUBSTITUTE(K210,";",REPT(" ",99)),100,99)),FIND(":",TRIM(MID(SUBSTITUTE(K210,";",REPT(" ",99)),100,99)))+1,999))+1,999))-1)),IF(TRIM(MID(SUBSTITUTE(K210,";",REPT(" ",99)),199,99))="","",IFERROR(VLOOKUP(--LEFT(MID(TRIM(MID(SUBSTITUTE(K210,";",REPT(" ",99)),199,99)),FIND(":",TRIM(MID(SUBSTITUTE(K210,";",REPT(" ",99)),199,99)))+1,999),FIND(":",MID(TRIM(MID(SUBSTITUTE(K210,";",REPT(" ",99)),199,99)),FIND(":",TRIM(MID(SUBSTITUTE(K210,";",REPT(" ",99)),199,99)))+1,999))-1),_Lookup!$A:$B,2,FALSE),"?")&amp;"×"&amp;LEFT(MID(MID(TRIM(MID(SUBSTITUTE(K210,";",REPT(" ",99)),199,99)),FIND(":",TRIM(MID(SUBSTITUTE(K210,";",REPT(" ",99)),199,99)))+1,999),FIND(":",MID(TRIM(MID(SUBSTITUTE(K210,";",REPT(" ",99)),199,99)),FIND(":",TRIM(MID(SUBSTITUTE(K210,";",REPT(" ",99)),199,99)))+1,999))+1,999),FIND(":",MID(MID(TRIM(MID(SUBSTITUTE(K210,";",REPT(" ",99)),199,99)),FIND(":",TRIM(MID(SUBSTITUTE(K210,";",REPT(" ",99)),199,99)))+1,999),FIND(":",MID(TRIM(MID(SUBSTITUTE(K210,";",REPT(" ",99)),199,99)),FIND(":",TRIM(MID(SUBSTITUTE(K210,";",REPT(" ",99)),199,99)))+1,999))+1,999))-1)),IF(TRIM(MID(SUBSTITUTE(K210,";",REPT(" ",99)),298,99))="","",IFERROR(VLOOKUP(--LEFT(MID(TRIM(MID(SUBSTITUTE(K210,";",REPT(" ",99)),298,99)),FIND(":",TRIM(MID(SUBSTITUTE(K210,";",REPT(" ",99)),298,99)))+1,999),FIND(":",MID(TRIM(MID(SUBSTITUTE(K210,";",REPT(" ",99)),298,99)),FIND(":",TRIM(MID(SUBSTITUTE(K210,";",REPT(" ",99)),298,99)))+1,999))-1),_Lookup!$A:$B,2,FALSE),"?")&amp;"×"&amp;LEFT(MID(MID(TRIM(MID(SUBSTITUTE(K210,";",REPT(" ",99)),298,99)),FIND(":",TRIM(MID(SUBSTITUTE(K210,";",REPT(" ",99)),298,99)))+1,999),FIND(":",MID(TRIM(MID(SUBSTITUTE(K210,";",REPT(" ",99)),298,99)),FIND(":",TRIM(MID(SUBSTITUTE(K210,";",REPT(" ",99)),298,99)))+1,999))+1,999),FIND(":",MID(MID(TRIM(MID(SUBSTITUTE(K210,";",REPT(" ",99)),298,99)),FIND(":",TRIM(MID(SUBSTITUTE(K210,";",REPT(" ",99)),298,99)))+1,999),FIND(":",MID(TRIM(MID(SUBSTITUTE(K210,";",REPT(" ",99)),298,99)),FIND(":",TRIM(MID(SUBSTITUTE(K210,";",REPT(" ",99)),298,99)))+1,999))+1,999))-1)),IF(TRIM(MID(SUBSTITUTE(K210,";",REPT(" ",99)),397,99))="","",IFERROR(VLOOKUP(--LEFT(MID(TRIM(MID(SUBSTITUTE(K210,";",REPT(" ",99)),397,99)),FIND(":",TRIM(MID(SUBSTITUTE(K210,";",REPT(" ",99)),397,99)))+1,999),FIND(":",MID(TRIM(MID(SUBSTITUTE(K210,";",REPT(" ",99)),397,99)),FIND(":",TRIM(MID(SUBSTITUTE(K210,";",REPT(" ",99)),397,99)))+1,999))-1),_Lookup!$A:$B,2,FALSE),"?")&amp;"×"&amp;LEFT(MID(MID(TRIM(MID(SUBSTITUTE(K210,";",REPT(" ",99)),397,99)),FIND(":",TRIM(MID(SUBSTITUTE(K210,";",REPT(" ",99)),397,99)))+1,999),FIND(":",MID(TRIM(MID(SUBSTITUTE(K210,";",REPT(" ",99)),397,99)),FIND(":",TRIM(MID(SUBSTITUTE(K210,";",REPT(" ",99)),397,99)))+1,999))+1,999),FIND(":",MID(MID(TRIM(MID(SUBSTITUTE(K210,";",REPT(" ",99)),397,99)),FIND(":",TRIM(MID(SUBSTITUTE(K210,";",REPT(" ",99)),397,99)))+1,999),FIND(":",MID(TRIM(MID(SUBSTITUTE(K210,";",REPT(" ",99)),397,99)),FIND(":",TRIM(MID(SUBSTITUTE(K210,";",REPT(" ",99)),397,99)))+1,999))+1,999))-1))))</f>
        <v/>
      </c>
    </row>
    <row r="211">
      <c r="D211" s="11">
        <f>IFERROR(VLOOKUP(C211,ItemData_Fish!$A:$B,2,FALSE),"")</f>
        <v/>
      </c>
      <c r="L211" s="11">
        <f>IF(K211="","",TEXTJOIN("; ",TRUE,IF(TRIM(MID(SUBSTITUTE(K211,";",REPT(" ",99)),1,99))="","",IFERROR(VLOOKUP(--LEFT(MID(TRIM(MID(SUBSTITUTE(K211,";",REPT(" ",99)),1,99)),FIND(":",TRIM(MID(SUBSTITUTE(K211,";",REPT(" ",99)),1,99)))+1,999),FIND(":",MID(TRIM(MID(SUBSTITUTE(K211,";",REPT(" ",99)),1,99)),FIND(":",TRIM(MID(SUBSTITUTE(K211,";",REPT(" ",99)),1,99)))+1,999))-1),_Lookup!$A:$B,2,FALSE),"?")&amp;"×"&amp;LEFT(MID(MID(TRIM(MID(SUBSTITUTE(K211,";",REPT(" ",99)),1,99)),FIND(":",TRIM(MID(SUBSTITUTE(K211,";",REPT(" ",99)),1,99)))+1,999),FIND(":",MID(TRIM(MID(SUBSTITUTE(K211,";",REPT(" ",99)),1,99)),FIND(":",TRIM(MID(SUBSTITUTE(K211,";",REPT(" ",99)),1,99)))+1,999))+1,999),FIND(":",MID(MID(TRIM(MID(SUBSTITUTE(K211,";",REPT(" ",99)),1,99)),FIND(":",TRIM(MID(SUBSTITUTE(K211,";",REPT(" ",99)),1,99)))+1,999),FIND(":",MID(TRIM(MID(SUBSTITUTE(K211,";",REPT(" ",99)),1,99)),FIND(":",TRIM(MID(SUBSTITUTE(K211,";",REPT(" ",99)),1,99)))+1,999))+1,999))-1)),IF(TRIM(MID(SUBSTITUTE(K211,";",REPT(" ",99)),100,99))="","",IFERROR(VLOOKUP(--LEFT(MID(TRIM(MID(SUBSTITUTE(K211,";",REPT(" ",99)),100,99)),FIND(":",TRIM(MID(SUBSTITUTE(K211,";",REPT(" ",99)),100,99)))+1,999),FIND(":",MID(TRIM(MID(SUBSTITUTE(K211,";",REPT(" ",99)),100,99)),FIND(":",TRIM(MID(SUBSTITUTE(K211,";",REPT(" ",99)),100,99)))+1,999))-1),_Lookup!$A:$B,2,FALSE),"?")&amp;"×"&amp;LEFT(MID(MID(TRIM(MID(SUBSTITUTE(K211,";",REPT(" ",99)),100,99)),FIND(":",TRIM(MID(SUBSTITUTE(K211,";",REPT(" ",99)),100,99)))+1,999),FIND(":",MID(TRIM(MID(SUBSTITUTE(K211,";",REPT(" ",99)),100,99)),FIND(":",TRIM(MID(SUBSTITUTE(K211,";",REPT(" ",99)),100,99)))+1,999))+1,999),FIND(":",MID(MID(TRIM(MID(SUBSTITUTE(K211,";",REPT(" ",99)),100,99)),FIND(":",TRIM(MID(SUBSTITUTE(K211,";",REPT(" ",99)),100,99)))+1,999),FIND(":",MID(TRIM(MID(SUBSTITUTE(K211,";",REPT(" ",99)),100,99)),FIND(":",TRIM(MID(SUBSTITUTE(K211,";",REPT(" ",99)),100,99)))+1,999))+1,999))-1)),IF(TRIM(MID(SUBSTITUTE(K211,";",REPT(" ",99)),199,99))="","",IFERROR(VLOOKUP(--LEFT(MID(TRIM(MID(SUBSTITUTE(K211,";",REPT(" ",99)),199,99)),FIND(":",TRIM(MID(SUBSTITUTE(K211,";",REPT(" ",99)),199,99)))+1,999),FIND(":",MID(TRIM(MID(SUBSTITUTE(K211,";",REPT(" ",99)),199,99)),FIND(":",TRIM(MID(SUBSTITUTE(K211,";",REPT(" ",99)),199,99)))+1,999))-1),_Lookup!$A:$B,2,FALSE),"?")&amp;"×"&amp;LEFT(MID(MID(TRIM(MID(SUBSTITUTE(K211,";",REPT(" ",99)),199,99)),FIND(":",TRIM(MID(SUBSTITUTE(K211,";",REPT(" ",99)),199,99)))+1,999),FIND(":",MID(TRIM(MID(SUBSTITUTE(K211,";",REPT(" ",99)),199,99)),FIND(":",TRIM(MID(SUBSTITUTE(K211,";",REPT(" ",99)),199,99)))+1,999))+1,999),FIND(":",MID(MID(TRIM(MID(SUBSTITUTE(K211,";",REPT(" ",99)),199,99)),FIND(":",TRIM(MID(SUBSTITUTE(K211,";",REPT(" ",99)),199,99)))+1,999),FIND(":",MID(TRIM(MID(SUBSTITUTE(K211,";",REPT(" ",99)),199,99)),FIND(":",TRIM(MID(SUBSTITUTE(K211,";",REPT(" ",99)),199,99)))+1,999))+1,999))-1)),IF(TRIM(MID(SUBSTITUTE(K211,";",REPT(" ",99)),298,99))="","",IFERROR(VLOOKUP(--LEFT(MID(TRIM(MID(SUBSTITUTE(K211,";",REPT(" ",99)),298,99)),FIND(":",TRIM(MID(SUBSTITUTE(K211,";",REPT(" ",99)),298,99)))+1,999),FIND(":",MID(TRIM(MID(SUBSTITUTE(K211,";",REPT(" ",99)),298,99)),FIND(":",TRIM(MID(SUBSTITUTE(K211,";",REPT(" ",99)),298,99)))+1,999))-1),_Lookup!$A:$B,2,FALSE),"?")&amp;"×"&amp;LEFT(MID(MID(TRIM(MID(SUBSTITUTE(K211,";",REPT(" ",99)),298,99)),FIND(":",TRIM(MID(SUBSTITUTE(K211,";",REPT(" ",99)),298,99)))+1,999),FIND(":",MID(TRIM(MID(SUBSTITUTE(K211,";",REPT(" ",99)),298,99)),FIND(":",TRIM(MID(SUBSTITUTE(K211,";",REPT(" ",99)),298,99)))+1,999))+1,999),FIND(":",MID(MID(TRIM(MID(SUBSTITUTE(K211,";",REPT(" ",99)),298,99)),FIND(":",TRIM(MID(SUBSTITUTE(K211,";",REPT(" ",99)),298,99)))+1,999),FIND(":",MID(TRIM(MID(SUBSTITUTE(K211,";",REPT(" ",99)),298,99)),FIND(":",TRIM(MID(SUBSTITUTE(K211,";",REPT(" ",99)),298,99)))+1,999))+1,999))-1)),IF(TRIM(MID(SUBSTITUTE(K211,";",REPT(" ",99)),397,99))="","",IFERROR(VLOOKUP(--LEFT(MID(TRIM(MID(SUBSTITUTE(K211,";",REPT(" ",99)),397,99)),FIND(":",TRIM(MID(SUBSTITUTE(K211,";",REPT(" ",99)),397,99)))+1,999),FIND(":",MID(TRIM(MID(SUBSTITUTE(K211,";",REPT(" ",99)),397,99)),FIND(":",TRIM(MID(SUBSTITUTE(K211,";",REPT(" ",99)),397,99)))+1,999))-1),_Lookup!$A:$B,2,FALSE),"?")&amp;"×"&amp;LEFT(MID(MID(TRIM(MID(SUBSTITUTE(K211,";",REPT(" ",99)),397,99)),FIND(":",TRIM(MID(SUBSTITUTE(K211,";",REPT(" ",99)),397,99)))+1,999),FIND(":",MID(TRIM(MID(SUBSTITUTE(K211,";",REPT(" ",99)),397,99)),FIND(":",TRIM(MID(SUBSTITUTE(K211,";",REPT(" ",99)),397,99)))+1,999))+1,999),FIND(":",MID(MID(TRIM(MID(SUBSTITUTE(K211,";",REPT(" ",99)),397,99)),FIND(":",TRIM(MID(SUBSTITUTE(K211,";",REPT(" ",99)),397,99)))+1,999),FIND(":",MID(TRIM(MID(SUBSTITUTE(K211,";",REPT(" ",99)),397,99)),FIND(":",TRIM(MID(SUBSTITUTE(K211,";",REPT(" ",99)),397,99)))+1,999))+1,999))-1))))</f>
        <v/>
      </c>
    </row>
    <row r="212">
      <c r="D212" s="11">
        <f>IFERROR(VLOOKUP(C212,ItemData_Fish!$A:$B,2,FALSE),"")</f>
        <v/>
      </c>
      <c r="L212" s="11">
        <f>IF(K212="","",TEXTJOIN("; ",TRUE,IF(TRIM(MID(SUBSTITUTE(K212,";",REPT(" ",99)),1,99))="","",IFERROR(VLOOKUP(--LEFT(MID(TRIM(MID(SUBSTITUTE(K212,";",REPT(" ",99)),1,99)),FIND(":",TRIM(MID(SUBSTITUTE(K212,";",REPT(" ",99)),1,99)))+1,999),FIND(":",MID(TRIM(MID(SUBSTITUTE(K212,";",REPT(" ",99)),1,99)),FIND(":",TRIM(MID(SUBSTITUTE(K212,";",REPT(" ",99)),1,99)))+1,999))-1),_Lookup!$A:$B,2,FALSE),"?")&amp;"×"&amp;LEFT(MID(MID(TRIM(MID(SUBSTITUTE(K212,";",REPT(" ",99)),1,99)),FIND(":",TRIM(MID(SUBSTITUTE(K212,";",REPT(" ",99)),1,99)))+1,999),FIND(":",MID(TRIM(MID(SUBSTITUTE(K212,";",REPT(" ",99)),1,99)),FIND(":",TRIM(MID(SUBSTITUTE(K212,";",REPT(" ",99)),1,99)))+1,999))+1,999),FIND(":",MID(MID(TRIM(MID(SUBSTITUTE(K212,";",REPT(" ",99)),1,99)),FIND(":",TRIM(MID(SUBSTITUTE(K212,";",REPT(" ",99)),1,99)))+1,999),FIND(":",MID(TRIM(MID(SUBSTITUTE(K212,";",REPT(" ",99)),1,99)),FIND(":",TRIM(MID(SUBSTITUTE(K212,";",REPT(" ",99)),1,99)))+1,999))+1,999))-1)),IF(TRIM(MID(SUBSTITUTE(K212,";",REPT(" ",99)),100,99))="","",IFERROR(VLOOKUP(--LEFT(MID(TRIM(MID(SUBSTITUTE(K212,";",REPT(" ",99)),100,99)),FIND(":",TRIM(MID(SUBSTITUTE(K212,";",REPT(" ",99)),100,99)))+1,999),FIND(":",MID(TRIM(MID(SUBSTITUTE(K212,";",REPT(" ",99)),100,99)),FIND(":",TRIM(MID(SUBSTITUTE(K212,";",REPT(" ",99)),100,99)))+1,999))-1),_Lookup!$A:$B,2,FALSE),"?")&amp;"×"&amp;LEFT(MID(MID(TRIM(MID(SUBSTITUTE(K212,";",REPT(" ",99)),100,99)),FIND(":",TRIM(MID(SUBSTITUTE(K212,";",REPT(" ",99)),100,99)))+1,999),FIND(":",MID(TRIM(MID(SUBSTITUTE(K212,";",REPT(" ",99)),100,99)),FIND(":",TRIM(MID(SUBSTITUTE(K212,";",REPT(" ",99)),100,99)))+1,999))+1,999),FIND(":",MID(MID(TRIM(MID(SUBSTITUTE(K212,";",REPT(" ",99)),100,99)),FIND(":",TRIM(MID(SUBSTITUTE(K212,";",REPT(" ",99)),100,99)))+1,999),FIND(":",MID(TRIM(MID(SUBSTITUTE(K212,";",REPT(" ",99)),100,99)),FIND(":",TRIM(MID(SUBSTITUTE(K212,";",REPT(" ",99)),100,99)))+1,999))+1,999))-1)),IF(TRIM(MID(SUBSTITUTE(K212,";",REPT(" ",99)),199,99))="","",IFERROR(VLOOKUP(--LEFT(MID(TRIM(MID(SUBSTITUTE(K212,";",REPT(" ",99)),199,99)),FIND(":",TRIM(MID(SUBSTITUTE(K212,";",REPT(" ",99)),199,99)))+1,999),FIND(":",MID(TRIM(MID(SUBSTITUTE(K212,";",REPT(" ",99)),199,99)),FIND(":",TRIM(MID(SUBSTITUTE(K212,";",REPT(" ",99)),199,99)))+1,999))-1),_Lookup!$A:$B,2,FALSE),"?")&amp;"×"&amp;LEFT(MID(MID(TRIM(MID(SUBSTITUTE(K212,";",REPT(" ",99)),199,99)),FIND(":",TRIM(MID(SUBSTITUTE(K212,";",REPT(" ",99)),199,99)))+1,999),FIND(":",MID(TRIM(MID(SUBSTITUTE(K212,";",REPT(" ",99)),199,99)),FIND(":",TRIM(MID(SUBSTITUTE(K212,";",REPT(" ",99)),199,99)))+1,999))+1,999),FIND(":",MID(MID(TRIM(MID(SUBSTITUTE(K212,";",REPT(" ",99)),199,99)),FIND(":",TRIM(MID(SUBSTITUTE(K212,";",REPT(" ",99)),199,99)))+1,999),FIND(":",MID(TRIM(MID(SUBSTITUTE(K212,";",REPT(" ",99)),199,99)),FIND(":",TRIM(MID(SUBSTITUTE(K212,";",REPT(" ",99)),199,99)))+1,999))+1,999))-1)),IF(TRIM(MID(SUBSTITUTE(K212,";",REPT(" ",99)),298,99))="","",IFERROR(VLOOKUP(--LEFT(MID(TRIM(MID(SUBSTITUTE(K212,";",REPT(" ",99)),298,99)),FIND(":",TRIM(MID(SUBSTITUTE(K212,";",REPT(" ",99)),298,99)))+1,999),FIND(":",MID(TRIM(MID(SUBSTITUTE(K212,";",REPT(" ",99)),298,99)),FIND(":",TRIM(MID(SUBSTITUTE(K212,";",REPT(" ",99)),298,99)))+1,999))-1),_Lookup!$A:$B,2,FALSE),"?")&amp;"×"&amp;LEFT(MID(MID(TRIM(MID(SUBSTITUTE(K212,";",REPT(" ",99)),298,99)),FIND(":",TRIM(MID(SUBSTITUTE(K212,";",REPT(" ",99)),298,99)))+1,999),FIND(":",MID(TRIM(MID(SUBSTITUTE(K212,";",REPT(" ",99)),298,99)),FIND(":",TRIM(MID(SUBSTITUTE(K212,";",REPT(" ",99)),298,99)))+1,999))+1,999),FIND(":",MID(MID(TRIM(MID(SUBSTITUTE(K212,";",REPT(" ",99)),298,99)),FIND(":",TRIM(MID(SUBSTITUTE(K212,";",REPT(" ",99)),298,99)))+1,999),FIND(":",MID(TRIM(MID(SUBSTITUTE(K212,";",REPT(" ",99)),298,99)),FIND(":",TRIM(MID(SUBSTITUTE(K212,";",REPT(" ",99)),298,99)))+1,999))+1,999))-1)),IF(TRIM(MID(SUBSTITUTE(K212,";",REPT(" ",99)),397,99))="","",IFERROR(VLOOKUP(--LEFT(MID(TRIM(MID(SUBSTITUTE(K212,";",REPT(" ",99)),397,99)),FIND(":",TRIM(MID(SUBSTITUTE(K212,";",REPT(" ",99)),397,99)))+1,999),FIND(":",MID(TRIM(MID(SUBSTITUTE(K212,";",REPT(" ",99)),397,99)),FIND(":",TRIM(MID(SUBSTITUTE(K212,";",REPT(" ",99)),397,99)))+1,999))-1),_Lookup!$A:$B,2,FALSE),"?")&amp;"×"&amp;LEFT(MID(MID(TRIM(MID(SUBSTITUTE(K212,";",REPT(" ",99)),397,99)),FIND(":",TRIM(MID(SUBSTITUTE(K212,";",REPT(" ",99)),397,99)))+1,999),FIND(":",MID(TRIM(MID(SUBSTITUTE(K212,";",REPT(" ",99)),397,99)),FIND(":",TRIM(MID(SUBSTITUTE(K212,";",REPT(" ",99)),397,99)))+1,999))+1,999),FIND(":",MID(MID(TRIM(MID(SUBSTITUTE(K212,";",REPT(" ",99)),397,99)),FIND(":",TRIM(MID(SUBSTITUTE(K212,";",REPT(" ",99)),397,99)))+1,999),FIND(":",MID(TRIM(MID(SUBSTITUTE(K212,";",REPT(" ",99)),397,99)),FIND(":",TRIM(MID(SUBSTITUTE(K212,";",REPT(" ",99)),397,99)))+1,999))+1,999))-1))))</f>
        <v/>
      </c>
    </row>
    <row r="213">
      <c r="D213" s="11">
        <f>IFERROR(VLOOKUP(C213,ItemData_Fish!$A:$B,2,FALSE),"")</f>
        <v/>
      </c>
      <c r="L213" s="11">
        <f>IF(K213="","",TEXTJOIN("; ",TRUE,IF(TRIM(MID(SUBSTITUTE(K213,";",REPT(" ",99)),1,99))="","",IFERROR(VLOOKUP(--LEFT(MID(TRIM(MID(SUBSTITUTE(K213,";",REPT(" ",99)),1,99)),FIND(":",TRIM(MID(SUBSTITUTE(K213,";",REPT(" ",99)),1,99)))+1,999),FIND(":",MID(TRIM(MID(SUBSTITUTE(K213,";",REPT(" ",99)),1,99)),FIND(":",TRIM(MID(SUBSTITUTE(K213,";",REPT(" ",99)),1,99)))+1,999))-1),_Lookup!$A:$B,2,FALSE),"?")&amp;"×"&amp;LEFT(MID(MID(TRIM(MID(SUBSTITUTE(K213,";",REPT(" ",99)),1,99)),FIND(":",TRIM(MID(SUBSTITUTE(K213,";",REPT(" ",99)),1,99)))+1,999),FIND(":",MID(TRIM(MID(SUBSTITUTE(K213,";",REPT(" ",99)),1,99)),FIND(":",TRIM(MID(SUBSTITUTE(K213,";",REPT(" ",99)),1,99)))+1,999))+1,999),FIND(":",MID(MID(TRIM(MID(SUBSTITUTE(K213,";",REPT(" ",99)),1,99)),FIND(":",TRIM(MID(SUBSTITUTE(K213,";",REPT(" ",99)),1,99)))+1,999),FIND(":",MID(TRIM(MID(SUBSTITUTE(K213,";",REPT(" ",99)),1,99)),FIND(":",TRIM(MID(SUBSTITUTE(K213,";",REPT(" ",99)),1,99)))+1,999))+1,999))-1)),IF(TRIM(MID(SUBSTITUTE(K213,";",REPT(" ",99)),100,99))="","",IFERROR(VLOOKUP(--LEFT(MID(TRIM(MID(SUBSTITUTE(K213,";",REPT(" ",99)),100,99)),FIND(":",TRIM(MID(SUBSTITUTE(K213,";",REPT(" ",99)),100,99)))+1,999),FIND(":",MID(TRIM(MID(SUBSTITUTE(K213,";",REPT(" ",99)),100,99)),FIND(":",TRIM(MID(SUBSTITUTE(K213,";",REPT(" ",99)),100,99)))+1,999))-1),_Lookup!$A:$B,2,FALSE),"?")&amp;"×"&amp;LEFT(MID(MID(TRIM(MID(SUBSTITUTE(K213,";",REPT(" ",99)),100,99)),FIND(":",TRIM(MID(SUBSTITUTE(K213,";",REPT(" ",99)),100,99)))+1,999),FIND(":",MID(TRIM(MID(SUBSTITUTE(K213,";",REPT(" ",99)),100,99)),FIND(":",TRIM(MID(SUBSTITUTE(K213,";",REPT(" ",99)),100,99)))+1,999))+1,999),FIND(":",MID(MID(TRIM(MID(SUBSTITUTE(K213,";",REPT(" ",99)),100,99)),FIND(":",TRIM(MID(SUBSTITUTE(K213,";",REPT(" ",99)),100,99)))+1,999),FIND(":",MID(TRIM(MID(SUBSTITUTE(K213,";",REPT(" ",99)),100,99)),FIND(":",TRIM(MID(SUBSTITUTE(K213,";",REPT(" ",99)),100,99)))+1,999))+1,999))-1)),IF(TRIM(MID(SUBSTITUTE(K213,";",REPT(" ",99)),199,99))="","",IFERROR(VLOOKUP(--LEFT(MID(TRIM(MID(SUBSTITUTE(K213,";",REPT(" ",99)),199,99)),FIND(":",TRIM(MID(SUBSTITUTE(K213,";",REPT(" ",99)),199,99)))+1,999),FIND(":",MID(TRIM(MID(SUBSTITUTE(K213,";",REPT(" ",99)),199,99)),FIND(":",TRIM(MID(SUBSTITUTE(K213,";",REPT(" ",99)),199,99)))+1,999))-1),_Lookup!$A:$B,2,FALSE),"?")&amp;"×"&amp;LEFT(MID(MID(TRIM(MID(SUBSTITUTE(K213,";",REPT(" ",99)),199,99)),FIND(":",TRIM(MID(SUBSTITUTE(K213,";",REPT(" ",99)),199,99)))+1,999),FIND(":",MID(TRIM(MID(SUBSTITUTE(K213,";",REPT(" ",99)),199,99)),FIND(":",TRIM(MID(SUBSTITUTE(K213,";",REPT(" ",99)),199,99)))+1,999))+1,999),FIND(":",MID(MID(TRIM(MID(SUBSTITUTE(K213,";",REPT(" ",99)),199,99)),FIND(":",TRIM(MID(SUBSTITUTE(K213,";",REPT(" ",99)),199,99)))+1,999),FIND(":",MID(TRIM(MID(SUBSTITUTE(K213,";",REPT(" ",99)),199,99)),FIND(":",TRIM(MID(SUBSTITUTE(K213,";",REPT(" ",99)),199,99)))+1,999))+1,999))-1)),IF(TRIM(MID(SUBSTITUTE(K213,";",REPT(" ",99)),298,99))="","",IFERROR(VLOOKUP(--LEFT(MID(TRIM(MID(SUBSTITUTE(K213,";",REPT(" ",99)),298,99)),FIND(":",TRIM(MID(SUBSTITUTE(K213,";",REPT(" ",99)),298,99)))+1,999),FIND(":",MID(TRIM(MID(SUBSTITUTE(K213,";",REPT(" ",99)),298,99)),FIND(":",TRIM(MID(SUBSTITUTE(K213,";",REPT(" ",99)),298,99)))+1,999))-1),_Lookup!$A:$B,2,FALSE),"?")&amp;"×"&amp;LEFT(MID(MID(TRIM(MID(SUBSTITUTE(K213,";",REPT(" ",99)),298,99)),FIND(":",TRIM(MID(SUBSTITUTE(K213,";",REPT(" ",99)),298,99)))+1,999),FIND(":",MID(TRIM(MID(SUBSTITUTE(K213,";",REPT(" ",99)),298,99)),FIND(":",TRIM(MID(SUBSTITUTE(K213,";",REPT(" ",99)),298,99)))+1,999))+1,999),FIND(":",MID(MID(TRIM(MID(SUBSTITUTE(K213,";",REPT(" ",99)),298,99)),FIND(":",TRIM(MID(SUBSTITUTE(K213,";",REPT(" ",99)),298,99)))+1,999),FIND(":",MID(TRIM(MID(SUBSTITUTE(K213,";",REPT(" ",99)),298,99)),FIND(":",TRIM(MID(SUBSTITUTE(K213,";",REPT(" ",99)),298,99)))+1,999))+1,999))-1)),IF(TRIM(MID(SUBSTITUTE(K213,";",REPT(" ",99)),397,99))="","",IFERROR(VLOOKUP(--LEFT(MID(TRIM(MID(SUBSTITUTE(K213,";",REPT(" ",99)),397,99)),FIND(":",TRIM(MID(SUBSTITUTE(K213,";",REPT(" ",99)),397,99)))+1,999),FIND(":",MID(TRIM(MID(SUBSTITUTE(K213,";",REPT(" ",99)),397,99)),FIND(":",TRIM(MID(SUBSTITUTE(K213,";",REPT(" ",99)),397,99)))+1,999))-1),_Lookup!$A:$B,2,FALSE),"?")&amp;"×"&amp;LEFT(MID(MID(TRIM(MID(SUBSTITUTE(K213,";",REPT(" ",99)),397,99)),FIND(":",TRIM(MID(SUBSTITUTE(K213,";",REPT(" ",99)),397,99)))+1,999),FIND(":",MID(TRIM(MID(SUBSTITUTE(K213,";",REPT(" ",99)),397,99)),FIND(":",TRIM(MID(SUBSTITUTE(K213,";",REPT(" ",99)),397,99)))+1,999))+1,999),FIND(":",MID(MID(TRIM(MID(SUBSTITUTE(K213,";",REPT(" ",99)),397,99)),FIND(":",TRIM(MID(SUBSTITUTE(K213,";",REPT(" ",99)),397,99)))+1,999),FIND(":",MID(TRIM(MID(SUBSTITUTE(K213,";",REPT(" ",99)),397,99)),FIND(":",TRIM(MID(SUBSTITUTE(K213,";",REPT(" ",99)),397,99)))+1,999))+1,999))-1))))</f>
        <v/>
      </c>
    </row>
    <row r="214">
      <c r="D214" s="11">
        <f>IFERROR(VLOOKUP(C214,ItemData_Fish!$A:$B,2,FALSE),"")</f>
        <v/>
      </c>
      <c r="L214" s="11">
        <f>IF(K214="","",TEXTJOIN("; ",TRUE,IF(TRIM(MID(SUBSTITUTE(K214,";",REPT(" ",99)),1,99))="","",IFERROR(VLOOKUP(--LEFT(MID(TRIM(MID(SUBSTITUTE(K214,";",REPT(" ",99)),1,99)),FIND(":",TRIM(MID(SUBSTITUTE(K214,";",REPT(" ",99)),1,99)))+1,999),FIND(":",MID(TRIM(MID(SUBSTITUTE(K214,";",REPT(" ",99)),1,99)),FIND(":",TRIM(MID(SUBSTITUTE(K214,";",REPT(" ",99)),1,99)))+1,999))-1),_Lookup!$A:$B,2,FALSE),"?")&amp;"×"&amp;LEFT(MID(MID(TRIM(MID(SUBSTITUTE(K214,";",REPT(" ",99)),1,99)),FIND(":",TRIM(MID(SUBSTITUTE(K214,";",REPT(" ",99)),1,99)))+1,999),FIND(":",MID(TRIM(MID(SUBSTITUTE(K214,";",REPT(" ",99)),1,99)),FIND(":",TRIM(MID(SUBSTITUTE(K214,";",REPT(" ",99)),1,99)))+1,999))+1,999),FIND(":",MID(MID(TRIM(MID(SUBSTITUTE(K214,";",REPT(" ",99)),1,99)),FIND(":",TRIM(MID(SUBSTITUTE(K214,";",REPT(" ",99)),1,99)))+1,999),FIND(":",MID(TRIM(MID(SUBSTITUTE(K214,";",REPT(" ",99)),1,99)),FIND(":",TRIM(MID(SUBSTITUTE(K214,";",REPT(" ",99)),1,99)))+1,999))+1,999))-1)),IF(TRIM(MID(SUBSTITUTE(K214,";",REPT(" ",99)),100,99))="","",IFERROR(VLOOKUP(--LEFT(MID(TRIM(MID(SUBSTITUTE(K214,";",REPT(" ",99)),100,99)),FIND(":",TRIM(MID(SUBSTITUTE(K214,";",REPT(" ",99)),100,99)))+1,999),FIND(":",MID(TRIM(MID(SUBSTITUTE(K214,";",REPT(" ",99)),100,99)),FIND(":",TRIM(MID(SUBSTITUTE(K214,";",REPT(" ",99)),100,99)))+1,999))-1),_Lookup!$A:$B,2,FALSE),"?")&amp;"×"&amp;LEFT(MID(MID(TRIM(MID(SUBSTITUTE(K214,";",REPT(" ",99)),100,99)),FIND(":",TRIM(MID(SUBSTITUTE(K214,";",REPT(" ",99)),100,99)))+1,999),FIND(":",MID(TRIM(MID(SUBSTITUTE(K214,";",REPT(" ",99)),100,99)),FIND(":",TRIM(MID(SUBSTITUTE(K214,";",REPT(" ",99)),100,99)))+1,999))+1,999),FIND(":",MID(MID(TRIM(MID(SUBSTITUTE(K214,";",REPT(" ",99)),100,99)),FIND(":",TRIM(MID(SUBSTITUTE(K214,";",REPT(" ",99)),100,99)))+1,999),FIND(":",MID(TRIM(MID(SUBSTITUTE(K214,";",REPT(" ",99)),100,99)),FIND(":",TRIM(MID(SUBSTITUTE(K214,";",REPT(" ",99)),100,99)))+1,999))+1,999))-1)),IF(TRIM(MID(SUBSTITUTE(K214,";",REPT(" ",99)),199,99))="","",IFERROR(VLOOKUP(--LEFT(MID(TRIM(MID(SUBSTITUTE(K214,";",REPT(" ",99)),199,99)),FIND(":",TRIM(MID(SUBSTITUTE(K214,";",REPT(" ",99)),199,99)))+1,999),FIND(":",MID(TRIM(MID(SUBSTITUTE(K214,";",REPT(" ",99)),199,99)),FIND(":",TRIM(MID(SUBSTITUTE(K214,";",REPT(" ",99)),199,99)))+1,999))-1),_Lookup!$A:$B,2,FALSE),"?")&amp;"×"&amp;LEFT(MID(MID(TRIM(MID(SUBSTITUTE(K214,";",REPT(" ",99)),199,99)),FIND(":",TRIM(MID(SUBSTITUTE(K214,";",REPT(" ",99)),199,99)))+1,999),FIND(":",MID(TRIM(MID(SUBSTITUTE(K214,";",REPT(" ",99)),199,99)),FIND(":",TRIM(MID(SUBSTITUTE(K214,";",REPT(" ",99)),199,99)))+1,999))+1,999),FIND(":",MID(MID(TRIM(MID(SUBSTITUTE(K214,";",REPT(" ",99)),199,99)),FIND(":",TRIM(MID(SUBSTITUTE(K214,";",REPT(" ",99)),199,99)))+1,999),FIND(":",MID(TRIM(MID(SUBSTITUTE(K214,";",REPT(" ",99)),199,99)),FIND(":",TRIM(MID(SUBSTITUTE(K214,";",REPT(" ",99)),199,99)))+1,999))+1,999))-1)),IF(TRIM(MID(SUBSTITUTE(K214,";",REPT(" ",99)),298,99))="","",IFERROR(VLOOKUP(--LEFT(MID(TRIM(MID(SUBSTITUTE(K214,";",REPT(" ",99)),298,99)),FIND(":",TRIM(MID(SUBSTITUTE(K214,";",REPT(" ",99)),298,99)))+1,999),FIND(":",MID(TRIM(MID(SUBSTITUTE(K214,";",REPT(" ",99)),298,99)),FIND(":",TRIM(MID(SUBSTITUTE(K214,";",REPT(" ",99)),298,99)))+1,999))-1),_Lookup!$A:$B,2,FALSE),"?")&amp;"×"&amp;LEFT(MID(MID(TRIM(MID(SUBSTITUTE(K214,";",REPT(" ",99)),298,99)),FIND(":",TRIM(MID(SUBSTITUTE(K214,";",REPT(" ",99)),298,99)))+1,999),FIND(":",MID(TRIM(MID(SUBSTITUTE(K214,";",REPT(" ",99)),298,99)),FIND(":",TRIM(MID(SUBSTITUTE(K214,";",REPT(" ",99)),298,99)))+1,999))+1,999),FIND(":",MID(MID(TRIM(MID(SUBSTITUTE(K214,";",REPT(" ",99)),298,99)),FIND(":",TRIM(MID(SUBSTITUTE(K214,";",REPT(" ",99)),298,99)))+1,999),FIND(":",MID(TRIM(MID(SUBSTITUTE(K214,";",REPT(" ",99)),298,99)),FIND(":",TRIM(MID(SUBSTITUTE(K214,";",REPT(" ",99)),298,99)))+1,999))+1,999))-1)),IF(TRIM(MID(SUBSTITUTE(K214,";",REPT(" ",99)),397,99))="","",IFERROR(VLOOKUP(--LEFT(MID(TRIM(MID(SUBSTITUTE(K214,";",REPT(" ",99)),397,99)),FIND(":",TRIM(MID(SUBSTITUTE(K214,";",REPT(" ",99)),397,99)))+1,999),FIND(":",MID(TRIM(MID(SUBSTITUTE(K214,";",REPT(" ",99)),397,99)),FIND(":",TRIM(MID(SUBSTITUTE(K214,";",REPT(" ",99)),397,99)))+1,999))-1),_Lookup!$A:$B,2,FALSE),"?")&amp;"×"&amp;LEFT(MID(MID(TRIM(MID(SUBSTITUTE(K214,";",REPT(" ",99)),397,99)),FIND(":",TRIM(MID(SUBSTITUTE(K214,";",REPT(" ",99)),397,99)))+1,999),FIND(":",MID(TRIM(MID(SUBSTITUTE(K214,";",REPT(" ",99)),397,99)),FIND(":",TRIM(MID(SUBSTITUTE(K214,";",REPT(" ",99)),397,99)))+1,999))+1,999),FIND(":",MID(MID(TRIM(MID(SUBSTITUTE(K214,";",REPT(" ",99)),397,99)),FIND(":",TRIM(MID(SUBSTITUTE(K214,";",REPT(" ",99)),397,99)))+1,999),FIND(":",MID(TRIM(MID(SUBSTITUTE(K214,";",REPT(" ",99)),397,99)),FIND(":",TRIM(MID(SUBSTITUTE(K214,";",REPT(" ",99)),397,99)))+1,999))+1,999))-1))))</f>
        <v/>
      </c>
    </row>
    <row r="215">
      <c r="D215" s="11">
        <f>IFERROR(VLOOKUP(C215,ItemData_Fish!$A:$B,2,FALSE),"")</f>
        <v/>
      </c>
      <c r="L215" s="11">
        <f>IF(K215="","",TEXTJOIN("; ",TRUE,IF(TRIM(MID(SUBSTITUTE(K215,";",REPT(" ",99)),1,99))="","",IFERROR(VLOOKUP(--LEFT(MID(TRIM(MID(SUBSTITUTE(K215,";",REPT(" ",99)),1,99)),FIND(":",TRIM(MID(SUBSTITUTE(K215,";",REPT(" ",99)),1,99)))+1,999),FIND(":",MID(TRIM(MID(SUBSTITUTE(K215,";",REPT(" ",99)),1,99)),FIND(":",TRIM(MID(SUBSTITUTE(K215,";",REPT(" ",99)),1,99)))+1,999))-1),_Lookup!$A:$B,2,FALSE),"?")&amp;"×"&amp;LEFT(MID(MID(TRIM(MID(SUBSTITUTE(K215,";",REPT(" ",99)),1,99)),FIND(":",TRIM(MID(SUBSTITUTE(K215,";",REPT(" ",99)),1,99)))+1,999),FIND(":",MID(TRIM(MID(SUBSTITUTE(K215,";",REPT(" ",99)),1,99)),FIND(":",TRIM(MID(SUBSTITUTE(K215,";",REPT(" ",99)),1,99)))+1,999))+1,999),FIND(":",MID(MID(TRIM(MID(SUBSTITUTE(K215,";",REPT(" ",99)),1,99)),FIND(":",TRIM(MID(SUBSTITUTE(K215,";",REPT(" ",99)),1,99)))+1,999),FIND(":",MID(TRIM(MID(SUBSTITUTE(K215,";",REPT(" ",99)),1,99)),FIND(":",TRIM(MID(SUBSTITUTE(K215,";",REPT(" ",99)),1,99)))+1,999))+1,999))-1)),IF(TRIM(MID(SUBSTITUTE(K215,";",REPT(" ",99)),100,99))="","",IFERROR(VLOOKUP(--LEFT(MID(TRIM(MID(SUBSTITUTE(K215,";",REPT(" ",99)),100,99)),FIND(":",TRIM(MID(SUBSTITUTE(K215,";",REPT(" ",99)),100,99)))+1,999),FIND(":",MID(TRIM(MID(SUBSTITUTE(K215,";",REPT(" ",99)),100,99)),FIND(":",TRIM(MID(SUBSTITUTE(K215,";",REPT(" ",99)),100,99)))+1,999))-1),_Lookup!$A:$B,2,FALSE),"?")&amp;"×"&amp;LEFT(MID(MID(TRIM(MID(SUBSTITUTE(K215,";",REPT(" ",99)),100,99)),FIND(":",TRIM(MID(SUBSTITUTE(K215,";",REPT(" ",99)),100,99)))+1,999),FIND(":",MID(TRIM(MID(SUBSTITUTE(K215,";",REPT(" ",99)),100,99)),FIND(":",TRIM(MID(SUBSTITUTE(K215,";",REPT(" ",99)),100,99)))+1,999))+1,999),FIND(":",MID(MID(TRIM(MID(SUBSTITUTE(K215,";",REPT(" ",99)),100,99)),FIND(":",TRIM(MID(SUBSTITUTE(K215,";",REPT(" ",99)),100,99)))+1,999),FIND(":",MID(TRIM(MID(SUBSTITUTE(K215,";",REPT(" ",99)),100,99)),FIND(":",TRIM(MID(SUBSTITUTE(K215,";",REPT(" ",99)),100,99)))+1,999))+1,999))-1)),IF(TRIM(MID(SUBSTITUTE(K215,";",REPT(" ",99)),199,99))="","",IFERROR(VLOOKUP(--LEFT(MID(TRIM(MID(SUBSTITUTE(K215,";",REPT(" ",99)),199,99)),FIND(":",TRIM(MID(SUBSTITUTE(K215,";",REPT(" ",99)),199,99)))+1,999),FIND(":",MID(TRIM(MID(SUBSTITUTE(K215,";",REPT(" ",99)),199,99)),FIND(":",TRIM(MID(SUBSTITUTE(K215,";",REPT(" ",99)),199,99)))+1,999))-1),_Lookup!$A:$B,2,FALSE),"?")&amp;"×"&amp;LEFT(MID(MID(TRIM(MID(SUBSTITUTE(K215,";",REPT(" ",99)),199,99)),FIND(":",TRIM(MID(SUBSTITUTE(K215,";",REPT(" ",99)),199,99)))+1,999),FIND(":",MID(TRIM(MID(SUBSTITUTE(K215,";",REPT(" ",99)),199,99)),FIND(":",TRIM(MID(SUBSTITUTE(K215,";",REPT(" ",99)),199,99)))+1,999))+1,999),FIND(":",MID(MID(TRIM(MID(SUBSTITUTE(K215,";",REPT(" ",99)),199,99)),FIND(":",TRIM(MID(SUBSTITUTE(K215,";",REPT(" ",99)),199,99)))+1,999),FIND(":",MID(TRIM(MID(SUBSTITUTE(K215,";",REPT(" ",99)),199,99)),FIND(":",TRIM(MID(SUBSTITUTE(K215,";",REPT(" ",99)),199,99)))+1,999))+1,999))-1)),IF(TRIM(MID(SUBSTITUTE(K215,";",REPT(" ",99)),298,99))="","",IFERROR(VLOOKUP(--LEFT(MID(TRIM(MID(SUBSTITUTE(K215,";",REPT(" ",99)),298,99)),FIND(":",TRIM(MID(SUBSTITUTE(K215,";",REPT(" ",99)),298,99)))+1,999),FIND(":",MID(TRIM(MID(SUBSTITUTE(K215,";",REPT(" ",99)),298,99)),FIND(":",TRIM(MID(SUBSTITUTE(K215,";",REPT(" ",99)),298,99)))+1,999))-1),_Lookup!$A:$B,2,FALSE),"?")&amp;"×"&amp;LEFT(MID(MID(TRIM(MID(SUBSTITUTE(K215,";",REPT(" ",99)),298,99)),FIND(":",TRIM(MID(SUBSTITUTE(K215,";",REPT(" ",99)),298,99)))+1,999),FIND(":",MID(TRIM(MID(SUBSTITUTE(K215,";",REPT(" ",99)),298,99)),FIND(":",TRIM(MID(SUBSTITUTE(K215,";",REPT(" ",99)),298,99)))+1,999))+1,999),FIND(":",MID(MID(TRIM(MID(SUBSTITUTE(K215,";",REPT(" ",99)),298,99)),FIND(":",TRIM(MID(SUBSTITUTE(K215,";",REPT(" ",99)),298,99)))+1,999),FIND(":",MID(TRIM(MID(SUBSTITUTE(K215,";",REPT(" ",99)),298,99)),FIND(":",TRIM(MID(SUBSTITUTE(K215,";",REPT(" ",99)),298,99)))+1,999))+1,999))-1)),IF(TRIM(MID(SUBSTITUTE(K215,";",REPT(" ",99)),397,99))="","",IFERROR(VLOOKUP(--LEFT(MID(TRIM(MID(SUBSTITUTE(K215,";",REPT(" ",99)),397,99)),FIND(":",TRIM(MID(SUBSTITUTE(K215,";",REPT(" ",99)),397,99)))+1,999),FIND(":",MID(TRIM(MID(SUBSTITUTE(K215,";",REPT(" ",99)),397,99)),FIND(":",TRIM(MID(SUBSTITUTE(K215,";",REPT(" ",99)),397,99)))+1,999))-1),_Lookup!$A:$B,2,FALSE),"?")&amp;"×"&amp;LEFT(MID(MID(TRIM(MID(SUBSTITUTE(K215,";",REPT(" ",99)),397,99)),FIND(":",TRIM(MID(SUBSTITUTE(K215,";",REPT(" ",99)),397,99)))+1,999),FIND(":",MID(TRIM(MID(SUBSTITUTE(K215,";",REPT(" ",99)),397,99)),FIND(":",TRIM(MID(SUBSTITUTE(K215,";",REPT(" ",99)),397,99)))+1,999))+1,999),FIND(":",MID(MID(TRIM(MID(SUBSTITUTE(K215,";",REPT(" ",99)),397,99)),FIND(":",TRIM(MID(SUBSTITUTE(K215,";",REPT(" ",99)),397,99)))+1,999),FIND(":",MID(TRIM(MID(SUBSTITUTE(K215,";",REPT(" ",99)),397,99)),FIND(":",TRIM(MID(SUBSTITUTE(K215,";",REPT(" ",99)),397,99)))+1,999))+1,999))-1))))</f>
        <v/>
      </c>
    </row>
    <row r="216">
      <c r="D216" s="11">
        <f>IFERROR(VLOOKUP(C216,ItemData_Fish!$A:$B,2,FALSE),"")</f>
        <v/>
      </c>
      <c r="L216" s="11">
        <f>IF(K216="","",TEXTJOIN("; ",TRUE,IF(TRIM(MID(SUBSTITUTE(K216,";",REPT(" ",99)),1,99))="","",IFERROR(VLOOKUP(--LEFT(MID(TRIM(MID(SUBSTITUTE(K216,";",REPT(" ",99)),1,99)),FIND(":",TRIM(MID(SUBSTITUTE(K216,";",REPT(" ",99)),1,99)))+1,999),FIND(":",MID(TRIM(MID(SUBSTITUTE(K216,";",REPT(" ",99)),1,99)),FIND(":",TRIM(MID(SUBSTITUTE(K216,";",REPT(" ",99)),1,99)))+1,999))-1),_Lookup!$A:$B,2,FALSE),"?")&amp;"×"&amp;LEFT(MID(MID(TRIM(MID(SUBSTITUTE(K216,";",REPT(" ",99)),1,99)),FIND(":",TRIM(MID(SUBSTITUTE(K216,";",REPT(" ",99)),1,99)))+1,999),FIND(":",MID(TRIM(MID(SUBSTITUTE(K216,";",REPT(" ",99)),1,99)),FIND(":",TRIM(MID(SUBSTITUTE(K216,";",REPT(" ",99)),1,99)))+1,999))+1,999),FIND(":",MID(MID(TRIM(MID(SUBSTITUTE(K216,";",REPT(" ",99)),1,99)),FIND(":",TRIM(MID(SUBSTITUTE(K216,";",REPT(" ",99)),1,99)))+1,999),FIND(":",MID(TRIM(MID(SUBSTITUTE(K216,";",REPT(" ",99)),1,99)),FIND(":",TRIM(MID(SUBSTITUTE(K216,";",REPT(" ",99)),1,99)))+1,999))+1,999))-1)),IF(TRIM(MID(SUBSTITUTE(K216,";",REPT(" ",99)),100,99))="","",IFERROR(VLOOKUP(--LEFT(MID(TRIM(MID(SUBSTITUTE(K216,";",REPT(" ",99)),100,99)),FIND(":",TRIM(MID(SUBSTITUTE(K216,";",REPT(" ",99)),100,99)))+1,999),FIND(":",MID(TRIM(MID(SUBSTITUTE(K216,";",REPT(" ",99)),100,99)),FIND(":",TRIM(MID(SUBSTITUTE(K216,";",REPT(" ",99)),100,99)))+1,999))-1),_Lookup!$A:$B,2,FALSE),"?")&amp;"×"&amp;LEFT(MID(MID(TRIM(MID(SUBSTITUTE(K216,";",REPT(" ",99)),100,99)),FIND(":",TRIM(MID(SUBSTITUTE(K216,";",REPT(" ",99)),100,99)))+1,999),FIND(":",MID(TRIM(MID(SUBSTITUTE(K216,";",REPT(" ",99)),100,99)),FIND(":",TRIM(MID(SUBSTITUTE(K216,";",REPT(" ",99)),100,99)))+1,999))+1,999),FIND(":",MID(MID(TRIM(MID(SUBSTITUTE(K216,";",REPT(" ",99)),100,99)),FIND(":",TRIM(MID(SUBSTITUTE(K216,";",REPT(" ",99)),100,99)))+1,999),FIND(":",MID(TRIM(MID(SUBSTITUTE(K216,";",REPT(" ",99)),100,99)),FIND(":",TRIM(MID(SUBSTITUTE(K216,";",REPT(" ",99)),100,99)))+1,999))+1,999))-1)),IF(TRIM(MID(SUBSTITUTE(K216,";",REPT(" ",99)),199,99))="","",IFERROR(VLOOKUP(--LEFT(MID(TRIM(MID(SUBSTITUTE(K216,";",REPT(" ",99)),199,99)),FIND(":",TRIM(MID(SUBSTITUTE(K216,";",REPT(" ",99)),199,99)))+1,999),FIND(":",MID(TRIM(MID(SUBSTITUTE(K216,";",REPT(" ",99)),199,99)),FIND(":",TRIM(MID(SUBSTITUTE(K216,";",REPT(" ",99)),199,99)))+1,999))-1),_Lookup!$A:$B,2,FALSE),"?")&amp;"×"&amp;LEFT(MID(MID(TRIM(MID(SUBSTITUTE(K216,";",REPT(" ",99)),199,99)),FIND(":",TRIM(MID(SUBSTITUTE(K216,";",REPT(" ",99)),199,99)))+1,999),FIND(":",MID(TRIM(MID(SUBSTITUTE(K216,";",REPT(" ",99)),199,99)),FIND(":",TRIM(MID(SUBSTITUTE(K216,";",REPT(" ",99)),199,99)))+1,999))+1,999),FIND(":",MID(MID(TRIM(MID(SUBSTITUTE(K216,";",REPT(" ",99)),199,99)),FIND(":",TRIM(MID(SUBSTITUTE(K216,";",REPT(" ",99)),199,99)))+1,999),FIND(":",MID(TRIM(MID(SUBSTITUTE(K216,";",REPT(" ",99)),199,99)),FIND(":",TRIM(MID(SUBSTITUTE(K216,";",REPT(" ",99)),199,99)))+1,999))+1,999))-1)),IF(TRIM(MID(SUBSTITUTE(K216,";",REPT(" ",99)),298,99))="","",IFERROR(VLOOKUP(--LEFT(MID(TRIM(MID(SUBSTITUTE(K216,";",REPT(" ",99)),298,99)),FIND(":",TRIM(MID(SUBSTITUTE(K216,";",REPT(" ",99)),298,99)))+1,999),FIND(":",MID(TRIM(MID(SUBSTITUTE(K216,";",REPT(" ",99)),298,99)),FIND(":",TRIM(MID(SUBSTITUTE(K216,";",REPT(" ",99)),298,99)))+1,999))-1),_Lookup!$A:$B,2,FALSE),"?")&amp;"×"&amp;LEFT(MID(MID(TRIM(MID(SUBSTITUTE(K216,";",REPT(" ",99)),298,99)),FIND(":",TRIM(MID(SUBSTITUTE(K216,";",REPT(" ",99)),298,99)))+1,999),FIND(":",MID(TRIM(MID(SUBSTITUTE(K216,";",REPT(" ",99)),298,99)),FIND(":",TRIM(MID(SUBSTITUTE(K216,";",REPT(" ",99)),298,99)))+1,999))+1,999),FIND(":",MID(MID(TRIM(MID(SUBSTITUTE(K216,";",REPT(" ",99)),298,99)),FIND(":",TRIM(MID(SUBSTITUTE(K216,";",REPT(" ",99)),298,99)))+1,999),FIND(":",MID(TRIM(MID(SUBSTITUTE(K216,";",REPT(" ",99)),298,99)),FIND(":",TRIM(MID(SUBSTITUTE(K216,";",REPT(" ",99)),298,99)))+1,999))+1,999))-1)),IF(TRIM(MID(SUBSTITUTE(K216,";",REPT(" ",99)),397,99))="","",IFERROR(VLOOKUP(--LEFT(MID(TRIM(MID(SUBSTITUTE(K216,";",REPT(" ",99)),397,99)),FIND(":",TRIM(MID(SUBSTITUTE(K216,";",REPT(" ",99)),397,99)))+1,999),FIND(":",MID(TRIM(MID(SUBSTITUTE(K216,";",REPT(" ",99)),397,99)),FIND(":",TRIM(MID(SUBSTITUTE(K216,";",REPT(" ",99)),397,99)))+1,999))-1),_Lookup!$A:$B,2,FALSE),"?")&amp;"×"&amp;LEFT(MID(MID(TRIM(MID(SUBSTITUTE(K216,";",REPT(" ",99)),397,99)),FIND(":",TRIM(MID(SUBSTITUTE(K216,";",REPT(" ",99)),397,99)))+1,999),FIND(":",MID(TRIM(MID(SUBSTITUTE(K216,";",REPT(" ",99)),397,99)),FIND(":",TRIM(MID(SUBSTITUTE(K216,";",REPT(" ",99)),397,99)))+1,999))+1,999),FIND(":",MID(MID(TRIM(MID(SUBSTITUTE(K216,";",REPT(" ",99)),397,99)),FIND(":",TRIM(MID(SUBSTITUTE(K216,";",REPT(" ",99)),397,99)))+1,999),FIND(":",MID(TRIM(MID(SUBSTITUTE(K216,";",REPT(" ",99)),397,99)),FIND(":",TRIM(MID(SUBSTITUTE(K216,";",REPT(" ",99)),397,99)))+1,999))+1,999))-1))))</f>
        <v/>
      </c>
    </row>
    <row r="217">
      <c r="D217" s="11">
        <f>IFERROR(VLOOKUP(C217,ItemData_Fish!$A:$B,2,FALSE),"")</f>
        <v/>
      </c>
      <c r="L217" s="11">
        <f>IF(K217="","",TEXTJOIN("; ",TRUE,IF(TRIM(MID(SUBSTITUTE(K217,";",REPT(" ",99)),1,99))="","",IFERROR(VLOOKUP(--LEFT(MID(TRIM(MID(SUBSTITUTE(K217,";",REPT(" ",99)),1,99)),FIND(":",TRIM(MID(SUBSTITUTE(K217,";",REPT(" ",99)),1,99)))+1,999),FIND(":",MID(TRIM(MID(SUBSTITUTE(K217,";",REPT(" ",99)),1,99)),FIND(":",TRIM(MID(SUBSTITUTE(K217,";",REPT(" ",99)),1,99)))+1,999))-1),_Lookup!$A:$B,2,FALSE),"?")&amp;"×"&amp;LEFT(MID(MID(TRIM(MID(SUBSTITUTE(K217,";",REPT(" ",99)),1,99)),FIND(":",TRIM(MID(SUBSTITUTE(K217,";",REPT(" ",99)),1,99)))+1,999),FIND(":",MID(TRIM(MID(SUBSTITUTE(K217,";",REPT(" ",99)),1,99)),FIND(":",TRIM(MID(SUBSTITUTE(K217,";",REPT(" ",99)),1,99)))+1,999))+1,999),FIND(":",MID(MID(TRIM(MID(SUBSTITUTE(K217,";",REPT(" ",99)),1,99)),FIND(":",TRIM(MID(SUBSTITUTE(K217,";",REPT(" ",99)),1,99)))+1,999),FIND(":",MID(TRIM(MID(SUBSTITUTE(K217,";",REPT(" ",99)),1,99)),FIND(":",TRIM(MID(SUBSTITUTE(K217,";",REPT(" ",99)),1,99)))+1,999))+1,999))-1)),IF(TRIM(MID(SUBSTITUTE(K217,";",REPT(" ",99)),100,99))="","",IFERROR(VLOOKUP(--LEFT(MID(TRIM(MID(SUBSTITUTE(K217,";",REPT(" ",99)),100,99)),FIND(":",TRIM(MID(SUBSTITUTE(K217,";",REPT(" ",99)),100,99)))+1,999),FIND(":",MID(TRIM(MID(SUBSTITUTE(K217,";",REPT(" ",99)),100,99)),FIND(":",TRIM(MID(SUBSTITUTE(K217,";",REPT(" ",99)),100,99)))+1,999))-1),_Lookup!$A:$B,2,FALSE),"?")&amp;"×"&amp;LEFT(MID(MID(TRIM(MID(SUBSTITUTE(K217,";",REPT(" ",99)),100,99)),FIND(":",TRIM(MID(SUBSTITUTE(K217,";",REPT(" ",99)),100,99)))+1,999),FIND(":",MID(TRIM(MID(SUBSTITUTE(K217,";",REPT(" ",99)),100,99)),FIND(":",TRIM(MID(SUBSTITUTE(K217,";",REPT(" ",99)),100,99)))+1,999))+1,999),FIND(":",MID(MID(TRIM(MID(SUBSTITUTE(K217,";",REPT(" ",99)),100,99)),FIND(":",TRIM(MID(SUBSTITUTE(K217,";",REPT(" ",99)),100,99)))+1,999),FIND(":",MID(TRIM(MID(SUBSTITUTE(K217,";",REPT(" ",99)),100,99)),FIND(":",TRIM(MID(SUBSTITUTE(K217,";",REPT(" ",99)),100,99)))+1,999))+1,999))-1)),IF(TRIM(MID(SUBSTITUTE(K217,";",REPT(" ",99)),199,99))="","",IFERROR(VLOOKUP(--LEFT(MID(TRIM(MID(SUBSTITUTE(K217,";",REPT(" ",99)),199,99)),FIND(":",TRIM(MID(SUBSTITUTE(K217,";",REPT(" ",99)),199,99)))+1,999),FIND(":",MID(TRIM(MID(SUBSTITUTE(K217,";",REPT(" ",99)),199,99)),FIND(":",TRIM(MID(SUBSTITUTE(K217,";",REPT(" ",99)),199,99)))+1,999))-1),_Lookup!$A:$B,2,FALSE),"?")&amp;"×"&amp;LEFT(MID(MID(TRIM(MID(SUBSTITUTE(K217,";",REPT(" ",99)),199,99)),FIND(":",TRIM(MID(SUBSTITUTE(K217,";",REPT(" ",99)),199,99)))+1,999),FIND(":",MID(TRIM(MID(SUBSTITUTE(K217,";",REPT(" ",99)),199,99)),FIND(":",TRIM(MID(SUBSTITUTE(K217,";",REPT(" ",99)),199,99)))+1,999))+1,999),FIND(":",MID(MID(TRIM(MID(SUBSTITUTE(K217,";",REPT(" ",99)),199,99)),FIND(":",TRIM(MID(SUBSTITUTE(K217,";",REPT(" ",99)),199,99)))+1,999),FIND(":",MID(TRIM(MID(SUBSTITUTE(K217,";",REPT(" ",99)),199,99)),FIND(":",TRIM(MID(SUBSTITUTE(K217,";",REPT(" ",99)),199,99)))+1,999))+1,999))-1)),IF(TRIM(MID(SUBSTITUTE(K217,";",REPT(" ",99)),298,99))="","",IFERROR(VLOOKUP(--LEFT(MID(TRIM(MID(SUBSTITUTE(K217,";",REPT(" ",99)),298,99)),FIND(":",TRIM(MID(SUBSTITUTE(K217,";",REPT(" ",99)),298,99)))+1,999),FIND(":",MID(TRIM(MID(SUBSTITUTE(K217,";",REPT(" ",99)),298,99)),FIND(":",TRIM(MID(SUBSTITUTE(K217,";",REPT(" ",99)),298,99)))+1,999))-1),_Lookup!$A:$B,2,FALSE),"?")&amp;"×"&amp;LEFT(MID(MID(TRIM(MID(SUBSTITUTE(K217,";",REPT(" ",99)),298,99)),FIND(":",TRIM(MID(SUBSTITUTE(K217,";",REPT(" ",99)),298,99)))+1,999),FIND(":",MID(TRIM(MID(SUBSTITUTE(K217,";",REPT(" ",99)),298,99)),FIND(":",TRIM(MID(SUBSTITUTE(K217,";",REPT(" ",99)),298,99)))+1,999))+1,999),FIND(":",MID(MID(TRIM(MID(SUBSTITUTE(K217,";",REPT(" ",99)),298,99)),FIND(":",TRIM(MID(SUBSTITUTE(K217,";",REPT(" ",99)),298,99)))+1,999),FIND(":",MID(TRIM(MID(SUBSTITUTE(K217,";",REPT(" ",99)),298,99)),FIND(":",TRIM(MID(SUBSTITUTE(K217,";",REPT(" ",99)),298,99)))+1,999))+1,999))-1)),IF(TRIM(MID(SUBSTITUTE(K217,";",REPT(" ",99)),397,99))="","",IFERROR(VLOOKUP(--LEFT(MID(TRIM(MID(SUBSTITUTE(K217,";",REPT(" ",99)),397,99)),FIND(":",TRIM(MID(SUBSTITUTE(K217,";",REPT(" ",99)),397,99)))+1,999),FIND(":",MID(TRIM(MID(SUBSTITUTE(K217,";",REPT(" ",99)),397,99)),FIND(":",TRIM(MID(SUBSTITUTE(K217,";",REPT(" ",99)),397,99)))+1,999))-1),_Lookup!$A:$B,2,FALSE),"?")&amp;"×"&amp;LEFT(MID(MID(TRIM(MID(SUBSTITUTE(K217,";",REPT(" ",99)),397,99)),FIND(":",TRIM(MID(SUBSTITUTE(K217,";",REPT(" ",99)),397,99)))+1,999),FIND(":",MID(TRIM(MID(SUBSTITUTE(K217,";",REPT(" ",99)),397,99)),FIND(":",TRIM(MID(SUBSTITUTE(K217,";",REPT(" ",99)),397,99)))+1,999))+1,999),FIND(":",MID(MID(TRIM(MID(SUBSTITUTE(K217,";",REPT(" ",99)),397,99)),FIND(":",TRIM(MID(SUBSTITUTE(K217,";",REPT(" ",99)),397,99)))+1,999),FIND(":",MID(TRIM(MID(SUBSTITUTE(K217,";",REPT(" ",99)),397,99)),FIND(":",TRIM(MID(SUBSTITUTE(K217,";",REPT(" ",99)),397,99)))+1,999))+1,999))-1))))</f>
        <v/>
      </c>
    </row>
    <row r="218">
      <c r="D218" s="11">
        <f>IFERROR(VLOOKUP(C218,ItemData_Fish!$A:$B,2,FALSE),"")</f>
        <v/>
      </c>
      <c r="L218" s="11">
        <f>IF(K218="","",TEXTJOIN("; ",TRUE,IF(TRIM(MID(SUBSTITUTE(K218,";",REPT(" ",99)),1,99))="","",IFERROR(VLOOKUP(--LEFT(MID(TRIM(MID(SUBSTITUTE(K218,";",REPT(" ",99)),1,99)),FIND(":",TRIM(MID(SUBSTITUTE(K218,";",REPT(" ",99)),1,99)))+1,999),FIND(":",MID(TRIM(MID(SUBSTITUTE(K218,";",REPT(" ",99)),1,99)),FIND(":",TRIM(MID(SUBSTITUTE(K218,";",REPT(" ",99)),1,99)))+1,999))-1),_Lookup!$A:$B,2,FALSE),"?")&amp;"×"&amp;LEFT(MID(MID(TRIM(MID(SUBSTITUTE(K218,";",REPT(" ",99)),1,99)),FIND(":",TRIM(MID(SUBSTITUTE(K218,";",REPT(" ",99)),1,99)))+1,999),FIND(":",MID(TRIM(MID(SUBSTITUTE(K218,";",REPT(" ",99)),1,99)),FIND(":",TRIM(MID(SUBSTITUTE(K218,";",REPT(" ",99)),1,99)))+1,999))+1,999),FIND(":",MID(MID(TRIM(MID(SUBSTITUTE(K218,";",REPT(" ",99)),1,99)),FIND(":",TRIM(MID(SUBSTITUTE(K218,";",REPT(" ",99)),1,99)))+1,999),FIND(":",MID(TRIM(MID(SUBSTITUTE(K218,";",REPT(" ",99)),1,99)),FIND(":",TRIM(MID(SUBSTITUTE(K218,";",REPT(" ",99)),1,99)))+1,999))+1,999))-1)),IF(TRIM(MID(SUBSTITUTE(K218,";",REPT(" ",99)),100,99))="","",IFERROR(VLOOKUP(--LEFT(MID(TRIM(MID(SUBSTITUTE(K218,";",REPT(" ",99)),100,99)),FIND(":",TRIM(MID(SUBSTITUTE(K218,";",REPT(" ",99)),100,99)))+1,999),FIND(":",MID(TRIM(MID(SUBSTITUTE(K218,";",REPT(" ",99)),100,99)),FIND(":",TRIM(MID(SUBSTITUTE(K218,";",REPT(" ",99)),100,99)))+1,999))-1),_Lookup!$A:$B,2,FALSE),"?")&amp;"×"&amp;LEFT(MID(MID(TRIM(MID(SUBSTITUTE(K218,";",REPT(" ",99)),100,99)),FIND(":",TRIM(MID(SUBSTITUTE(K218,";",REPT(" ",99)),100,99)))+1,999),FIND(":",MID(TRIM(MID(SUBSTITUTE(K218,";",REPT(" ",99)),100,99)),FIND(":",TRIM(MID(SUBSTITUTE(K218,";",REPT(" ",99)),100,99)))+1,999))+1,999),FIND(":",MID(MID(TRIM(MID(SUBSTITUTE(K218,";",REPT(" ",99)),100,99)),FIND(":",TRIM(MID(SUBSTITUTE(K218,";",REPT(" ",99)),100,99)))+1,999),FIND(":",MID(TRIM(MID(SUBSTITUTE(K218,";",REPT(" ",99)),100,99)),FIND(":",TRIM(MID(SUBSTITUTE(K218,";",REPT(" ",99)),100,99)))+1,999))+1,999))-1)),IF(TRIM(MID(SUBSTITUTE(K218,";",REPT(" ",99)),199,99))="","",IFERROR(VLOOKUP(--LEFT(MID(TRIM(MID(SUBSTITUTE(K218,";",REPT(" ",99)),199,99)),FIND(":",TRIM(MID(SUBSTITUTE(K218,";",REPT(" ",99)),199,99)))+1,999),FIND(":",MID(TRIM(MID(SUBSTITUTE(K218,";",REPT(" ",99)),199,99)),FIND(":",TRIM(MID(SUBSTITUTE(K218,";",REPT(" ",99)),199,99)))+1,999))-1),_Lookup!$A:$B,2,FALSE),"?")&amp;"×"&amp;LEFT(MID(MID(TRIM(MID(SUBSTITUTE(K218,";",REPT(" ",99)),199,99)),FIND(":",TRIM(MID(SUBSTITUTE(K218,";",REPT(" ",99)),199,99)))+1,999),FIND(":",MID(TRIM(MID(SUBSTITUTE(K218,";",REPT(" ",99)),199,99)),FIND(":",TRIM(MID(SUBSTITUTE(K218,";",REPT(" ",99)),199,99)))+1,999))+1,999),FIND(":",MID(MID(TRIM(MID(SUBSTITUTE(K218,";",REPT(" ",99)),199,99)),FIND(":",TRIM(MID(SUBSTITUTE(K218,";",REPT(" ",99)),199,99)))+1,999),FIND(":",MID(TRIM(MID(SUBSTITUTE(K218,";",REPT(" ",99)),199,99)),FIND(":",TRIM(MID(SUBSTITUTE(K218,";",REPT(" ",99)),199,99)))+1,999))+1,999))-1)),IF(TRIM(MID(SUBSTITUTE(K218,";",REPT(" ",99)),298,99))="","",IFERROR(VLOOKUP(--LEFT(MID(TRIM(MID(SUBSTITUTE(K218,";",REPT(" ",99)),298,99)),FIND(":",TRIM(MID(SUBSTITUTE(K218,";",REPT(" ",99)),298,99)))+1,999),FIND(":",MID(TRIM(MID(SUBSTITUTE(K218,";",REPT(" ",99)),298,99)),FIND(":",TRIM(MID(SUBSTITUTE(K218,";",REPT(" ",99)),298,99)))+1,999))-1),_Lookup!$A:$B,2,FALSE),"?")&amp;"×"&amp;LEFT(MID(MID(TRIM(MID(SUBSTITUTE(K218,";",REPT(" ",99)),298,99)),FIND(":",TRIM(MID(SUBSTITUTE(K218,";",REPT(" ",99)),298,99)))+1,999),FIND(":",MID(TRIM(MID(SUBSTITUTE(K218,";",REPT(" ",99)),298,99)),FIND(":",TRIM(MID(SUBSTITUTE(K218,";",REPT(" ",99)),298,99)))+1,999))+1,999),FIND(":",MID(MID(TRIM(MID(SUBSTITUTE(K218,";",REPT(" ",99)),298,99)),FIND(":",TRIM(MID(SUBSTITUTE(K218,";",REPT(" ",99)),298,99)))+1,999),FIND(":",MID(TRIM(MID(SUBSTITUTE(K218,";",REPT(" ",99)),298,99)),FIND(":",TRIM(MID(SUBSTITUTE(K218,";",REPT(" ",99)),298,99)))+1,999))+1,999))-1)),IF(TRIM(MID(SUBSTITUTE(K218,";",REPT(" ",99)),397,99))="","",IFERROR(VLOOKUP(--LEFT(MID(TRIM(MID(SUBSTITUTE(K218,";",REPT(" ",99)),397,99)),FIND(":",TRIM(MID(SUBSTITUTE(K218,";",REPT(" ",99)),397,99)))+1,999),FIND(":",MID(TRIM(MID(SUBSTITUTE(K218,";",REPT(" ",99)),397,99)),FIND(":",TRIM(MID(SUBSTITUTE(K218,";",REPT(" ",99)),397,99)))+1,999))-1),_Lookup!$A:$B,2,FALSE),"?")&amp;"×"&amp;LEFT(MID(MID(TRIM(MID(SUBSTITUTE(K218,";",REPT(" ",99)),397,99)),FIND(":",TRIM(MID(SUBSTITUTE(K218,";",REPT(" ",99)),397,99)))+1,999),FIND(":",MID(TRIM(MID(SUBSTITUTE(K218,";",REPT(" ",99)),397,99)),FIND(":",TRIM(MID(SUBSTITUTE(K218,";",REPT(" ",99)),397,99)))+1,999))+1,999),FIND(":",MID(MID(TRIM(MID(SUBSTITUTE(K218,";",REPT(" ",99)),397,99)),FIND(":",TRIM(MID(SUBSTITUTE(K218,";",REPT(" ",99)),397,99)))+1,999),FIND(":",MID(TRIM(MID(SUBSTITUTE(K218,";",REPT(" ",99)),397,99)),FIND(":",TRIM(MID(SUBSTITUTE(K218,";",REPT(" ",99)),397,99)))+1,999))+1,999))-1))))</f>
        <v/>
      </c>
    </row>
    <row r="219">
      <c r="D219" s="11">
        <f>IFERROR(VLOOKUP(C219,ItemData_Fish!$A:$B,2,FALSE),"")</f>
        <v/>
      </c>
      <c r="L219" s="11">
        <f>IF(K219="","",TEXTJOIN("; ",TRUE,IF(TRIM(MID(SUBSTITUTE(K219,";",REPT(" ",99)),1,99))="","",IFERROR(VLOOKUP(--LEFT(MID(TRIM(MID(SUBSTITUTE(K219,";",REPT(" ",99)),1,99)),FIND(":",TRIM(MID(SUBSTITUTE(K219,";",REPT(" ",99)),1,99)))+1,999),FIND(":",MID(TRIM(MID(SUBSTITUTE(K219,";",REPT(" ",99)),1,99)),FIND(":",TRIM(MID(SUBSTITUTE(K219,";",REPT(" ",99)),1,99)))+1,999))-1),_Lookup!$A:$B,2,FALSE),"?")&amp;"×"&amp;LEFT(MID(MID(TRIM(MID(SUBSTITUTE(K219,";",REPT(" ",99)),1,99)),FIND(":",TRIM(MID(SUBSTITUTE(K219,";",REPT(" ",99)),1,99)))+1,999),FIND(":",MID(TRIM(MID(SUBSTITUTE(K219,";",REPT(" ",99)),1,99)),FIND(":",TRIM(MID(SUBSTITUTE(K219,";",REPT(" ",99)),1,99)))+1,999))+1,999),FIND(":",MID(MID(TRIM(MID(SUBSTITUTE(K219,";",REPT(" ",99)),1,99)),FIND(":",TRIM(MID(SUBSTITUTE(K219,";",REPT(" ",99)),1,99)))+1,999),FIND(":",MID(TRIM(MID(SUBSTITUTE(K219,";",REPT(" ",99)),1,99)),FIND(":",TRIM(MID(SUBSTITUTE(K219,";",REPT(" ",99)),1,99)))+1,999))+1,999))-1)),IF(TRIM(MID(SUBSTITUTE(K219,";",REPT(" ",99)),100,99))="","",IFERROR(VLOOKUP(--LEFT(MID(TRIM(MID(SUBSTITUTE(K219,";",REPT(" ",99)),100,99)),FIND(":",TRIM(MID(SUBSTITUTE(K219,";",REPT(" ",99)),100,99)))+1,999),FIND(":",MID(TRIM(MID(SUBSTITUTE(K219,";",REPT(" ",99)),100,99)),FIND(":",TRIM(MID(SUBSTITUTE(K219,";",REPT(" ",99)),100,99)))+1,999))-1),_Lookup!$A:$B,2,FALSE),"?")&amp;"×"&amp;LEFT(MID(MID(TRIM(MID(SUBSTITUTE(K219,";",REPT(" ",99)),100,99)),FIND(":",TRIM(MID(SUBSTITUTE(K219,";",REPT(" ",99)),100,99)))+1,999),FIND(":",MID(TRIM(MID(SUBSTITUTE(K219,";",REPT(" ",99)),100,99)),FIND(":",TRIM(MID(SUBSTITUTE(K219,";",REPT(" ",99)),100,99)))+1,999))+1,999),FIND(":",MID(MID(TRIM(MID(SUBSTITUTE(K219,";",REPT(" ",99)),100,99)),FIND(":",TRIM(MID(SUBSTITUTE(K219,";",REPT(" ",99)),100,99)))+1,999),FIND(":",MID(TRIM(MID(SUBSTITUTE(K219,";",REPT(" ",99)),100,99)),FIND(":",TRIM(MID(SUBSTITUTE(K219,";",REPT(" ",99)),100,99)))+1,999))+1,999))-1)),IF(TRIM(MID(SUBSTITUTE(K219,";",REPT(" ",99)),199,99))="","",IFERROR(VLOOKUP(--LEFT(MID(TRIM(MID(SUBSTITUTE(K219,";",REPT(" ",99)),199,99)),FIND(":",TRIM(MID(SUBSTITUTE(K219,";",REPT(" ",99)),199,99)))+1,999),FIND(":",MID(TRIM(MID(SUBSTITUTE(K219,";",REPT(" ",99)),199,99)),FIND(":",TRIM(MID(SUBSTITUTE(K219,";",REPT(" ",99)),199,99)))+1,999))-1),_Lookup!$A:$B,2,FALSE),"?")&amp;"×"&amp;LEFT(MID(MID(TRIM(MID(SUBSTITUTE(K219,";",REPT(" ",99)),199,99)),FIND(":",TRIM(MID(SUBSTITUTE(K219,";",REPT(" ",99)),199,99)))+1,999),FIND(":",MID(TRIM(MID(SUBSTITUTE(K219,";",REPT(" ",99)),199,99)),FIND(":",TRIM(MID(SUBSTITUTE(K219,";",REPT(" ",99)),199,99)))+1,999))+1,999),FIND(":",MID(MID(TRIM(MID(SUBSTITUTE(K219,";",REPT(" ",99)),199,99)),FIND(":",TRIM(MID(SUBSTITUTE(K219,";",REPT(" ",99)),199,99)))+1,999),FIND(":",MID(TRIM(MID(SUBSTITUTE(K219,";",REPT(" ",99)),199,99)),FIND(":",TRIM(MID(SUBSTITUTE(K219,";",REPT(" ",99)),199,99)))+1,999))+1,999))-1)),IF(TRIM(MID(SUBSTITUTE(K219,";",REPT(" ",99)),298,99))="","",IFERROR(VLOOKUP(--LEFT(MID(TRIM(MID(SUBSTITUTE(K219,";",REPT(" ",99)),298,99)),FIND(":",TRIM(MID(SUBSTITUTE(K219,";",REPT(" ",99)),298,99)))+1,999),FIND(":",MID(TRIM(MID(SUBSTITUTE(K219,";",REPT(" ",99)),298,99)),FIND(":",TRIM(MID(SUBSTITUTE(K219,";",REPT(" ",99)),298,99)))+1,999))-1),_Lookup!$A:$B,2,FALSE),"?")&amp;"×"&amp;LEFT(MID(MID(TRIM(MID(SUBSTITUTE(K219,";",REPT(" ",99)),298,99)),FIND(":",TRIM(MID(SUBSTITUTE(K219,";",REPT(" ",99)),298,99)))+1,999),FIND(":",MID(TRIM(MID(SUBSTITUTE(K219,";",REPT(" ",99)),298,99)),FIND(":",TRIM(MID(SUBSTITUTE(K219,";",REPT(" ",99)),298,99)))+1,999))+1,999),FIND(":",MID(MID(TRIM(MID(SUBSTITUTE(K219,";",REPT(" ",99)),298,99)),FIND(":",TRIM(MID(SUBSTITUTE(K219,";",REPT(" ",99)),298,99)))+1,999),FIND(":",MID(TRIM(MID(SUBSTITUTE(K219,";",REPT(" ",99)),298,99)),FIND(":",TRIM(MID(SUBSTITUTE(K219,";",REPT(" ",99)),298,99)))+1,999))+1,999))-1)),IF(TRIM(MID(SUBSTITUTE(K219,";",REPT(" ",99)),397,99))="","",IFERROR(VLOOKUP(--LEFT(MID(TRIM(MID(SUBSTITUTE(K219,";",REPT(" ",99)),397,99)),FIND(":",TRIM(MID(SUBSTITUTE(K219,";",REPT(" ",99)),397,99)))+1,999),FIND(":",MID(TRIM(MID(SUBSTITUTE(K219,";",REPT(" ",99)),397,99)),FIND(":",TRIM(MID(SUBSTITUTE(K219,";",REPT(" ",99)),397,99)))+1,999))-1),_Lookup!$A:$B,2,FALSE),"?")&amp;"×"&amp;LEFT(MID(MID(TRIM(MID(SUBSTITUTE(K219,";",REPT(" ",99)),397,99)),FIND(":",TRIM(MID(SUBSTITUTE(K219,";",REPT(" ",99)),397,99)))+1,999),FIND(":",MID(TRIM(MID(SUBSTITUTE(K219,";",REPT(" ",99)),397,99)),FIND(":",TRIM(MID(SUBSTITUTE(K219,";",REPT(" ",99)),397,99)))+1,999))+1,999),FIND(":",MID(MID(TRIM(MID(SUBSTITUTE(K219,";",REPT(" ",99)),397,99)),FIND(":",TRIM(MID(SUBSTITUTE(K219,";",REPT(" ",99)),397,99)))+1,999),FIND(":",MID(TRIM(MID(SUBSTITUTE(K219,";",REPT(" ",99)),397,99)),FIND(":",TRIM(MID(SUBSTITUTE(K219,";",REPT(" ",99)),397,99)))+1,999))+1,999))-1))))</f>
        <v/>
      </c>
    </row>
    <row r="220">
      <c r="D220" s="11">
        <f>IFERROR(VLOOKUP(C220,ItemData_Fish!$A:$B,2,FALSE),"")</f>
        <v/>
      </c>
      <c r="L220" s="11">
        <f>IF(K220="","",TEXTJOIN("; ",TRUE,IF(TRIM(MID(SUBSTITUTE(K220,";",REPT(" ",99)),1,99))="","",IFERROR(VLOOKUP(--LEFT(MID(TRIM(MID(SUBSTITUTE(K220,";",REPT(" ",99)),1,99)),FIND(":",TRIM(MID(SUBSTITUTE(K220,";",REPT(" ",99)),1,99)))+1,999),FIND(":",MID(TRIM(MID(SUBSTITUTE(K220,";",REPT(" ",99)),1,99)),FIND(":",TRIM(MID(SUBSTITUTE(K220,";",REPT(" ",99)),1,99)))+1,999))-1),_Lookup!$A:$B,2,FALSE),"?")&amp;"×"&amp;LEFT(MID(MID(TRIM(MID(SUBSTITUTE(K220,";",REPT(" ",99)),1,99)),FIND(":",TRIM(MID(SUBSTITUTE(K220,";",REPT(" ",99)),1,99)))+1,999),FIND(":",MID(TRIM(MID(SUBSTITUTE(K220,";",REPT(" ",99)),1,99)),FIND(":",TRIM(MID(SUBSTITUTE(K220,";",REPT(" ",99)),1,99)))+1,999))+1,999),FIND(":",MID(MID(TRIM(MID(SUBSTITUTE(K220,";",REPT(" ",99)),1,99)),FIND(":",TRIM(MID(SUBSTITUTE(K220,";",REPT(" ",99)),1,99)))+1,999),FIND(":",MID(TRIM(MID(SUBSTITUTE(K220,";",REPT(" ",99)),1,99)),FIND(":",TRIM(MID(SUBSTITUTE(K220,";",REPT(" ",99)),1,99)))+1,999))+1,999))-1)),IF(TRIM(MID(SUBSTITUTE(K220,";",REPT(" ",99)),100,99))="","",IFERROR(VLOOKUP(--LEFT(MID(TRIM(MID(SUBSTITUTE(K220,";",REPT(" ",99)),100,99)),FIND(":",TRIM(MID(SUBSTITUTE(K220,";",REPT(" ",99)),100,99)))+1,999),FIND(":",MID(TRIM(MID(SUBSTITUTE(K220,";",REPT(" ",99)),100,99)),FIND(":",TRIM(MID(SUBSTITUTE(K220,";",REPT(" ",99)),100,99)))+1,999))-1),_Lookup!$A:$B,2,FALSE),"?")&amp;"×"&amp;LEFT(MID(MID(TRIM(MID(SUBSTITUTE(K220,";",REPT(" ",99)),100,99)),FIND(":",TRIM(MID(SUBSTITUTE(K220,";",REPT(" ",99)),100,99)))+1,999),FIND(":",MID(TRIM(MID(SUBSTITUTE(K220,";",REPT(" ",99)),100,99)),FIND(":",TRIM(MID(SUBSTITUTE(K220,";",REPT(" ",99)),100,99)))+1,999))+1,999),FIND(":",MID(MID(TRIM(MID(SUBSTITUTE(K220,";",REPT(" ",99)),100,99)),FIND(":",TRIM(MID(SUBSTITUTE(K220,";",REPT(" ",99)),100,99)))+1,999),FIND(":",MID(TRIM(MID(SUBSTITUTE(K220,";",REPT(" ",99)),100,99)),FIND(":",TRIM(MID(SUBSTITUTE(K220,";",REPT(" ",99)),100,99)))+1,999))+1,999))-1)),IF(TRIM(MID(SUBSTITUTE(K220,";",REPT(" ",99)),199,99))="","",IFERROR(VLOOKUP(--LEFT(MID(TRIM(MID(SUBSTITUTE(K220,";",REPT(" ",99)),199,99)),FIND(":",TRIM(MID(SUBSTITUTE(K220,";",REPT(" ",99)),199,99)))+1,999),FIND(":",MID(TRIM(MID(SUBSTITUTE(K220,";",REPT(" ",99)),199,99)),FIND(":",TRIM(MID(SUBSTITUTE(K220,";",REPT(" ",99)),199,99)))+1,999))-1),_Lookup!$A:$B,2,FALSE),"?")&amp;"×"&amp;LEFT(MID(MID(TRIM(MID(SUBSTITUTE(K220,";",REPT(" ",99)),199,99)),FIND(":",TRIM(MID(SUBSTITUTE(K220,";",REPT(" ",99)),199,99)))+1,999),FIND(":",MID(TRIM(MID(SUBSTITUTE(K220,";",REPT(" ",99)),199,99)),FIND(":",TRIM(MID(SUBSTITUTE(K220,";",REPT(" ",99)),199,99)))+1,999))+1,999),FIND(":",MID(MID(TRIM(MID(SUBSTITUTE(K220,";",REPT(" ",99)),199,99)),FIND(":",TRIM(MID(SUBSTITUTE(K220,";",REPT(" ",99)),199,99)))+1,999),FIND(":",MID(TRIM(MID(SUBSTITUTE(K220,";",REPT(" ",99)),199,99)),FIND(":",TRIM(MID(SUBSTITUTE(K220,";",REPT(" ",99)),199,99)))+1,999))+1,999))-1)),IF(TRIM(MID(SUBSTITUTE(K220,";",REPT(" ",99)),298,99))="","",IFERROR(VLOOKUP(--LEFT(MID(TRIM(MID(SUBSTITUTE(K220,";",REPT(" ",99)),298,99)),FIND(":",TRIM(MID(SUBSTITUTE(K220,";",REPT(" ",99)),298,99)))+1,999),FIND(":",MID(TRIM(MID(SUBSTITUTE(K220,";",REPT(" ",99)),298,99)),FIND(":",TRIM(MID(SUBSTITUTE(K220,";",REPT(" ",99)),298,99)))+1,999))-1),_Lookup!$A:$B,2,FALSE),"?")&amp;"×"&amp;LEFT(MID(MID(TRIM(MID(SUBSTITUTE(K220,";",REPT(" ",99)),298,99)),FIND(":",TRIM(MID(SUBSTITUTE(K220,";",REPT(" ",99)),298,99)))+1,999),FIND(":",MID(TRIM(MID(SUBSTITUTE(K220,";",REPT(" ",99)),298,99)),FIND(":",TRIM(MID(SUBSTITUTE(K220,";",REPT(" ",99)),298,99)))+1,999))+1,999),FIND(":",MID(MID(TRIM(MID(SUBSTITUTE(K220,";",REPT(" ",99)),298,99)),FIND(":",TRIM(MID(SUBSTITUTE(K220,";",REPT(" ",99)),298,99)))+1,999),FIND(":",MID(TRIM(MID(SUBSTITUTE(K220,";",REPT(" ",99)),298,99)),FIND(":",TRIM(MID(SUBSTITUTE(K220,";",REPT(" ",99)),298,99)))+1,999))+1,999))-1)),IF(TRIM(MID(SUBSTITUTE(K220,";",REPT(" ",99)),397,99))="","",IFERROR(VLOOKUP(--LEFT(MID(TRIM(MID(SUBSTITUTE(K220,";",REPT(" ",99)),397,99)),FIND(":",TRIM(MID(SUBSTITUTE(K220,";",REPT(" ",99)),397,99)))+1,999),FIND(":",MID(TRIM(MID(SUBSTITUTE(K220,";",REPT(" ",99)),397,99)),FIND(":",TRIM(MID(SUBSTITUTE(K220,";",REPT(" ",99)),397,99)))+1,999))-1),_Lookup!$A:$B,2,FALSE),"?")&amp;"×"&amp;LEFT(MID(MID(TRIM(MID(SUBSTITUTE(K220,";",REPT(" ",99)),397,99)),FIND(":",TRIM(MID(SUBSTITUTE(K220,";",REPT(" ",99)),397,99)))+1,999),FIND(":",MID(TRIM(MID(SUBSTITUTE(K220,";",REPT(" ",99)),397,99)),FIND(":",TRIM(MID(SUBSTITUTE(K220,";",REPT(" ",99)),397,99)))+1,999))+1,999),FIND(":",MID(MID(TRIM(MID(SUBSTITUTE(K220,";",REPT(" ",99)),397,99)),FIND(":",TRIM(MID(SUBSTITUTE(K220,";",REPT(" ",99)),397,99)))+1,999),FIND(":",MID(TRIM(MID(SUBSTITUTE(K220,";",REPT(" ",99)),397,99)),FIND(":",TRIM(MID(SUBSTITUTE(K220,";",REPT(" ",99)),397,99)))+1,999))+1,999))-1))))</f>
        <v/>
      </c>
    </row>
    <row r="221">
      <c r="D221" s="11">
        <f>IFERROR(VLOOKUP(C221,ItemData_Fish!$A:$B,2,FALSE),"")</f>
        <v/>
      </c>
      <c r="L221" s="11">
        <f>IF(K221="","",TEXTJOIN("; ",TRUE,IF(TRIM(MID(SUBSTITUTE(K221,";",REPT(" ",99)),1,99))="","",IFERROR(VLOOKUP(--LEFT(MID(TRIM(MID(SUBSTITUTE(K221,";",REPT(" ",99)),1,99)),FIND(":",TRIM(MID(SUBSTITUTE(K221,";",REPT(" ",99)),1,99)))+1,999),FIND(":",MID(TRIM(MID(SUBSTITUTE(K221,";",REPT(" ",99)),1,99)),FIND(":",TRIM(MID(SUBSTITUTE(K221,";",REPT(" ",99)),1,99)))+1,999))-1),_Lookup!$A:$B,2,FALSE),"?")&amp;"×"&amp;LEFT(MID(MID(TRIM(MID(SUBSTITUTE(K221,";",REPT(" ",99)),1,99)),FIND(":",TRIM(MID(SUBSTITUTE(K221,";",REPT(" ",99)),1,99)))+1,999),FIND(":",MID(TRIM(MID(SUBSTITUTE(K221,";",REPT(" ",99)),1,99)),FIND(":",TRIM(MID(SUBSTITUTE(K221,";",REPT(" ",99)),1,99)))+1,999))+1,999),FIND(":",MID(MID(TRIM(MID(SUBSTITUTE(K221,";",REPT(" ",99)),1,99)),FIND(":",TRIM(MID(SUBSTITUTE(K221,";",REPT(" ",99)),1,99)))+1,999),FIND(":",MID(TRIM(MID(SUBSTITUTE(K221,";",REPT(" ",99)),1,99)),FIND(":",TRIM(MID(SUBSTITUTE(K221,";",REPT(" ",99)),1,99)))+1,999))+1,999))-1)),IF(TRIM(MID(SUBSTITUTE(K221,";",REPT(" ",99)),100,99))="","",IFERROR(VLOOKUP(--LEFT(MID(TRIM(MID(SUBSTITUTE(K221,";",REPT(" ",99)),100,99)),FIND(":",TRIM(MID(SUBSTITUTE(K221,";",REPT(" ",99)),100,99)))+1,999),FIND(":",MID(TRIM(MID(SUBSTITUTE(K221,";",REPT(" ",99)),100,99)),FIND(":",TRIM(MID(SUBSTITUTE(K221,";",REPT(" ",99)),100,99)))+1,999))-1),_Lookup!$A:$B,2,FALSE),"?")&amp;"×"&amp;LEFT(MID(MID(TRIM(MID(SUBSTITUTE(K221,";",REPT(" ",99)),100,99)),FIND(":",TRIM(MID(SUBSTITUTE(K221,";",REPT(" ",99)),100,99)))+1,999),FIND(":",MID(TRIM(MID(SUBSTITUTE(K221,";",REPT(" ",99)),100,99)),FIND(":",TRIM(MID(SUBSTITUTE(K221,";",REPT(" ",99)),100,99)))+1,999))+1,999),FIND(":",MID(MID(TRIM(MID(SUBSTITUTE(K221,";",REPT(" ",99)),100,99)),FIND(":",TRIM(MID(SUBSTITUTE(K221,";",REPT(" ",99)),100,99)))+1,999),FIND(":",MID(TRIM(MID(SUBSTITUTE(K221,";",REPT(" ",99)),100,99)),FIND(":",TRIM(MID(SUBSTITUTE(K221,";",REPT(" ",99)),100,99)))+1,999))+1,999))-1)),IF(TRIM(MID(SUBSTITUTE(K221,";",REPT(" ",99)),199,99))="","",IFERROR(VLOOKUP(--LEFT(MID(TRIM(MID(SUBSTITUTE(K221,";",REPT(" ",99)),199,99)),FIND(":",TRIM(MID(SUBSTITUTE(K221,";",REPT(" ",99)),199,99)))+1,999),FIND(":",MID(TRIM(MID(SUBSTITUTE(K221,";",REPT(" ",99)),199,99)),FIND(":",TRIM(MID(SUBSTITUTE(K221,";",REPT(" ",99)),199,99)))+1,999))-1),_Lookup!$A:$B,2,FALSE),"?")&amp;"×"&amp;LEFT(MID(MID(TRIM(MID(SUBSTITUTE(K221,";",REPT(" ",99)),199,99)),FIND(":",TRIM(MID(SUBSTITUTE(K221,";",REPT(" ",99)),199,99)))+1,999),FIND(":",MID(TRIM(MID(SUBSTITUTE(K221,";",REPT(" ",99)),199,99)),FIND(":",TRIM(MID(SUBSTITUTE(K221,";",REPT(" ",99)),199,99)))+1,999))+1,999),FIND(":",MID(MID(TRIM(MID(SUBSTITUTE(K221,";",REPT(" ",99)),199,99)),FIND(":",TRIM(MID(SUBSTITUTE(K221,";",REPT(" ",99)),199,99)))+1,999),FIND(":",MID(TRIM(MID(SUBSTITUTE(K221,";",REPT(" ",99)),199,99)),FIND(":",TRIM(MID(SUBSTITUTE(K221,";",REPT(" ",99)),199,99)))+1,999))+1,999))-1)),IF(TRIM(MID(SUBSTITUTE(K221,";",REPT(" ",99)),298,99))="","",IFERROR(VLOOKUP(--LEFT(MID(TRIM(MID(SUBSTITUTE(K221,";",REPT(" ",99)),298,99)),FIND(":",TRIM(MID(SUBSTITUTE(K221,";",REPT(" ",99)),298,99)))+1,999),FIND(":",MID(TRIM(MID(SUBSTITUTE(K221,";",REPT(" ",99)),298,99)),FIND(":",TRIM(MID(SUBSTITUTE(K221,";",REPT(" ",99)),298,99)))+1,999))-1),_Lookup!$A:$B,2,FALSE),"?")&amp;"×"&amp;LEFT(MID(MID(TRIM(MID(SUBSTITUTE(K221,";",REPT(" ",99)),298,99)),FIND(":",TRIM(MID(SUBSTITUTE(K221,";",REPT(" ",99)),298,99)))+1,999),FIND(":",MID(TRIM(MID(SUBSTITUTE(K221,";",REPT(" ",99)),298,99)),FIND(":",TRIM(MID(SUBSTITUTE(K221,";",REPT(" ",99)),298,99)))+1,999))+1,999),FIND(":",MID(MID(TRIM(MID(SUBSTITUTE(K221,";",REPT(" ",99)),298,99)),FIND(":",TRIM(MID(SUBSTITUTE(K221,";",REPT(" ",99)),298,99)))+1,999),FIND(":",MID(TRIM(MID(SUBSTITUTE(K221,";",REPT(" ",99)),298,99)),FIND(":",TRIM(MID(SUBSTITUTE(K221,";",REPT(" ",99)),298,99)))+1,999))+1,999))-1)),IF(TRIM(MID(SUBSTITUTE(K221,";",REPT(" ",99)),397,99))="","",IFERROR(VLOOKUP(--LEFT(MID(TRIM(MID(SUBSTITUTE(K221,";",REPT(" ",99)),397,99)),FIND(":",TRIM(MID(SUBSTITUTE(K221,";",REPT(" ",99)),397,99)))+1,999),FIND(":",MID(TRIM(MID(SUBSTITUTE(K221,";",REPT(" ",99)),397,99)),FIND(":",TRIM(MID(SUBSTITUTE(K221,";",REPT(" ",99)),397,99)))+1,999))-1),_Lookup!$A:$B,2,FALSE),"?")&amp;"×"&amp;LEFT(MID(MID(TRIM(MID(SUBSTITUTE(K221,";",REPT(" ",99)),397,99)),FIND(":",TRIM(MID(SUBSTITUTE(K221,";",REPT(" ",99)),397,99)))+1,999),FIND(":",MID(TRIM(MID(SUBSTITUTE(K221,";",REPT(" ",99)),397,99)),FIND(":",TRIM(MID(SUBSTITUTE(K221,";",REPT(" ",99)),397,99)))+1,999))+1,999),FIND(":",MID(MID(TRIM(MID(SUBSTITUTE(K221,";",REPT(" ",99)),397,99)),FIND(":",TRIM(MID(SUBSTITUTE(K221,";",REPT(" ",99)),397,99)))+1,999),FIND(":",MID(TRIM(MID(SUBSTITUTE(K221,";",REPT(" ",99)),397,99)),FIND(":",TRIM(MID(SUBSTITUTE(K221,";",REPT(" ",99)),397,99)))+1,999))+1,999))-1))))</f>
        <v/>
      </c>
    </row>
    <row r="222">
      <c r="D222" s="11">
        <f>IFERROR(VLOOKUP(C222,ItemData_Fish!$A:$B,2,FALSE),"")</f>
        <v/>
      </c>
      <c r="L222" s="11">
        <f>IF(K222="","",TEXTJOIN("; ",TRUE,IF(TRIM(MID(SUBSTITUTE(K222,";",REPT(" ",99)),1,99))="","",IFERROR(VLOOKUP(--LEFT(MID(TRIM(MID(SUBSTITUTE(K222,";",REPT(" ",99)),1,99)),FIND(":",TRIM(MID(SUBSTITUTE(K222,";",REPT(" ",99)),1,99)))+1,999),FIND(":",MID(TRIM(MID(SUBSTITUTE(K222,";",REPT(" ",99)),1,99)),FIND(":",TRIM(MID(SUBSTITUTE(K222,";",REPT(" ",99)),1,99)))+1,999))-1),_Lookup!$A:$B,2,FALSE),"?")&amp;"×"&amp;LEFT(MID(MID(TRIM(MID(SUBSTITUTE(K222,";",REPT(" ",99)),1,99)),FIND(":",TRIM(MID(SUBSTITUTE(K222,";",REPT(" ",99)),1,99)))+1,999),FIND(":",MID(TRIM(MID(SUBSTITUTE(K222,";",REPT(" ",99)),1,99)),FIND(":",TRIM(MID(SUBSTITUTE(K222,";",REPT(" ",99)),1,99)))+1,999))+1,999),FIND(":",MID(MID(TRIM(MID(SUBSTITUTE(K222,";",REPT(" ",99)),1,99)),FIND(":",TRIM(MID(SUBSTITUTE(K222,";",REPT(" ",99)),1,99)))+1,999),FIND(":",MID(TRIM(MID(SUBSTITUTE(K222,";",REPT(" ",99)),1,99)),FIND(":",TRIM(MID(SUBSTITUTE(K222,";",REPT(" ",99)),1,99)))+1,999))+1,999))-1)),IF(TRIM(MID(SUBSTITUTE(K222,";",REPT(" ",99)),100,99))="","",IFERROR(VLOOKUP(--LEFT(MID(TRIM(MID(SUBSTITUTE(K222,";",REPT(" ",99)),100,99)),FIND(":",TRIM(MID(SUBSTITUTE(K222,";",REPT(" ",99)),100,99)))+1,999),FIND(":",MID(TRIM(MID(SUBSTITUTE(K222,";",REPT(" ",99)),100,99)),FIND(":",TRIM(MID(SUBSTITUTE(K222,";",REPT(" ",99)),100,99)))+1,999))-1),_Lookup!$A:$B,2,FALSE),"?")&amp;"×"&amp;LEFT(MID(MID(TRIM(MID(SUBSTITUTE(K222,";",REPT(" ",99)),100,99)),FIND(":",TRIM(MID(SUBSTITUTE(K222,";",REPT(" ",99)),100,99)))+1,999),FIND(":",MID(TRIM(MID(SUBSTITUTE(K222,";",REPT(" ",99)),100,99)),FIND(":",TRIM(MID(SUBSTITUTE(K222,";",REPT(" ",99)),100,99)))+1,999))+1,999),FIND(":",MID(MID(TRIM(MID(SUBSTITUTE(K222,";",REPT(" ",99)),100,99)),FIND(":",TRIM(MID(SUBSTITUTE(K222,";",REPT(" ",99)),100,99)))+1,999),FIND(":",MID(TRIM(MID(SUBSTITUTE(K222,";",REPT(" ",99)),100,99)),FIND(":",TRIM(MID(SUBSTITUTE(K222,";",REPT(" ",99)),100,99)))+1,999))+1,999))-1)),IF(TRIM(MID(SUBSTITUTE(K222,";",REPT(" ",99)),199,99))="","",IFERROR(VLOOKUP(--LEFT(MID(TRIM(MID(SUBSTITUTE(K222,";",REPT(" ",99)),199,99)),FIND(":",TRIM(MID(SUBSTITUTE(K222,";",REPT(" ",99)),199,99)))+1,999),FIND(":",MID(TRIM(MID(SUBSTITUTE(K222,";",REPT(" ",99)),199,99)),FIND(":",TRIM(MID(SUBSTITUTE(K222,";",REPT(" ",99)),199,99)))+1,999))-1),_Lookup!$A:$B,2,FALSE),"?")&amp;"×"&amp;LEFT(MID(MID(TRIM(MID(SUBSTITUTE(K222,";",REPT(" ",99)),199,99)),FIND(":",TRIM(MID(SUBSTITUTE(K222,";",REPT(" ",99)),199,99)))+1,999),FIND(":",MID(TRIM(MID(SUBSTITUTE(K222,";",REPT(" ",99)),199,99)),FIND(":",TRIM(MID(SUBSTITUTE(K222,";",REPT(" ",99)),199,99)))+1,999))+1,999),FIND(":",MID(MID(TRIM(MID(SUBSTITUTE(K222,";",REPT(" ",99)),199,99)),FIND(":",TRIM(MID(SUBSTITUTE(K222,";",REPT(" ",99)),199,99)))+1,999),FIND(":",MID(TRIM(MID(SUBSTITUTE(K222,";",REPT(" ",99)),199,99)),FIND(":",TRIM(MID(SUBSTITUTE(K222,";",REPT(" ",99)),199,99)))+1,999))+1,999))-1)),IF(TRIM(MID(SUBSTITUTE(K222,";",REPT(" ",99)),298,99))="","",IFERROR(VLOOKUP(--LEFT(MID(TRIM(MID(SUBSTITUTE(K222,";",REPT(" ",99)),298,99)),FIND(":",TRIM(MID(SUBSTITUTE(K222,";",REPT(" ",99)),298,99)))+1,999),FIND(":",MID(TRIM(MID(SUBSTITUTE(K222,";",REPT(" ",99)),298,99)),FIND(":",TRIM(MID(SUBSTITUTE(K222,";",REPT(" ",99)),298,99)))+1,999))-1),_Lookup!$A:$B,2,FALSE),"?")&amp;"×"&amp;LEFT(MID(MID(TRIM(MID(SUBSTITUTE(K222,";",REPT(" ",99)),298,99)),FIND(":",TRIM(MID(SUBSTITUTE(K222,";",REPT(" ",99)),298,99)))+1,999),FIND(":",MID(TRIM(MID(SUBSTITUTE(K222,";",REPT(" ",99)),298,99)),FIND(":",TRIM(MID(SUBSTITUTE(K222,";",REPT(" ",99)),298,99)))+1,999))+1,999),FIND(":",MID(MID(TRIM(MID(SUBSTITUTE(K222,";",REPT(" ",99)),298,99)),FIND(":",TRIM(MID(SUBSTITUTE(K222,";",REPT(" ",99)),298,99)))+1,999),FIND(":",MID(TRIM(MID(SUBSTITUTE(K222,";",REPT(" ",99)),298,99)),FIND(":",TRIM(MID(SUBSTITUTE(K222,";",REPT(" ",99)),298,99)))+1,999))+1,999))-1)),IF(TRIM(MID(SUBSTITUTE(K222,";",REPT(" ",99)),397,99))="","",IFERROR(VLOOKUP(--LEFT(MID(TRIM(MID(SUBSTITUTE(K222,";",REPT(" ",99)),397,99)),FIND(":",TRIM(MID(SUBSTITUTE(K222,";",REPT(" ",99)),397,99)))+1,999),FIND(":",MID(TRIM(MID(SUBSTITUTE(K222,";",REPT(" ",99)),397,99)),FIND(":",TRIM(MID(SUBSTITUTE(K222,";",REPT(" ",99)),397,99)))+1,999))-1),_Lookup!$A:$B,2,FALSE),"?")&amp;"×"&amp;LEFT(MID(MID(TRIM(MID(SUBSTITUTE(K222,";",REPT(" ",99)),397,99)),FIND(":",TRIM(MID(SUBSTITUTE(K222,";",REPT(" ",99)),397,99)))+1,999),FIND(":",MID(TRIM(MID(SUBSTITUTE(K222,";",REPT(" ",99)),397,99)),FIND(":",TRIM(MID(SUBSTITUTE(K222,";",REPT(" ",99)),397,99)))+1,999))+1,999),FIND(":",MID(MID(TRIM(MID(SUBSTITUTE(K222,";",REPT(" ",99)),397,99)),FIND(":",TRIM(MID(SUBSTITUTE(K222,";",REPT(" ",99)),397,99)))+1,999),FIND(":",MID(TRIM(MID(SUBSTITUTE(K222,";",REPT(" ",99)),397,99)),FIND(":",TRIM(MID(SUBSTITUTE(K222,";",REPT(" ",99)),397,99)))+1,999))+1,999))-1))))</f>
        <v/>
      </c>
    </row>
    <row r="223">
      <c r="D223" s="11">
        <f>IFERROR(VLOOKUP(C223,ItemData_Fish!$A:$B,2,FALSE),"")</f>
        <v/>
      </c>
      <c r="L223" s="11">
        <f>IF(K223="","",TEXTJOIN("; ",TRUE,IF(TRIM(MID(SUBSTITUTE(K223,";",REPT(" ",99)),1,99))="","",IFERROR(VLOOKUP(--LEFT(MID(TRIM(MID(SUBSTITUTE(K223,";",REPT(" ",99)),1,99)),FIND(":",TRIM(MID(SUBSTITUTE(K223,";",REPT(" ",99)),1,99)))+1,999),FIND(":",MID(TRIM(MID(SUBSTITUTE(K223,";",REPT(" ",99)),1,99)),FIND(":",TRIM(MID(SUBSTITUTE(K223,";",REPT(" ",99)),1,99)))+1,999))-1),_Lookup!$A:$B,2,FALSE),"?")&amp;"×"&amp;LEFT(MID(MID(TRIM(MID(SUBSTITUTE(K223,";",REPT(" ",99)),1,99)),FIND(":",TRIM(MID(SUBSTITUTE(K223,";",REPT(" ",99)),1,99)))+1,999),FIND(":",MID(TRIM(MID(SUBSTITUTE(K223,";",REPT(" ",99)),1,99)),FIND(":",TRIM(MID(SUBSTITUTE(K223,";",REPT(" ",99)),1,99)))+1,999))+1,999),FIND(":",MID(MID(TRIM(MID(SUBSTITUTE(K223,";",REPT(" ",99)),1,99)),FIND(":",TRIM(MID(SUBSTITUTE(K223,";",REPT(" ",99)),1,99)))+1,999),FIND(":",MID(TRIM(MID(SUBSTITUTE(K223,";",REPT(" ",99)),1,99)),FIND(":",TRIM(MID(SUBSTITUTE(K223,";",REPT(" ",99)),1,99)))+1,999))+1,999))-1)),IF(TRIM(MID(SUBSTITUTE(K223,";",REPT(" ",99)),100,99))="","",IFERROR(VLOOKUP(--LEFT(MID(TRIM(MID(SUBSTITUTE(K223,";",REPT(" ",99)),100,99)),FIND(":",TRIM(MID(SUBSTITUTE(K223,";",REPT(" ",99)),100,99)))+1,999),FIND(":",MID(TRIM(MID(SUBSTITUTE(K223,";",REPT(" ",99)),100,99)),FIND(":",TRIM(MID(SUBSTITUTE(K223,";",REPT(" ",99)),100,99)))+1,999))-1),_Lookup!$A:$B,2,FALSE),"?")&amp;"×"&amp;LEFT(MID(MID(TRIM(MID(SUBSTITUTE(K223,";",REPT(" ",99)),100,99)),FIND(":",TRIM(MID(SUBSTITUTE(K223,";",REPT(" ",99)),100,99)))+1,999),FIND(":",MID(TRIM(MID(SUBSTITUTE(K223,";",REPT(" ",99)),100,99)),FIND(":",TRIM(MID(SUBSTITUTE(K223,";",REPT(" ",99)),100,99)))+1,999))+1,999),FIND(":",MID(MID(TRIM(MID(SUBSTITUTE(K223,";",REPT(" ",99)),100,99)),FIND(":",TRIM(MID(SUBSTITUTE(K223,";",REPT(" ",99)),100,99)))+1,999),FIND(":",MID(TRIM(MID(SUBSTITUTE(K223,";",REPT(" ",99)),100,99)),FIND(":",TRIM(MID(SUBSTITUTE(K223,";",REPT(" ",99)),100,99)))+1,999))+1,999))-1)),IF(TRIM(MID(SUBSTITUTE(K223,";",REPT(" ",99)),199,99))="","",IFERROR(VLOOKUP(--LEFT(MID(TRIM(MID(SUBSTITUTE(K223,";",REPT(" ",99)),199,99)),FIND(":",TRIM(MID(SUBSTITUTE(K223,";",REPT(" ",99)),199,99)))+1,999),FIND(":",MID(TRIM(MID(SUBSTITUTE(K223,";",REPT(" ",99)),199,99)),FIND(":",TRIM(MID(SUBSTITUTE(K223,";",REPT(" ",99)),199,99)))+1,999))-1),_Lookup!$A:$B,2,FALSE),"?")&amp;"×"&amp;LEFT(MID(MID(TRIM(MID(SUBSTITUTE(K223,";",REPT(" ",99)),199,99)),FIND(":",TRIM(MID(SUBSTITUTE(K223,";",REPT(" ",99)),199,99)))+1,999),FIND(":",MID(TRIM(MID(SUBSTITUTE(K223,";",REPT(" ",99)),199,99)),FIND(":",TRIM(MID(SUBSTITUTE(K223,";",REPT(" ",99)),199,99)))+1,999))+1,999),FIND(":",MID(MID(TRIM(MID(SUBSTITUTE(K223,";",REPT(" ",99)),199,99)),FIND(":",TRIM(MID(SUBSTITUTE(K223,";",REPT(" ",99)),199,99)))+1,999),FIND(":",MID(TRIM(MID(SUBSTITUTE(K223,";",REPT(" ",99)),199,99)),FIND(":",TRIM(MID(SUBSTITUTE(K223,";",REPT(" ",99)),199,99)))+1,999))+1,999))-1)),IF(TRIM(MID(SUBSTITUTE(K223,";",REPT(" ",99)),298,99))="","",IFERROR(VLOOKUP(--LEFT(MID(TRIM(MID(SUBSTITUTE(K223,";",REPT(" ",99)),298,99)),FIND(":",TRIM(MID(SUBSTITUTE(K223,";",REPT(" ",99)),298,99)))+1,999),FIND(":",MID(TRIM(MID(SUBSTITUTE(K223,";",REPT(" ",99)),298,99)),FIND(":",TRIM(MID(SUBSTITUTE(K223,";",REPT(" ",99)),298,99)))+1,999))-1),_Lookup!$A:$B,2,FALSE),"?")&amp;"×"&amp;LEFT(MID(MID(TRIM(MID(SUBSTITUTE(K223,";",REPT(" ",99)),298,99)),FIND(":",TRIM(MID(SUBSTITUTE(K223,";",REPT(" ",99)),298,99)))+1,999),FIND(":",MID(TRIM(MID(SUBSTITUTE(K223,";",REPT(" ",99)),298,99)),FIND(":",TRIM(MID(SUBSTITUTE(K223,";",REPT(" ",99)),298,99)))+1,999))+1,999),FIND(":",MID(MID(TRIM(MID(SUBSTITUTE(K223,";",REPT(" ",99)),298,99)),FIND(":",TRIM(MID(SUBSTITUTE(K223,";",REPT(" ",99)),298,99)))+1,999),FIND(":",MID(TRIM(MID(SUBSTITUTE(K223,";",REPT(" ",99)),298,99)),FIND(":",TRIM(MID(SUBSTITUTE(K223,";",REPT(" ",99)),298,99)))+1,999))+1,999))-1)),IF(TRIM(MID(SUBSTITUTE(K223,";",REPT(" ",99)),397,99))="","",IFERROR(VLOOKUP(--LEFT(MID(TRIM(MID(SUBSTITUTE(K223,";",REPT(" ",99)),397,99)),FIND(":",TRIM(MID(SUBSTITUTE(K223,";",REPT(" ",99)),397,99)))+1,999),FIND(":",MID(TRIM(MID(SUBSTITUTE(K223,";",REPT(" ",99)),397,99)),FIND(":",TRIM(MID(SUBSTITUTE(K223,";",REPT(" ",99)),397,99)))+1,999))-1),_Lookup!$A:$B,2,FALSE),"?")&amp;"×"&amp;LEFT(MID(MID(TRIM(MID(SUBSTITUTE(K223,";",REPT(" ",99)),397,99)),FIND(":",TRIM(MID(SUBSTITUTE(K223,";",REPT(" ",99)),397,99)))+1,999),FIND(":",MID(TRIM(MID(SUBSTITUTE(K223,";",REPT(" ",99)),397,99)),FIND(":",TRIM(MID(SUBSTITUTE(K223,";",REPT(" ",99)),397,99)))+1,999))+1,999),FIND(":",MID(MID(TRIM(MID(SUBSTITUTE(K223,";",REPT(" ",99)),397,99)),FIND(":",TRIM(MID(SUBSTITUTE(K223,";",REPT(" ",99)),397,99)))+1,999),FIND(":",MID(TRIM(MID(SUBSTITUTE(K223,";",REPT(" ",99)),397,99)),FIND(":",TRIM(MID(SUBSTITUTE(K223,";",REPT(" ",99)),397,99)))+1,999))+1,999))-1))))</f>
        <v/>
      </c>
    </row>
    <row r="224">
      <c r="D224" s="11">
        <f>IFERROR(VLOOKUP(C224,ItemData_Fish!$A:$B,2,FALSE),"")</f>
        <v/>
      </c>
      <c r="L224" s="11">
        <f>IF(K224="","",TEXTJOIN("; ",TRUE,IF(TRIM(MID(SUBSTITUTE(K224,";",REPT(" ",99)),1,99))="","",IFERROR(VLOOKUP(--LEFT(MID(TRIM(MID(SUBSTITUTE(K224,";",REPT(" ",99)),1,99)),FIND(":",TRIM(MID(SUBSTITUTE(K224,";",REPT(" ",99)),1,99)))+1,999),FIND(":",MID(TRIM(MID(SUBSTITUTE(K224,";",REPT(" ",99)),1,99)),FIND(":",TRIM(MID(SUBSTITUTE(K224,";",REPT(" ",99)),1,99)))+1,999))-1),_Lookup!$A:$B,2,FALSE),"?")&amp;"×"&amp;LEFT(MID(MID(TRIM(MID(SUBSTITUTE(K224,";",REPT(" ",99)),1,99)),FIND(":",TRIM(MID(SUBSTITUTE(K224,";",REPT(" ",99)),1,99)))+1,999),FIND(":",MID(TRIM(MID(SUBSTITUTE(K224,";",REPT(" ",99)),1,99)),FIND(":",TRIM(MID(SUBSTITUTE(K224,";",REPT(" ",99)),1,99)))+1,999))+1,999),FIND(":",MID(MID(TRIM(MID(SUBSTITUTE(K224,";",REPT(" ",99)),1,99)),FIND(":",TRIM(MID(SUBSTITUTE(K224,";",REPT(" ",99)),1,99)))+1,999),FIND(":",MID(TRIM(MID(SUBSTITUTE(K224,";",REPT(" ",99)),1,99)),FIND(":",TRIM(MID(SUBSTITUTE(K224,";",REPT(" ",99)),1,99)))+1,999))+1,999))-1)),IF(TRIM(MID(SUBSTITUTE(K224,";",REPT(" ",99)),100,99))="","",IFERROR(VLOOKUP(--LEFT(MID(TRIM(MID(SUBSTITUTE(K224,";",REPT(" ",99)),100,99)),FIND(":",TRIM(MID(SUBSTITUTE(K224,";",REPT(" ",99)),100,99)))+1,999),FIND(":",MID(TRIM(MID(SUBSTITUTE(K224,";",REPT(" ",99)),100,99)),FIND(":",TRIM(MID(SUBSTITUTE(K224,";",REPT(" ",99)),100,99)))+1,999))-1),_Lookup!$A:$B,2,FALSE),"?")&amp;"×"&amp;LEFT(MID(MID(TRIM(MID(SUBSTITUTE(K224,";",REPT(" ",99)),100,99)),FIND(":",TRIM(MID(SUBSTITUTE(K224,";",REPT(" ",99)),100,99)))+1,999),FIND(":",MID(TRIM(MID(SUBSTITUTE(K224,";",REPT(" ",99)),100,99)),FIND(":",TRIM(MID(SUBSTITUTE(K224,";",REPT(" ",99)),100,99)))+1,999))+1,999),FIND(":",MID(MID(TRIM(MID(SUBSTITUTE(K224,";",REPT(" ",99)),100,99)),FIND(":",TRIM(MID(SUBSTITUTE(K224,";",REPT(" ",99)),100,99)))+1,999),FIND(":",MID(TRIM(MID(SUBSTITUTE(K224,";",REPT(" ",99)),100,99)),FIND(":",TRIM(MID(SUBSTITUTE(K224,";",REPT(" ",99)),100,99)))+1,999))+1,999))-1)),IF(TRIM(MID(SUBSTITUTE(K224,";",REPT(" ",99)),199,99))="","",IFERROR(VLOOKUP(--LEFT(MID(TRIM(MID(SUBSTITUTE(K224,";",REPT(" ",99)),199,99)),FIND(":",TRIM(MID(SUBSTITUTE(K224,";",REPT(" ",99)),199,99)))+1,999),FIND(":",MID(TRIM(MID(SUBSTITUTE(K224,";",REPT(" ",99)),199,99)),FIND(":",TRIM(MID(SUBSTITUTE(K224,";",REPT(" ",99)),199,99)))+1,999))-1),_Lookup!$A:$B,2,FALSE),"?")&amp;"×"&amp;LEFT(MID(MID(TRIM(MID(SUBSTITUTE(K224,";",REPT(" ",99)),199,99)),FIND(":",TRIM(MID(SUBSTITUTE(K224,";",REPT(" ",99)),199,99)))+1,999),FIND(":",MID(TRIM(MID(SUBSTITUTE(K224,";",REPT(" ",99)),199,99)),FIND(":",TRIM(MID(SUBSTITUTE(K224,";",REPT(" ",99)),199,99)))+1,999))+1,999),FIND(":",MID(MID(TRIM(MID(SUBSTITUTE(K224,";",REPT(" ",99)),199,99)),FIND(":",TRIM(MID(SUBSTITUTE(K224,";",REPT(" ",99)),199,99)))+1,999),FIND(":",MID(TRIM(MID(SUBSTITUTE(K224,";",REPT(" ",99)),199,99)),FIND(":",TRIM(MID(SUBSTITUTE(K224,";",REPT(" ",99)),199,99)))+1,999))+1,999))-1)),IF(TRIM(MID(SUBSTITUTE(K224,";",REPT(" ",99)),298,99))="","",IFERROR(VLOOKUP(--LEFT(MID(TRIM(MID(SUBSTITUTE(K224,";",REPT(" ",99)),298,99)),FIND(":",TRIM(MID(SUBSTITUTE(K224,";",REPT(" ",99)),298,99)))+1,999),FIND(":",MID(TRIM(MID(SUBSTITUTE(K224,";",REPT(" ",99)),298,99)),FIND(":",TRIM(MID(SUBSTITUTE(K224,";",REPT(" ",99)),298,99)))+1,999))-1),_Lookup!$A:$B,2,FALSE),"?")&amp;"×"&amp;LEFT(MID(MID(TRIM(MID(SUBSTITUTE(K224,";",REPT(" ",99)),298,99)),FIND(":",TRIM(MID(SUBSTITUTE(K224,";",REPT(" ",99)),298,99)))+1,999),FIND(":",MID(TRIM(MID(SUBSTITUTE(K224,";",REPT(" ",99)),298,99)),FIND(":",TRIM(MID(SUBSTITUTE(K224,";",REPT(" ",99)),298,99)))+1,999))+1,999),FIND(":",MID(MID(TRIM(MID(SUBSTITUTE(K224,";",REPT(" ",99)),298,99)),FIND(":",TRIM(MID(SUBSTITUTE(K224,";",REPT(" ",99)),298,99)))+1,999),FIND(":",MID(TRIM(MID(SUBSTITUTE(K224,";",REPT(" ",99)),298,99)),FIND(":",TRIM(MID(SUBSTITUTE(K224,";",REPT(" ",99)),298,99)))+1,999))+1,999))-1)),IF(TRIM(MID(SUBSTITUTE(K224,";",REPT(" ",99)),397,99))="","",IFERROR(VLOOKUP(--LEFT(MID(TRIM(MID(SUBSTITUTE(K224,";",REPT(" ",99)),397,99)),FIND(":",TRIM(MID(SUBSTITUTE(K224,";",REPT(" ",99)),397,99)))+1,999),FIND(":",MID(TRIM(MID(SUBSTITUTE(K224,";",REPT(" ",99)),397,99)),FIND(":",TRIM(MID(SUBSTITUTE(K224,";",REPT(" ",99)),397,99)))+1,999))-1),_Lookup!$A:$B,2,FALSE),"?")&amp;"×"&amp;LEFT(MID(MID(TRIM(MID(SUBSTITUTE(K224,";",REPT(" ",99)),397,99)),FIND(":",TRIM(MID(SUBSTITUTE(K224,";",REPT(" ",99)),397,99)))+1,999),FIND(":",MID(TRIM(MID(SUBSTITUTE(K224,";",REPT(" ",99)),397,99)),FIND(":",TRIM(MID(SUBSTITUTE(K224,";",REPT(" ",99)),397,99)))+1,999))+1,999),FIND(":",MID(MID(TRIM(MID(SUBSTITUTE(K224,";",REPT(" ",99)),397,99)),FIND(":",TRIM(MID(SUBSTITUTE(K224,";",REPT(" ",99)),397,99)))+1,999),FIND(":",MID(TRIM(MID(SUBSTITUTE(K224,";",REPT(" ",99)),397,99)),FIND(":",TRIM(MID(SUBSTITUTE(K224,";",REPT(" ",99)),397,99)))+1,999))+1,999))-1))))</f>
        <v/>
      </c>
    </row>
    <row r="225">
      <c r="D225" s="11">
        <f>IFERROR(VLOOKUP(C225,ItemData_Fish!$A:$B,2,FALSE),"")</f>
        <v/>
      </c>
      <c r="L225" s="11">
        <f>IF(K225="","",TEXTJOIN("; ",TRUE,IF(TRIM(MID(SUBSTITUTE(K225,";",REPT(" ",99)),1,99))="","",IFERROR(VLOOKUP(--LEFT(MID(TRIM(MID(SUBSTITUTE(K225,";",REPT(" ",99)),1,99)),FIND(":",TRIM(MID(SUBSTITUTE(K225,";",REPT(" ",99)),1,99)))+1,999),FIND(":",MID(TRIM(MID(SUBSTITUTE(K225,";",REPT(" ",99)),1,99)),FIND(":",TRIM(MID(SUBSTITUTE(K225,";",REPT(" ",99)),1,99)))+1,999))-1),_Lookup!$A:$B,2,FALSE),"?")&amp;"×"&amp;LEFT(MID(MID(TRIM(MID(SUBSTITUTE(K225,";",REPT(" ",99)),1,99)),FIND(":",TRIM(MID(SUBSTITUTE(K225,";",REPT(" ",99)),1,99)))+1,999),FIND(":",MID(TRIM(MID(SUBSTITUTE(K225,";",REPT(" ",99)),1,99)),FIND(":",TRIM(MID(SUBSTITUTE(K225,";",REPT(" ",99)),1,99)))+1,999))+1,999),FIND(":",MID(MID(TRIM(MID(SUBSTITUTE(K225,";",REPT(" ",99)),1,99)),FIND(":",TRIM(MID(SUBSTITUTE(K225,";",REPT(" ",99)),1,99)))+1,999),FIND(":",MID(TRIM(MID(SUBSTITUTE(K225,";",REPT(" ",99)),1,99)),FIND(":",TRIM(MID(SUBSTITUTE(K225,";",REPT(" ",99)),1,99)))+1,999))+1,999))-1)),IF(TRIM(MID(SUBSTITUTE(K225,";",REPT(" ",99)),100,99))="","",IFERROR(VLOOKUP(--LEFT(MID(TRIM(MID(SUBSTITUTE(K225,";",REPT(" ",99)),100,99)),FIND(":",TRIM(MID(SUBSTITUTE(K225,";",REPT(" ",99)),100,99)))+1,999),FIND(":",MID(TRIM(MID(SUBSTITUTE(K225,";",REPT(" ",99)),100,99)),FIND(":",TRIM(MID(SUBSTITUTE(K225,";",REPT(" ",99)),100,99)))+1,999))-1),_Lookup!$A:$B,2,FALSE),"?")&amp;"×"&amp;LEFT(MID(MID(TRIM(MID(SUBSTITUTE(K225,";",REPT(" ",99)),100,99)),FIND(":",TRIM(MID(SUBSTITUTE(K225,";",REPT(" ",99)),100,99)))+1,999),FIND(":",MID(TRIM(MID(SUBSTITUTE(K225,";",REPT(" ",99)),100,99)),FIND(":",TRIM(MID(SUBSTITUTE(K225,";",REPT(" ",99)),100,99)))+1,999))+1,999),FIND(":",MID(MID(TRIM(MID(SUBSTITUTE(K225,";",REPT(" ",99)),100,99)),FIND(":",TRIM(MID(SUBSTITUTE(K225,";",REPT(" ",99)),100,99)))+1,999),FIND(":",MID(TRIM(MID(SUBSTITUTE(K225,";",REPT(" ",99)),100,99)),FIND(":",TRIM(MID(SUBSTITUTE(K225,";",REPT(" ",99)),100,99)))+1,999))+1,999))-1)),IF(TRIM(MID(SUBSTITUTE(K225,";",REPT(" ",99)),199,99))="","",IFERROR(VLOOKUP(--LEFT(MID(TRIM(MID(SUBSTITUTE(K225,";",REPT(" ",99)),199,99)),FIND(":",TRIM(MID(SUBSTITUTE(K225,";",REPT(" ",99)),199,99)))+1,999),FIND(":",MID(TRIM(MID(SUBSTITUTE(K225,";",REPT(" ",99)),199,99)),FIND(":",TRIM(MID(SUBSTITUTE(K225,";",REPT(" ",99)),199,99)))+1,999))-1),_Lookup!$A:$B,2,FALSE),"?")&amp;"×"&amp;LEFT(MID(MID(TRIM(MID(SUBSTITUTE(K225,";",REPT(" ",99)),199,99)),FIND(":",TRIM(MID(SUBSTITUTE(K225,";",REPT(" ",99)),199,99)))+1,999),FIND(":",MID(TRIM(MID(SUBSTITUTE(K225,";",REPT(" ",99)),199,99)),FIND(":",TRIM(MID(SUBSTITUTE(K225,";",REPT(" ",99)),199,99)))+1,999))+1,999),FIND(":",MID(MID(TRIM(MID(SUBSTITUTE(K225,";",REPT(" ",99)),199,99)),FIND(":",TRIM(MID(SUBSTITUTE(K225,";",REPT(" ",99)),199,99)))+1,999),FIND(":",MID(TRIM(MID(SUBSTITUTE(K225,";",REPT(" ",99)),199,99)),FIND(":",TRIM(MID(SUBSTITUTE(K225,";",REPT(" ",99)),199,99)))+1,999))+1,999))-1)),IF(TRIM(MID(SUBSTITUTE(K225,";",REPT(" ",99)),298,99))="","",IFERROR(VLOOKUP(--LEFT(MID(TRIM(MID(SUBSTITUTE(K225,";",REPT(" ",99)),298,99)),FIND(":",TRIM(MID(SUBSTITUTE(K225,";",REPT(" ",99)),298,99)))+1,999),FIND(":",MID(TRIM(MID(SUBSTITUTE(K225,";",REPT(" ",99)),298,99)),FIND(":",TRIM(MID(SUBSTITUTE(K225,";",REPT(" ",99)),298,99)))+1,999))-1),_Lookup!$A:$B,2,FALSE),"?")&amp;"×"&amp;LEFT(MID(MID(TRIM(MID(SUBSTITUTE(K225,";",REPT(" ",99)),298,99)),FIND(":",TRIM(MID(SUBSTITUTE(K225,";",REPT(" ",99)),298,99)))+1,999),FIND(":",MID(TRIM(MID(SUBSTITUTE(K225,";",REPT(" ",99)),298,99)),FIND(":",TRIM(MID(SUBSTITUTE(K225,";",REPT(" ",99)),298,99)))+1,999))+1,999),FIND(":",MID(MID(TRIM(MID(SUBSTITUTE(K225,";",REPT(" ",99)),298,99)),FIND(":",TRIM(MID(SUBSTITUTE(K225,";",REPT(" ",99)),298,99)))+1,999),FIND(":",MID(TRIM(MID(SUBSTITUTE(K225,";",REPT(" ",99)),298,99)),FIND(":",TRIM(MID(SUBSTITUTE(K225,";",REPT(" ",99)),298,99)))+1,999))+1,999))-1)),IF(TRIM(MID(SUBSTITUTE(K225,";",REPT(" ",99)),397,99))="","",IFERROR(VLOOKUP(--LEFT(MID(TRIM(MID(SUBSTITUTE(K225,";",REPT(" ",99)),397,99)),FIND(":",TRIM(MID(SUBSTITUTE(K225,";",REPT(" ",99)),397,99)))+1,999),FIND(":",MID(TRIM(MID(SUBSTITUTE(K225,";",REPT(" ",99)),397,99)),FIND(":",TRIM(MID(SUBSTITUTE(K225,";",REPT(" ",99)),397,99)))+1,999))-1),_Lookup!$A:$B,2,FALSE),"?")&amp;"×"&amp;LEFT(MID(MID(TRIM(MID(SUBSTITUTE(K225,";",REPT(" ",99)),397,99)),FIND(":",TRIM(MID(SUBSTITUTE(K225,";",REPT(" ",99)),397,99)))+1,999),FIND(":",MID(TRIM(MID(SUBSTITUTE(K225,";",REPT(" ",99)),397,99)),FIND(":",TRIM(MID(SUBSTITUTE(K225,";",REPT(" ",99)),397,99)))+1,999))+1,999),FIND(":",MID(MID(TRIM(MID(SUBSTITUTE(K225,";",REPT(" ",99)),397,99)),FIND(":",TRIM(MID(SUBSTITUTE(K225,";",REPT(" ",99)),397,99)))+1,999),FIND(":",MID(TRIM(MID(SUBSTITUTE(K225,";",REPT(" ",99)),397,99)),FIND(":",TRIM(MID(SUBSTITUTE(K225,";",REPT(" ",99)),397,99)))+1,999))+1,999))-1))))</f>
        <v/>
      </c>
    </row>
    <row r="226">
      <c r="D226" s="11">
        <f>IFERROR(VLOOKUP(C226,ItemData_Fish!$A:$B,2,FALSE),"")</f>
        <v/>
      </c>
      <c r="L226" s="11">
        <f>IF(K226="","",TEXTJOIN("; ",TRUE,IF(TRIM(MID(SUBSTITUTE(K226,";",REPT(" ",99)),1,99))="","",IFERROR(VLOOKUP(--LEFT(MID(TRIM(MID(SUBSTITUTE(K226,";",REPT(" ",99)),1,99)),FIND(":",TRIM(MID(SUBSTITUTE(K226,";",REPT(" ",99)),1,99)))+1,999),FIND(":",MID(TRIM(MID(SUBSTITUTE(K226,";",REPT(" ",99)),1,99)),FIND(":",TRIM(MID(SUBSTITUTE(K226,";",REPT(" ",99)),1,99)))+1,999))-1),_Lookup!$A:$B,2,FALSE),"?")&amp;"×"&amp;LEFT(MID(MID(TRIM(MID(SUBSTITUTE(K226,";",REPT(" ",99)),1,99)),FIND(":",TRIM(MID(SUBSTITUTE(K226,";",REPT(" ",99)),1,99)))+1,999),FIND(":",MID(TRIM(MID(SUBSTITUTE(K226,";",REPT(" ",99)),1,99)),FIND(":",TRIM(MID(SUBSTITUTE(K226,";",REPT(" ",99)),1,99)))+1,999))+1,999),FIND(":",MID(MID(TRIM(MID(SUBSTITUTE(K226,";",REPT(" ",99)),1,99)),FIND(":",TRIM(MID(SUBSTITUTE(K226,";",REPT(" ",99)),1,99)))+1,999),FIND(":",MID(TRIM(MID(SUBSTITUTE(K226,";",REPT(" ",99)),1,99)),FIND(":",TRIM(MID(SUBSTITUTE(K226,";",REPT(" ",99)),1,99)))+1,999))+1,999))-1)),IF(TRIM(MID(SUBSTITUTE(K226,";",REPT(" ",99)),100,99))="","",IFERROR(VLOOKUP(--LEFT(MID(TRIM(MID(SUBSTITUTE(K226,";",REPT(" ",99)),100,99)),FIND(":",TRIM(MID(SUBSTITUTE(K226,";",REPT(" ",99)),100,99)))+1,999),FIND(":",MID(TRIM(MID(SUBSTITUTE(K226,";",REPT(" ",99)),100,99)),FIND(":",TRIM(MID(SUBSTITUTE(K226,";",REPT(" ",99)),100,99)))+1,999))-1),_Lookup!$A:$B,2,FALSE),"?")&amp;"×"&amp;LEFT(MID(MID(TRIM(MID(SUBSTITUTE(K226,";",REPT(" ",99)),100,99)),FIND(":",TRIM(MID(SUBSTITUTE(K226,";",REPT(" ",99)),100,99)))+1,999),FIND(":",MID(TRIM(MID(SUBSTITUTE(K226,";",REPT(" ",99)),100,99)),FIND(":",TRIM(MID(SUBSTITUTE(K226,";",REPT(" ",99)),100,99)))+1,999))+1,999),FIND(":",MID(MID(TRIM(MID(SUBSTITUTE(K226,";",REPT(" ",99)),100,99)),FIND(":",TRIM(MID(SUBSTITUTE(K226,";",REPT(" ",99)),100,99)))+1,999),FIND(":",MID(TRIM(MID(SUBSTITUTE(K226,";",REPT(" ",99)),100,99)),FIND(":",TRIM(MID(SUBSTITUTE(K226,";",REPT(" ",99)),100,99)))+1,999))+1,999))-1)),IF(TRIM(MID(SUBSTITUTE(K226,";",REPT(" ",99)),199,99))="","",IFERROR(VLOOKUP(--LEFT(MID(TRIM(MID(SUBSTITUTE(K226,";",REPT(" ",99)),199,99)),FIND(":",TRIM(MID(SUBSTITUTE(K226,";",REPT(" ",99)),199,99)))+1,999),FIND(":",MID(TRIM(MID(SUBSTITUTE(K226,";",REPT(" ",99)),199,99)),FIND(":",TRIM(MID(SUBSTITUTE(K226,";",REPT(" ",99)),199,99)))+1,999))-1),_Lookup!$A:$B,2,FALSE),"?")&amp;"×"&amp;LEFT(MID(MID(TRIM(MID(SUBSTITUTE(K226,";",REPT(" ",99)),199,99)),FIND(":",TRIM(MID(SUBSTITUTE(K226,";",REPT(" ",99)),199,99)))+1,999),FIND(":",MID(TRIM(MID(SUBSTITUTE(K226,";",REPT(" ",99)),199,99)),FIND(":",TRIM(MID(SUBSTITUTE(K226,";",REPT(" ",99)),199,99)))+1,999))+1,999),FIND(":",MID(MID(TRIM(MID(SUBSTITUTE(K226,";",REPT(" ",99)),199,99)),FIND(":",TRIM(MID(SUBSTITUTE(K226,";",REPT(" ",99)),199,99)))+1,999),FIND(":",MID(TRIM(MID(SUBSTITUTE(K226,";",REPT(" ",99)),199,99)),FIND(":",TRIM(MID(SUBSTITUTE(K226,";",REPT(" ",99)),199,99)))+1,999))+1,999))-1)),IF(TRIM(MID(SUBSTITUTE(K226,";",REPT(" ",99)),298,99))="","",IFERROR(VLOOKUP(--LEFT(MID(TRIM(MID(SUBSTITUTE(K226,";",REPT(" ",99)),298,99)),FIND(":",TRIM(MID(SUBSTITUTE(K226,";",REPT(" ",99)),298,99)))+1,999),FIND(":",MID(TRIM(MID(SUBSTITUTE(K226,";",REPT(" ",99)),298,99)),FIND(":",TRIM(MID(SUBSTITUTE(K226,";",REPT(" ",99)),298,99)))+1,999))-1),_Lookup!$A:$B,2,FALSE),"?")&amp;"×"&amp;LEFT(MID(MID(TRIM(MID(SUBSTITUTE(K226,";",REPT(" ",99)),298,99)),FIND(":",TRIM(MID(SUBSTITUTE(K226,";",REPT(" ",99)),298,99)))+1,999),FIND(":",MID(TRIM(MID(SUBSTITUTE(K226,";",REPT(" ",99)),298,99)),FIND(":",TRIM(MID(SUBSTITUTE(K226,";",REPT(" ",99)),298,99)))+1,999))+1,999),FIND(":",MID(MID(TRIM(MID(SUBSTITUTE(K226,";",REPT(" ",99)),298,99)),FIND(":",TRIM(MID(SUBSTITUTE(K226,";",REPT(" ",99)),298,99)))+1,999),FIND(":",MID(TRIM(MID(SUBSTITUTE(K226,";",REPT(" ",99)),298,99)),FIND(":",TRIM(MID(SUBSTITUTE(K226,";",REPT(" ",99)),298,99)))+1,999))+1,999))-1)),IF(TRIM(MID(SUBSTITUTE(K226,";",REPT(" ",99)),397,99))="","",IFERROR(VLOOKUP(--LEFT(MID(TRIM(MID(SUBSTITUTE(K226,";",REPT(" ",99)),397,99)),FIND(":",TRIM(MID(SUBSTITUTE(K226,";",REPT(" ",99)),397,99)))+1,999),FIND(":",MID(TRIM(MID(SUBSTITUTE(K226,";",REPT(" ",99)),397,99)),FIND(":",TRIM(MID(SUBSTITUTE(K226,";",REPT(" ",99)),397,99)))+1,999))-1),_Lookup!$A:$B,2,FALSE),"?")&amp;"×"&amp;LEFT(MID(MID(TRIM(MID(SUBSTITUTE(K226,";",REPT(" ",99)),397,99)),FIND(":",TRIM(MID(SUBSTITUTE(K226,";",REPT(" ",99)),397,99)))+1,999),FIND(":",MID(TRIM(MID(SUBSTITUTE(K226,";",REPT(" ",99)),397,99)),FIND(":",TRIM(MID(SUBSTITUTE(K226,";",REPT(" ",99)),397,99)))+1,999))+1,999),FIND(":",MID(MID(TRIM(MID(SUBSTITUTE(K226,";",REPT(" ",99)),397,99)),FIND(":",TRIM(MID(SUBSTITUTE(K226,";",REPT(" ",99)),397,99)))+1,999),FIND(":",MID(TRIM(MID(SUBSTITUTE(K226,";",REPT(" ",99)),397,99)),FIND(":",TRIM(MID(SUBSTITUTE(K226,";",REPT(" ",99)),397,99)))+1,999))+1,999))-1))))</f>
        <v/>
      </c>
    </row>
    <row r="227">
      <c r="D227" s="11">
        <f>IFERROR(VLOOKUP(C227,ItemData_Fish!$A:$B,2,FALSE),"")</f>
        <v/>
      </c>
      <c r="L227" s="11">
        <f>IF(K227="","",TEXTJOIN("; ",TRUE,IF(TRIM(MID(SUBSTITUTE(K227,";",REPT(" ",99)),1,99))="","",IFERROR(VLOOKUP(--LEFT(MID(TRIM(MID(SUBSTITUTE(K227,";",REPT(" ",99)),1,99)),FIND(":",TRIM(MID(SUBSTITUTE(K227,";",REPT(" ",99)),1,99)))+1,999),FIND(":",MID(TRIM(MID(SUBSTITUTE(K227,";",REPT(" ",99)),1,99)),FIND(":",TRIM(MID(SUBSTITUTE(K227,";",REPT(" ",99)),1,99)))+1,999))-1),_Lookup!$A:$B,2,FALSE),"?")&amp;"×"&amp;LEFT(MID(MID(TRIM(MID(SUBSTITUTE(K227,";",REPT(" ",99)),1,99)),FIND(":",TRIM(MID(SUBSTITUTE(K227,";",REPT(" ",99)),1,99)))+1,999),FIND(":",MID(TRIM(MID(SUBSTITUTE(K227,";",REPT(" ",99)),1,99)),FIND(":",TRIM(MID(SUBSTITUTE(K227,";",REPT(" ",99)),1,99)))+1,999))+1,999),FIND(":",MID(MID(TRIM(MID(SUBSTITUTE(K227,";",REPT(" ",99)),1,99)),FIND(":",TRIM(MID(SUBSTITUTE(K227,";",REPT(" ",99)),1,99)))+1,999),FIND(":",MID(TRIM(MID(SUBSTITUTE(K227,";",REPT(" ",99)),1,99)),FIND(":",TRIM(MID(SUBSTITUTE(K227,";",REPT(" ",99)),1,99)))+1,999))+1,999))-1)),IF(TRIM(MID(SUBSTITUTE(K227,";",REPT(" ",99)),100,99))="","",IFERROR(VLOOKUP(--LEFT(MID(TRIM(MID(SUBSTITUTE(K227,";",REPT(" ",99)),100,99)),FIND(":",TRIM(MID(SUBSTITUTE(K227,";",REPT(" ",99)),100,99)))+1,999),FIND(":",MID(TRIM(MID(SUBSTITUTE(K227,";",REPT(" ",99)),100,99)),FIND(":",TRIM(MID(SUBSTITUTE(K227,";",REPT(" ",99)),100,99)))+1,999))-1),_Lookup!$A:$B,2,FALSE),"?")&amp;"×"&amp;LEFT(MID(MID(TRIM(MID(SUBSTITUTE(K227,";",REPT(" ",99)),100,99)),FIND(":",TRIM(MID(SUBSTITUTE(K227,";",REPT(" ",99)),100,99)))+1,999),FIND(":",MID(TRIM(MID(SUBSTITUTE(K227,";",REPT(" ",99)),100,99)),FIND(":",TRIM(MID(SUBSTITUTE(K227,";",REPT(" ",99)),100,99)))+1,999))+1,999),FIND(":",MID(MID(TRIM(MID(SUBSTITUTE(K227,";",REPT(" ",99)),100,99)),FIND(":",TRIM(MID(SUBSTITUTE(K227,";",REPT(" ",99)),100,99)))+1,999),FIND(":",MID(TRIM(MID(SUBSTITUTE(K227,";",REPT(" ",99)),100,99)),FIND(":",TRIM(MID(SUBSTITUTE(K227,";",REPT(" ",99)),100,99)))+1,999))+1,999))-1)),IF(TRIM(MID(SUBSTITUTE(K227,";",REPT(" ",99)),199,99))="","",IFERROR(VLOOKUP(--LEFT(MID(TRIM(MID(SUBSTITUTE(K227,";",REPT(" ",99)),199,99)),FIND(":",TRIM(MID(SUBSTITUTE(K227,";",REPT(" ",99)),199,99)))+1,999),FIND(":",MID(TRIM(MID(SUBSTITUTE(K227,";",REPT(" ",99)),199,99)),FIND(":",TRIM(MID(SUBSTITUTE(K227,";",REPT(" ",99)),199,99)))+1,999))-1),_Lookup!$A:$B,2,FALSE),"?")&amp;"×"&amp;LEFT(MID(MID(TRIM(MID(SUBSTITUTE(K227,";",REPT(" ",99)),199,99)),FIND(":",TRIM(MID(SUBSTITUTE(K227,";",REPT(" ",99)),199,99)))+1,999),FIND(":",MID(TRIM(MID(SUBSTITUTE(K227,";",REPT(" ",99)),199,99)),FIND(":",TRIM(MID(SUBSTITUTE(K227,";",REPT(" ",99)),199,99)))+1,999))+1,999),FIND(":",MID(MID(TRIM(MID(SUBSTITUTE(K227,";",REPT(" ",99)),199,99)),FIND(":",TRIM(MID(SUBSTITUTE(K227,";",REPT(" ",99)),199,99)))+1,999),FIND(":",MID(TRIM(MID(SUBSTITUTE(K227,";",REPT(" ",99)),199,99)),FIND(":",TRIM(MID(SUBSTITUTE(K227,";",REPT(" ",99)),199,99)))+1,999))+1,999))-1)),IF(TRIM(MID(SUBSTITUTE(K227,";",REPT(" ",99)),298,99))="","",IFERROR(VLOOKUP(--LEFT(MID(TRIM(MID(SUBSTITUTE(K227,";",REPT(" ",99)),298,99)),FIND(":",TRIM(MID(SUBSTITUTE(K227,";",REPT(" ",99)),298,99)))+1,999),FIND(":",MID(TRIM(MID(SUBSTITUTE(K227,";",REPT(" ",99)),298,99)),FIND(":",TRIM(MID(SUBSTITUTE(K227,";",REPT(" ",99)),298,99)))+1,999))-1),_Lookup!$A:$B,2,FALSE),"?")&amp;"×"&amp;LEFT(MID(MID(TRIM(MID(SUBSTITUTE(K227,";",REPT(" ",99)),298,99)),FIND(":",TRIM(MID(SUBSTITUTE(K227,";",REPT(" ",99)),298,99)))+1,999),FIND(":",MID(TRIM(MID(SUBSTITUTE(K227,";",REPT(" ",99)),298,99)),FIND(":",TRIM(MID(SUBSTITUTE(K227,";",REPT(" ",99)),298,99)))+1,999))+1,999),FIND(":",MID(MID(TRIM(MID(SUBSTITUTE(K227,";",REPT(" ",99)),298,99)),FIND(":",TRIM(MID(SUBSTITUTE(K227,";",REPT(" ",99)),298,99)))+1,999),FIND(":",MID(TRIM(MID(SUBSTITUTE(K227,";",REPT(" ",99)),298,99)),FIND(":",TRIM(MID(SUBSTITUTE(K227,";",REPT(" ",99)),298,99)))+1,999))+1,999))-1)),IF(TRIM(MID(SUBSTITUTE(K227,";",REPT(" ",99)),397,99))="","",IFERROR(VLOOKUP(--LEFT(MID(TRIM(MID(SUBSTITUTE(K227,";",REPT(" ",99)),397,99)),FIND(":",TRIM(MID(SUBSTITUTE(K227,";",REPT(" ",99)),397,99)))+1,999),FIND(":",MID(TRIM(MID(SUBSTITUTE(K227,";",REPT(" ",99)),397,99)),FIND(":",TRIM(MID(SUBSTITUTE(K227,";",REPT(" ",99)),397,99)))+1,999))-1),_Lookup!$A:$B,2,FALSE),"?")&amp;"×"&amp;LEFT(MID(MID(TRIM(MID(SUBSTITUTE(K227,";",REPT(" ",99)),397,99)),FIND(":",TRIM(MID(SUBSTITUTE(K227,";",REPT(" ",99)),397,99)))+1,999),FIND(":",MID(TRIM(MID(SUBSTITUTE(K227,";",REPT(" ",99)),397,99)),FIND(":",TRIM(MID(SUBSTITUTE(K227,";",REPT(" ",99)),397,99)))+1,999))+1,999),FIND(":",MID(MID(TRIM(MID(SUBSTITUTE(K227,";",REPT(" ",99)),397,99)),FIND(":",TRIM(MID(SUBSTITUTE(K227,";",REPT(" ",99)),397,99)))+1,999),FIND(":",MID(TRIM(MID(SUBSTITUTE(K227,";",REPT(" ",99)),397,99)),FIND(":",TRIM(MID(SUBSTITUTE(K227,";",REPT(" ",99)),397,99)))+1,999))+1,999))-1))))</f>
        <v/>
      </c>
    </row>
    <row r="228">
      <c r="D228" s="11">
        <f>IFERROR(VLOOKUP(C228,ItemData_Fish!$A:$B,2,FALSE),"")</f>
        <v/>
      </c>
      <c r="L228" s="11">
        <f>IF(K228="","",TEXTJOIN("; ",TRUE,IF(TRIM(MID(SUBSTITUTE(K228,";",REPT(" ",99)),1,99))="","",IFERROR(VLOOKUP(--LEFT(MID(TRIM(MID(SUBSTITUTE(K228,";",REPT(" ",99)),1,99)),FIND(":",TRIM(MID(SUBSTITUTE(K228,";",REPT(" ",99)),1,99)))+1,999),FIND(":",MID(TRIM(MID(SUBSTITUTE(K228,";",REPT(" ",99)),1,99)),FIND(":",TRIM(MID(SUBSTITUTE(K228,";",REPT(" ",99)),1,99)))+1,999))-1),_Lookup!$A:$B,2,FALSE),"?")&amp;"×"&amp;LEFT(MID(MID(TRIM(MID(SUBSTITUTE(K228,";",REPT(" ",99)),1,99)),FIND(":",TRIM(MID(SUBSTITUTE(K228,";",REPT(" ",99)),1,99)))+1,999),FIND(":",MID(TRIM(MID(SUBSTITUTE(K228,";",REPT(" ",99)),1,99)),FIND(":",TRIM(MID(SUBSTITUTE(K228,";",REPT(" ",99)),1,99)))+1,999))+1,999),FIND(":",MID(MID(TRIM(MID(SUBSTITUTE(K228,";",REPT(" ",99)),1,99)),FIND(":",TRIM(MID(SUBSTITUTE(K228,";",REPT(" ",99)),1,99)))+1,999),FIND(":",MID(TRIM(MID(SUBSTITUTE(K228,";",REPT(" ",99)),1,99)),FIND(":",TRIM(MID(SUBSTITUTE(K228,";",REPT(" ",99)),1,99)))+1,999))+1,999))-1)),IF(TRIM(MID(SUBSTITUTE(K228,";",REPT(" ",99)),100,99))="","",IFERROR(VLOOKUP(--LEFT(MID(TRIM(MID(SUBSTITUTE(K228,";",REPT(" ",99)),100,99)),FIND(":",TRIM(MID(SUBSTITUTE(K228,";",REPT(" ",99)),100,99)))+1,999),FIND(":",MID(TRIM(MID(SUBSTITUTE(K228,";",REPT(" ",99)),100,99)),FIND(":",TRIM(MID(SUBSTITUTE(K228,";",REPT(" ",99)),100,99)))+1,999))-1),_Lookup!$A:$B,2,FALSE),"?")&amp;"×"&amp;LEFT(MID(MID(TRIM(MID(SUBSTITUTE(K228,";",REPT(" ",99)),100,99)),FIND(":",TRIM(MID(SUBSTITUTE(K228,";",REPT(" ",99)),100,99)))+1,999),FIND(":",MID(TRIM(MID(SUBSTITUTE(K228,";",REPT(" ",99)),100,99)),FIND(":",TRIM(MID(SUBSTITUTE(K228,";",REPT(" ",99)),100,99)))+1,999))+1,999),FIND(":",MID(MID(TRIM(MID(SUBSTITUTE(K228,";",REPT(" ",99)),100,99)),FIND(":",TRIM(MID(SUBSTITUTE(K228,";",REPT(" ",99)),100,99)))+1,999),FIND(":",MID(TRIM(MID(SUBSTITUTE(K228,";",REPT(" ",99)),100,99)),FIND(":",TRIM(MID(SUBSTITUTE(K228,";",REPT(" ",99)),100,99)))+1,999))+1,999))-1)),IF(TRIM(MID(SUBSTITUTE(K228,";",REPT(" ",99)),199,99))="","",IFERROR(VLOOKUP(--LEFT(MID(TRIM(MID(SUBSTITUTE(K228,";",REPT(" ",99)),199,99)),FIND(":",TRIM(MID(SUBSTITUTE(K228,";",REPT(" ",99)),199,99)))+1,999),FIND(":",MID(TRIM(MID(SUBSTITUTE(K228,";",REPT(" ",99)),199,99)),FIND(":",TRIM(MID(SUBSTITUTE(K228,";",REPT(" ",99)),199,99)))+1,999))-1),_Lookup!$A:$B,2,FALSE),"?")&amp;"×"&amp;LEFT(MID(MID(TRIM(MID(SUBSTITUTE(K228,";",REPT(" ",99)),199,99)),FIND(":",TRIM(MID(SUBSTITUTE(K228,";",REPT(" ",99)),199,99)))+1,999),FIND(":",MID(TRIM(MID(SUBSTITUTE(K228,";",REPT(" ",99)),199,99)),FIND(":",TRIM(MID(SUBSTITUTE(K228,";",REPT(" ",99)),199,99)))+1,999))+1,999),FIND(":",MID(MID(TRIM(MID(SUBSTITUTE(K228,";",REPT(" ",99)),199,99)),FIND(":",TRIM(MID(SUBSTITUTE(K228,";",REPT(" ",99)),199,99)))+1,999),FIND(":",MID(TRIM(MID(SUBSTITUTE(K228,";",REPT(" ",99)),199,99)),FIND(":",TRIM(MID(SUBSTITUTE(K228,";",REPT(" ",99)),199,99)))+1,999))+1,999))-1)),IF(TRIM(MID(SUBSTITUTE(K228,";",REPT(" ",99)),298,99))="","",IFERROR(VLOOKUP(--LEFT(MID(TRIM(MID(SUBSTITUTE(K228,";",REPT(" ",99)),298,99)),FIND(":",TRIM(MID(SUBSTITUTE(K228,";",REPT(" ",99)),298,99)))+1,999),FIND(":",MID(TRIM(MID(SUBSTITUTE(K228,";",REPT(" ",99)),298,99)),FIND(":",TRIM(MID(SUBSTITUTE(K228,";",REPT(" ",99)),298,99)))+1,999))-1),_Lookup!$A:$B,2,FALSE),"?")&amp;"×"&amp;LEFT(MID(MID(TRIM(MID(SUBSTITUTE(K228,";",REPT(" ",99)),298,99)),FIND(":",TRIM(MID(SUBSTITUTE(K228,";",REPT(" ",99)),298,99)))+1,999),FIND(":",MID(TRIM(MID(SUBSTITUTE(K228,";",REPT(" ",99)),298,99)),FIND(":",TRIM(MID(SUBSTITUTE(K228,";",REPT(" ",99)),298,99)))+1,999))+1,999),FIND(":",MID(MID(TRIM(MID(SUBSTITUTE(K228,";",REPT(" ",99)),298,99)),FIND(":",TRIM(MID(SUBSTITUTE(K228,";",REPT(" ",99)),298,99)))+1,999),FIND(":",MID(TRIM(MID(SUBSTITUTE(K228,";",REPT(" ",99)),298,99)),FIND(":",TRIM(MID(SUBSTITUTE(K228,";",REPT(" ",99)),298,99)))+1,999))+1,999))-1)),IF(TRIM(MID(SUBSTITUTE(K228,";",REPT(" ",99)),397,99))="","",IFERROR(VLOOKUP(--LEFT(MID(TRIM(MID(SUBSTITUTE(K228,";",REPT(" ",99)),397,99)),FIND(":",TRIM(MID(SUBSTITUTE(K228,";",REPT(" ",99)),397,99)))+1,999),FIND(":",MID(TRIM(MID(SUBSTITUTE(K228,";",REPT(" ",99)),397,99)),FIND(":",TRIM(MID(SUBSTITUTE(K228,";",REPT(" ",99)),397,99)))+1,999))-1),_Lookup!$A:$B,2,FALSE),"?")&amp;"×"&amp;LEFT(MID(MID(TRIM(MID(SUBSTITUTE(K228,";",REPT(" ",99)),397,99)),FIND(":",TRIM(MID(SUBSTITUTE(K228,";",REPT(" ",99)),397,99)))+1,999),FIND(":",MID(TRIM(MID(SUBSTITUTE(K228,";",REPT(" ",99)),397,99)),FIND(":",TRIM(MID(SUBSTITUTE(K228,";",REPT(" ",99)),397,99)))+1,999))+1,999),FIND(":",MID(MID(TRIM(MID(SUBSTITUTE(K228,";",REPT(" ",99)),397,99)),FIND(":",TRIM(MID(SUBSTITUTE(K228,";",REPT(" ",99)),397,99)))+1,999),FIND(":",MID(TRIM(MID(SUBSTITUTE(K228,";",REPT(" ",99)),397,99)),FIND(":",TRIM(MID(SUBSTITUTE(K228,";",REPT(" ",99)),397,99)))+1,999))+1,999))-1))))</f>
        <v/>
      </c>
    </row>
    <row r="229">
      <c r="D229" s="11">
        <f>IFERROR(VLOOKUP(C229,ItemData_Fish!$A:$B,2,FALSE),"")</f>
        <v/>
      </c>
      <c r="L229" s="11">
        <f>IF(K229="","",TEXTJOIN("; ",TRUE,IF(TRIM(MID(SUBSTITUTE(K229,";",REPT(" ",99)),1,99))="","",IFERROR(VLOOKUP(--LEFT(MID(TRIM(MID(SUBSTITUTE(K229,";",REPT(" ",99)),1,99)),FIND(":",TRIM(MID(SUBSTITUTE(K229,";",REPT(" ",99)),1,99)))+1,999),FIND(":",MID(TRIM(MID(SUBSTITUTE(K229,";",REPT(" ",99)),1,99)),FIND(":",TRIM(MID(SUBSTITUTE(K229,";",REPT(" ",99)),1,99)))+1,999))-1),_Lookup!$A:$B,2,FALSE),"?")&amp;"×"&amp;LEFT(MID(MID(TRIM(MID(SUBSTITUTE(K229,";",REPT(" ",99)),1,99)),FIND(":",TRIM(MID(SUBSTITUTE(K229,";",REPT(" ",99)),1,99)))+1,999),FIND(":",MID(TRIM(MID(SUBSTITUTE(K229,";",REPT(" ",99)),1,99)),FIND(":",TRIM(MID(SUBSTITUTE(K229,";",REPT(" ",99)),1,99)))+1,999))+1,999),FIND(":",MID(MID(TRIM(MID(SUBSTITUTE(K229,";",REPT(" ",99)),1,99)),FIND(":",TRIM(MID(SUBSTITUTE(K229,";",REPT(" ",99)),1,99)))+1,999),FIND(":",MID(TRIM(MID(SUBSTITUTE(K229,";",REPT(" ",99)),1,99)),FIND(":",TRIM(MID(SUBSTITUTE(K229,";",REPT(" ",99)),1,99)))+1,999))+1,999))-1)),IF(TRIM(MID(SUBSTITUTE(K229,";",REPT(" ",99)),100,99))="","",IFERROR(VLOOKUP(--LEFT(MID(TRIM(MID(SUBSTITUTE(K229,";",REPT(" ",99)),100,99)),FIND(":",TRIM(MID(SUBSTITUTE(K229,";",REPT(" ",99)),100,99)))+1,999),FIND(":",MID(TRIM(MID(SUBSTITUTE(K229,";",REPT(" ",99)),100,99)),FIND(":",TRIM(MID(SUBSTITUTE(K229,";",REPT(" ",99)),100,99)))+1,999))-1),_Lookup!$A:$B,2,FALSE),"?")&amp;"×"&amp;LEFT(MID(MID(TRIM(MID(SUBSTITUTE(K229,";",REPT(" ",99)),100,99)),FIND(":",TRIM(MID(SUBSTITUTE(K229,";",REPT(" ",99)),100,99)))+1,999),FIND(":",MID(TRIM(MID(SUBSTITUTE(K229,";",REPT(" ",99)),100,99)),FIND(":",TRIM(MID(SUBSTITUTE(K229,";",REPT(" ",99)),100,99)))+1,999))+1,999),FIND(":",MID(MID(TRIM(MID(SUBSTITUTE(K229,";",REPT(" ",99)),100,99)),FIND(":",TRIM(MID(SUBSTITUTE(K229,";",REPT(" ",99)),100,99)))+1,999),FIND(":",MID(TRIM(MID(SUBSTITUTE(K229,";",REPT(" ",99)),100,99)),FIND(":",TRIM(MID(SUBSTITUTE(K229,";",REPT(" ",99)),100,99)))+1,999))+1,999))-1)),IF(TRIM(MID(SUBSTITUTE(K229,";",REPT(" ",99)),199,99))="","",IFERROR(VLOOKUP(--LEFT(MID(TRIM(MID(SUBSTITUTE(K229,";",REPT(" ",99)),199,99)),FIND(":",TRIM(MID(SUBSTITUTE(K229,";",REPT(" ",99)),199,99)))+1,999),FIND(":",MID(TRIM(MID(SUBSTITUTE(K229,";",REPT(" ",99)),199,99)),FIND(":",TRIM(MID(SUBSTITUTE(K229,";",REPT(" ",99)),199,99)))+1,999))-1),_Lookup!$A:$B,2,FALSE),"?")&amp;"×"&amp;LEFT(MID(MID(TRIM(MID(SUBSTITUTE(K229,";",REPT(" ",99)),199,99)),FIND(":",TRIM(MID(SUBSTITUTE(K229,";",REPT(" ",99)),199,99)))+1,999),FIND(":",MID(TRIM(MID(SUBSTITUTE(K229,";",REPT(" ",99)),199,99)),FIND(":",TRIM(MID(SUBSTITUTE(K229,";",REPT(" ",99)),199,99)))+1,999))+1,999),FIND(":",MID(MID(TRIM(MID(SUBSTITUTE(K229,";",REPT(" ",99)),199,99)),FIND(":",TRIM(MID(SUBSTITUTE(K229,";",REPT(" ",99)),199,99)))+1,999),FIND(":",MID(TRIM(MID(SUBSTITUTE(K229,";",REPT(" ",99)),199,99)),FIND(":",TRIM(MID(SUBSTITUTE(K229,";",REPT(" ",99)),199,99)))+1,999))+1,999))-1)),IF(TRIM(MID(SUBSTITUTE(K229,";",REPT(" ",99)),298,99))="","",IFERROR(VLOOKUP(--LEFT(MID(TRIM(MID(SUBSTITUTE(K229,";",REPT(" ",99)),298,99)),FIND(":",TRIM(MID(SUBSTITUTE(K229,";",REPT(" ",99)),298,99)))+1,999),FIND(":",MID(TRIM(MID(SUBSTITUTE(K229,";",REPT(" ",99)),298,99)),FIND(":",TRIM(MID(SUBSTITUTE(K229,";",REPT(" ",99)),298,99)))+1,999))-1),_Lookup!$A:$B,2,FALSE),"?")&amp;"×"&amp;LEFT(MID(MID(TRIM(MID(SUBSTITUTE(K229,";",REPT(" ",99)),298,99)),FIND(":",TRIM(MID(SUBSTITUTE(K229,";",REPT(" ",99)),298,99)))+1,999),FIND(":",MID(TRIM(MID(SUBSTITUTE(K229,";",REPT(" ",99)),298,99)),FIND(":",TRIM(MID(SUBSTITUTE(K229,";",REPT(" ",99)),298,99)))+1,999))+1,999),FIND(":",MID(MID(TRIM(MID(SUBSTITUTE(K229,";",REPT(" ",99)),298,99)),FIND(":",TRIM(MID(SUBSTITUTE(K229,";",REPT(" ",99)),298,99)))+1,999),FIND(":",MID(TRIM(MID(SUBSTITUTE(K229,";",REPT(" ",99)),298,99)),FIND(":",TRIM(MID(SUBSTITUTE(K229,";",REPT(" ",99)),298,99)))+1,999))+1,999))-1)),IF(TRIM(MID(SUBSTITUTE(K229,";",REPT(" ",99)),397,99))="","",IFERROR(VLOOKUP(--LEFT(MID(TRIM(MID(SUBSTITUTE(K229,";",REPT(" ",99)),397,99)),FIND(":",TRIM(MID(SUBSTITUTE(K229,";",REPT(" ",99)),397,99)))+1,999),FIND(":",MID(TRIM(MID(SUBSTITUTE(K229,";",REPT(" ",99)),397,99)),FIND(":",TRIM(MID(SUBSTITUTE(K229,";",REPT(" ",99)),397,99)))+1,999))-1),_Lookup!$A:$B,2,FALSE),"?")&amp;"×"&amp;LEFT(MID(MID(TRIM(MID(SUBSTITUTE(K229,";",REPT(" ",99)),397,99)),FIND(":",TRIM(MID(SUBSTITUTE(K229,";",REPT(" ",99)),397,99)))+1,999),FIND(":",MID(TRIM(MID(SUBSTITUTE(K229,";",REPT(" ",99)),397,99)),FIND(":",TRIM(MID(SUBSTITUTE(K229,";",REPT(" ",99)),397,99)))+1,999))+1,999),FIND(":",MID(MID(TRIM(MID(SUBSTITUTE(K229,";",REPT(" ",99)),397,99)),FIND(":",TRIM(MID(SUBSTITUTE(K229,";",REPT(" ",99)),397,99)))+1,999),FIND(":",MID(TRIM(MID(SUBSTITUTE(K229,";",REPT(" ",99)),397,99)),FIND(":",TRIM(MID(SUBSTITUTE(K229,";",REPT(" ",99)),397,99)))+1,999))+1,999))-1))))</f>
        <v/>
      </c>
    </row>
    <row r="230">
      <c r="D230" s="11">
        <f>IFERROR(VLOOKUP(C230,ItemData_Fish!$A:$B,2,FALSE),"")</f>
        <v/>
      </c>
      <c r="L230" s="11">
        <f>IF(K230="","",TEXTJOIN("; ",TRUE,IF(TRIM(MID(SUBSTITUTE(K230,";",REPT(" ",99)),1,99))="","",IFERROR(VLOOKUP(--LEFT(MID(TRIM(MID(SUBSTITUTE(K230,";",REPT(" ",99)),1,99)),FIND(":",TRIM(MID(SUBSTITUTE(K230,";",REPT(" ",99)),1,99)))+1,999),FIND(":",MID(TRIM(MID(SUBSTITUTE(K230,";",REPT(" ",99)),1,99)),FIND(":",TRIM(MID(SUBSTITUTE(K230,";",REPT(" ",99)),1,99)))+1,999))-1),_Lookup!$A:$B,2,FALSE),"?")&amp;"×"&amp;LEFT(MID(MID(TRIM(MID(SUBSTITUTE(K230,";",REPT(" ",99)),1,99)),FIND(":",TRIM(MID(SUBSTITUTE(K230,";",REPT(" ",99)),1,99)))+1,999),FIND(":",MID(TRIM(MID(SUBSTITUTE(K230,";",REPT(" ",99)),1,99)),FIND(":",TRIM(MID(SUBSTITUTE(K230,";",REPT(" ",99)),1,99)))+1,999))+1,999),FIND(":",MID(MID(TRIM(MID(SUBSTITUTE(K230,";",REPT(" ",99)),1,99)),FIND(":",TRIM(MID(SUBSTITUTE(K230,";",REPT(" ",99)),1,99)))+1,999),FIND(":",MID(TRIM(MID(SUBSTITUTE(K230,";",REPT(" ",99)),1,99)),FIND(":",TRIM(MID(SUBSTITUTE(K230,";",REPT(" ",99)),1,99)))+1,999))+1,999))-1)),IF(TRIM(MID(SUBSTITUTE(K230,";",REPT(" ",99)),100,99))="","",IFERROR(VLOOKUP(--LEFT(MID(TRIM(MID(SUBSTITUTE(K230,";",REPT(" ",99)),100,99)),FIND(":",TRIM(MID(SUBSTITUTE(K230,";",REPT(" ",99)),100,99)))+1,999),FIND(":",MID(TRIM(MID(SUBSTITUTE(K230,";",REPT(" ",99)),100,99)),FIND(":",TRIM(MID(SUBSTITUTE(K230,";",REPT(" ",99)),100,99)))+1,999))-1),_Lookup!$A:$B,2,FALSE),"?")&amp;"×"&amp;LEFT(MID(MID(TRIM(MID(SUBSTITUTE(K230,";",REPT(" ",99)),100,99)),FIND(":",TRIM(MID(SUBSTITUTE(K230,";",REPT(" ",99)),100,99)))+1,999),FIND(":",MID(TRIM(MID(SUBSTITUTE(K230,";",REPT(" ",99)),100,99)),FIND(":",TRIM(MID(SUBSTITUTE(K230,";",REPT(" ",99)),100,99)))+1,999))+1,999),FIND(":",MID(MID(TRIM(MID(SUBSTITUTE(K230,";",REPT(" ",99)),100,99)),FIND(":",TRIM(MID(SUBSTITUTE(K230,";",REPT(" ",99)),100,99)))+1,999),FIND(":",MID(TRIM(MID(SUBSTITUTE(K230,";",REPT(" ",99)),100,99)),FIND(":",TRIM(MID(SUBSTITUTE(K230,";",REPT(" ",99)),100,99)))+1,999))+1,999))-1)),IF(TRIM(MID(SUBSTITUTE(K230,";",REPT(" ",99)),199,99))="","",IFERROR(VLOOKUP(--LEFT(MID(TRIM(MID(SUBSTITUTE(K230,";",REPT(" ",99)),199,99)),FIND(":",TRIM(MID(SUBSTITUTE(K230,";",REPT(" ",99)),199,99)))+1,999),FIND(":",MID(TRIM(MID(SUBSTITUTE(K230,";",REPT(" ",99)),199,99)),FIND(":",TRIM(MID(SUBSTITUTE(K230,";",REPT(" ",99)),199,99)))+1,999))-1),_Lookup!$A:$B,2,FALSE),"?")&amp;"×"&amp;LEFT(MID(MID(TRIM(MID(SUBSTITUTE(K230,";",REPT(" ",99)),199,99)),FIND(":",TRIM(MID(SUBSTITUTE(K230,";",REPT(" ",99)),199,99)))+1,999),FIND(":",MID(TRIM(MID(SUBSTITUTE(K230,";",REPT(" ",99)),199,99)),FIND(":",TRIM(MID(SUBSTITUTE(K230,";",REPT(" ",99)),199,99)))+1,999))+1,999),FIND(":",MID(MID(TRIM(MID(SUBSTITUTE(K230,";",REPT(" ",99)),199,99)),FIND(":",TRIM(MID(SUBSTITUTE(K230,";",REPT(" ",99)),199,99)))+1,999),FIND(":",MID(TRIM(MID(SUBSTITUTE(K230,";",REPT(" ",99)),199,99)),FIND(":",TRIM(MID(SUBSTITUTE(K230,";",REPT(" ",99)),199,99)))+1,999))+1,999))-1)),IF(TRIM(MID(SUBSTITUTE(K230,";",REPT(" ",99)),298,99))="","",IFERROR(VLOOKUP(--LEFT(MID(TRIM(MID(SUBSTITUTE(K230,";",REPT(" ",99)),298,99)),FIND(":",TRIM(MID(SUBSTITUTE(K230,";",REPT(" ",99)),298,99)))+1,999),FIND(":",MID(TRIM(MID(SUBSTITUTE(K230,";",REPT(" ",99)),298,99)),FIND(":",TRIM(MID(SUBSTITUTE(K230,";",REPT(" ",99)),298,99)))+1,999))-1),_Lookup!$A:$B,2,FALSE),"?")&amp;"×"&amp;LEFT(MID(MID(TRIM(MID(SUBSTITUTE(K230,";",REPT(" ",99)),298,99)),FIND(":",TRIM(MID(SUBSTITUTE(K230,";",REPT(" ",99)),298,99)))+1,999),FIND(":",MID(TRIM(MID(SUBSTITUTE(K230,";",REPT(" ",99)),298,99)),FIND(":",TRIM(MID(SUBSTITUTE(K230,";",REPT(" ",99)),298,99)))+1,999))+1,999),FIND(":",MID(MID(TRIM(MID(SUBSTITUTE(K230,";",REPT(" ",99)),298,99)),FIND(":",TRIM(MID(SUBSTITUTE(K230,";",REPT(" ",99)),298,99)))+1,999),FIND(":",MID(TRIM(MID(SUBSTITUTE(K230,";",REPT(" ",99)),298,99)),FIND(":",TRIM(MID(SUBSTITUTE(K230,";",REPT(" ",99)),298,99)))+1,999))+1,999))-1)),IF(TRIM(MID(SUBSTITUTE(K230,";",REPT(" ",99)),397,99))="","",IFERROR(VLOOKUP(--LEFT(MID(TRIM(MID(SUBSTITUTE(K230,";",REPT(" ",99)),397,99)),FIND(":",TRIM(MID(SUBSTITUTE(K230,";",REPT(" ",99)),397,99)))+1,999),FIND(":",MID(TRIM(MID(SUBSTITUTE(K230,";",REPT(" ",99)),397,99)),FIND(":",TRIM(MID(SUBSTITUTE(K230,";",REPT(" ",99)),397,99)))+1,999))-1),_Lookup!$A:$B,2,FALSE),"?")&amp;"×"&amp;LEFT(MID(MID(TRIM(MID(SUBSTITUTE(K230,";",REPT(" ",99)),397,99)),FIND(":",TRIM(MID(SUBSTITUTE(K230,";",REPT(" ",99)),397,99)))+1,999),FIND(":",MID(TRIM(MID(SUBSTITUTE(K230,";",REPT(" ",99)),397,99)),FIND(":",TRIM(MID(SUBSTITUTE(K230,";",REPT(" ",99)),397,99)))+1,999))+1,999),FIND(":",MID(MID(TRIM(MID(SUBSTITUTE(K230,";",REPT(" ",99)),397,99)),FIND(":",TRIM(MID(SUBSTITUTE(K230,";",REPT(" ",99)),397,99)))+1,999),FIND(":",MID(TRIM(MID(SUBSTITUTE(K230,";",REPT(" ",99)),397,99)),FIND(":",TRIM(MID(SUBSTITUTE(K230,";",REPT(" ",99)),397,99)))+1,999))+1,999))-1))))</f>
        <v/>
      </c>
    </row>
    <row r="231">
      <c r="D231" s="11">
        <f>IFERROR(VLOOKUP(C231,ItemData_Fish!$A:$B,2,FALSE),"")</f>
        <v/>
      </c>
      <c r="L231" s="11">
        <f>IF(K231="","",TEXTJOIN("; ",TRUE,IF(TRIM(MID(SUBSTITUTE(K231,";",REPT(" ",99)),1,99))="","",IFERROR(VLOOKUP(--LEFT(MID(TRIM(MID(SUBSTITUTE(K231,";",REPT(" ",99)),1,99)),FIND(":",TRIM(MID(SUBSTITUTE(K231,";",REPT(" ",99)),1,99)))+1,999),FIND(":",MID(TRIM(MID(SUBSTITUTE(K231,";",REPT(" ",99)),1,99)),FIND(":",TRIM(MID(SUBSTITUTE(K231,";",REPT(" ",99)),1,99)))+1,999))-1),_Lookup!$A:$B,2,FALSE),"?")&amp;"×"&amp;LEFT(MID(MID(TRIM(MID(SUBSTITUTE(K231,";",REPT(" ",99)),1,99)),FIND(":",TRIM(MID(SUBSTITUTE(K231,";",REPT(" ",99)),1,99)))+1,999),FIND(":",MID(TRIM(MID(SUBSTITUTE(K231,";",REPT(" ",99)),1,99)),FIND(":",TRIM(MID(SUBSTITUTE(K231,";",REPT(" ",99)),1,99)))+1,999))+1,999),FIND(":",MID(MID(TRIM(MID(SUBSTITUTE(K231,";",REPT(" ",99)),1,99)),FIND(":",TRIM(MID(SUBSTITUTE(K231,";",REPT(" ",99)),1,99)))+1,999),FIND(":",MID(TRIM(MID(SUBSTITUTE(K231,";",REPT(" ",99)),1,99)),FIND(":",TRIM(MID(SUBSTITUTE(K231,";",REPT(" ",99)),1,99)))+1,999))+1,999))-1)),IF(TRIM(MID(SUBSTITUTE(K231,";",REPT(" ",99)),100,99))="","",IFERROR(VLOOKUP(--LEFT(MID(TRIM(MID(SUBSTITUTE(K231,";",REPT(" ",99)),100,99)),FIND(":",TRIM(MID(SUBSTITUTE(K231,";",REPT(" ",99)),100,99)))+1,999),FIND(":",MID(TRIM(MID(SUBSTITUTE(K231,";",REPT(" ",99)),100,99)),FIND(":",TRIM(MID(SUBSTITUTE(K231,";",REPT(" ",99)),100,99)))+1,999))-1),_Lookup!$A:$B,2,FALSE),"?")&amp;"×"&amp;LEFT(MID(MID(TRIM(MID(SUBSTITUTE(K231,";",REPT(" ",99)),100,99)),FIND(":",TRIM(MID(SUBSTITUTE(K231,";",REPT(" ",99)),100,99)))+1,999),FIND(":",MID(TRIM(MID(SUBSTITUTE(K231,";",REPT(" ",99)),100,99)),FIND(":",TRIM(MID(SUBSTITUTE(K231,";",REPT(" ",99)),100,99)))+1,999))+1,999),FIND(":",MID(MID(TRIM(MID(SUBSTITUTE(K231,";",REPT(" ",99)),100,99)),FIND(":",TRIM(MID(SUBSTITUTE(K231,";",REPT(" ",99)),100,99)))+1,999),FIND(":",MID(TRIM(MID(SUBSTITUTE(K231,";",REPT(" ",99)),100,99)),FIND(":",TRIM(MID(SUBSTITUTE(K231,";",REPT(" ",99)),100,99)))+1,999))+1,999))-1)),IF(TRIM(MID(SUBSTITUTE(K231,";",REPT(" ",99)),199,99))="","",IFERROR(VLOOKUP(--LEFT(MID(TRIM(MID(SUBSTITUTE(K231,";",REPT(" ",99)),199,99)),FIND(":",TRIM(MID(SUBSTITUTE(K231,";",REPT(" ",99)),199,99)))+1,999),FIND(":",MID(TRIM(MID(SUBSTITUTE(K231,";",REPT(" ",99)),199,99)),FIND(":",TRIM(MID(SUBSTITUTE(K231,";",REPT(" ",99)),199,99)))+1,999))-1),_Lookup!$A:$B,2,FALSE),"?")&amp;"×"&amp;LEFT(MID(MID(TRIM(MID(SUBSTITUTE(K231,";",REPT(" ",99)),199,99)),FIND(":",TRIM(MID(SUBSTITUTE(K231,";",REPT(" ",99)),199,99)))+1,999),FIND(":",MID(TRIM(MID(SUBSTITUTE(K231,";",REPT(" ",99)),199,99)),FIND(":",TRIM(MID(SUBSTITUTE(K231,";",REPT(" ",99)),199,99)))+1,999))+1,999),FIND(":",MID(MID(TRIM(MID(SUBSTITUTE(K231,";",REPT(" ",99)),199,99)),FIND(":",TRIM(MID(SUBSTITUTE(K231,";",REPT(" ",99)),199,99)))+1,999),FIND(":",MID(TRIM(MID(SUBSTITUTE(K231,";",REPT(" ",99)),199,99)),FIND(":",TRIM(MID(SUBSTITUTE(K231,";",REPT(" ",99)),199,99)))+1,999))+1,999))-1)),IF(TRIM(MID(SUBSTITUTE(K231,";",REPT(" ",99)),298,99))="","",IFERROR(VLOOKUP(--LEFT(MID(TRIM(MID(SUBSTITUTE(K231,";",REPT(" ",99)),298,99)),FIND(":",TRIM(MID(SUBSTITUTE(K231,";",REPT(" ",99)),298,99)))+1,999),FIND(":",MID(TRIM(MID(SUBSTITUTE(K231,";",REPT(" ",99)),298,99)),FIND(":",TRIM(MID(SUBSTITUTE(K231,";",REPT(" ",99)),298,99)))+1,999))-1),_Lookup!$A:$B,2,FALSE),"?")&amp;"×"&amp;LEFT(MID(MID(TRIM(MID(SUBSTITUTE(K231,";",REPT(" ",99)),298,99)),FIND(":",TRIM(MID(SUBSTITUTE(K231,";",REPT(" ",99)),298,99)))+1,999),FIND(":",MID(TRIM(MID(SUBSTITUTE(K231,";",REPT(" ",99)),298,99)),FIND(":",TRIM(MID(SUBSTITUTE(K231,";",REPT(" ",99)),298,99)))+1,999))+1,999),FIND(":",MID(MID(TRIM(MID(SUBSTITUTE(K231,";",REPT(" ",99)),298,99)),FIND(":",TRIM(MID(SUBSTITUTE(K231,";",REPT(" ",99)),298,99)))+1,999),FIND(":",MID(TRIM(MID(SUBSTITUTE(K231,";",REPT(" ",99)),298,99)),FIND(":",TRIM(MID(SUBSTITUTE(K231,";",REPT(" ",99)),298,99)))+1,999))+1,999))-1)),IF(TRIM(MID(SUBSTITUTE(K231,";",REPT(" ",99)),397,99))="","",IFERROR(VLOOKUP(--LEFT(MID(TRIM(MID(SUBSTITUTE(K231,";",REPT(" ",99)),397,99)),FIND(":",TRIM(MID(SUBSTITUTE(K231,";",REPT(" ",99)),397,99)))+1,999),FIND(":",MID(TRIM(MID(SUBSTITUTE(K231,";",REPT(" ",99)),397,99)),FIND(":",TRIM(MID(SUBSTITUTE(K231,";",REPT(" ",99)),397,99)))+1,999))-1),_Lookup!$A:$B,2,FALSE),"?")&amp;"×"&amp;LEFT(MID(MID(TRIM(MID(SUBSTITUTE(K231,";",REPT(" ",99)),397,99)),FIND(":",TRIM(MID(SUBSTITUTE(K231,";",REPT(" ",99)),397,99)))+1,999),FIND(":",MID(TRIM(MID(SUBSTITUTE(K231,";",REPT(" ",99)),397,99)),FIND(":",TRIM(MID(SUBSTITUTE(K231,";",REPT(" ",99)),397,99)))+1,999))+1,999),FIND(":",MID(MID(TRIM(MID(SUBSTITUTE(K231,";",REPT(" ",99)),397,99)),FIND(":",TRIM(MID(SUBSTITUTE(K231,";",REPT(" ",99)),397,99)))+1,999),FIND(":",MID(TRIM(MID(SUBSTITUTE(K231,";",REPT(" ",99)),397,99)),FIND(":",TRIM(MID(SUBSTITUTE(K231,";",REPT(" ",99)),397,99)))+1,999))+1,999))-1))))</f>
        <v/>
      </c>
    </row>
    <row r="232">
      <c r="D232" s="11">
        <f>IFERROR(VLOOKUP(C232,ItemData_Fish!$A:$B,2,FALSE),"")</f>
        <v/>
      </c>
      <c r="L232" s="11">
        <f>IF(K232="","",TEXTJOIN("; ",TRUE,IF(TRIM(MID(SUBSTITUTE(K232,";",REPT(" ",99)),1,99))="","",IFERROR(VLOOKUP(--LEFT(MID(TRIM(MID(SUBSTITUTE(K232,";",REPT(" ",99)),1,99)),FIND(":",TRIM(MID(SUBSTITUTE(K232,";",REPT(" ",99)),1,99)))+1,999),FIND(":",MID(TRIM(MID(SUBSTITUTE(K232,";",REPT(" ",99)),1,99)),FIND(":",TRIM(MID(SUBSTITUTE(K232,";",REPT(" ",99)),1,99)))+1,999))-1),_Lookup!$A:$B,2,FALSE),"?")&amp;"×"&amp;LEFT(MID(MID(TRIM(MID(SUBSTITUTE(K232,";",REPT(" ",99)),1,99)),FIND(":",TRIM(MID(SUBSTITUTE(K232,";",REPT(" ",99)),1,99)))+1,999),FIND(":",MID(TRIM(MID(SUBSTITUTE(K232,";",REPT(" ",99)),1,99)),FIND(":",TRIM(MID(SUBSTITUTE(K232,";",REPT(" ",99)),1,99)))+1,999))+1,999),FIND(":",MID(MID(TRIM(MID(SUBSTITUTE(K232,";",REPT(" ",99)),1,99)),FIND(":",TRIM(MID(SUBSTITUTE(K232,";",REPT(" ",99)),1,99)))+1,999),FIND(":",MID(TRIM(MID(SUBSTITUTE(K232,";",REPT(" ",99)),1,99)),FIND(":",TRIM(MID(SUBSTITUTE(K232,";",REPT(" ",99)),1,99)))+1,999))+1,999))-1)),IF(TRIM(MID(SUBSTITUTE(K232,";",REPT(" ",99)),100,99))="","",IFERROR(VLOOKUP(--LEFT(MID(TRIM(MID(SUBSTITUTE(K232,";",REPT(" ",99)),100,99)),FIND(":",TRIM(MID(SUBSTITUTE(K232,";",REPT(" ",99)),100,99)))+1,999),FIND(":",MID(TRIM(MID(SUBSTITUTE(K232,";",REPT(" ",99)),100,99)),FIND(":",TRIM(MID(SUBSTITUTE(K232,";",REPT(" ",99)),100,99)))+1,999))-1),_Lookup!$A:$B,2,FALSE),"?")&amp;"×"&amp;LEFT(MID(MID(TRIM(MID(SUBSTITUTE(K232,";",REPT(" ",99)),100,99)),FIND(":",TRIM(MID(SUBSTITUTE(K232,";",REPT(" ",99)),100,99)))+1,999),FIND(":",MID(TRIM(MID(SUBSTITUTE(K232,";",REPT(" ",99)),100,99)),FIND(":",TRIM(MID(SUBSTITUTE(K232,";",REPT(" ",99)),100,99)))+1,999))+1,999),FIND(":",MID(MID(TRIM(MID(SUBSTITUTE(K232,";",REPT(" ",99)),100,99)),FIND(":",TRIM(MID(SUBSTITUTE(K232,";",REPT(" ",99)),100,99)))+1,999),FIND(":",MID(TRIM(MID(SUBSTITUTE(K232,";",REPT(" ",99)),100,99)),FIND(":",TRIM(MID(SUBSTITUTE(K232,";",REPT(" ",99)),100,99)))+1,999))+1,999))-1)),IF(TRIM(MID(SUBSTITUTE(K232,";",REPT(" ",99)),199,99))="","",IFERROR(VLOOKUP(--LEFT(MID(TRIM(MID(SUBSTITUTE(K232,";",REPT(" ",99)),199,99)),FIND(":",TRIM(MID(SUBSTITUTE(K232,";",REPT(" ",99)),199,99)))+1,999),FIND(":",MID(TRIM(MID(SUBSTITUTE(K232,";",REPT(" ",99)),199,99)),FIND(":",TRIM(MID(SUBSTITUTE(K232,";",REPT(" ",99)),199,99)))+1,999))-1),_Lookup!$A:$B,2,FALSE),"?")&amp;"×"&amp;LEFT(MID(MID(TRIM(MID(SUBSTITUTE(K232,";",REPT(" ",99)),199,99)),FIND(":",TRIM(MID(SUBSTITUTE(K232,";",REPT(" ",99)),199,99)))+1,999),FIND(":",MID(TRIM(MID(SUBSTITUTE(K232,";",REPT(" ",99)),199,99)),FIND(":",TRIM(MID(SUBSTITUTE(K232,";",REPT(" ",99)),199,99)))+1,999))+1,999),FIND(":",MID(MID(TRIM(MID(SUBSTITUTE(K232,";",REPT(" ",99)),199,99)),FIND(":",TRIM(MID(SUBSTITUTE(K232,";",REPT(" ",99)),199,99)))+1,999),FIND(":",MID(TRIM(MID(SUBSTITUTE(K232,";",REPT(" ",99)),199,99)),FIND(":",TRIM(MID(SUBSTITUTE(K232,";",REPT(" ",99)),199,99)))+1,999))+1,999))-1)),IF(TRIM(MID(SUBSTITUTE(K232,";",REPT(" ",99)),298,99))="","",IFERROR(VLOOKUP(--LEFT(MID(TRIM(MID(SUBSTITUTE(K232,";",REPT(" ",99)),298,99)),FIND(":",TRIM(MID(SUBSTITUTE(K232,";",REPT(" ",99)),298,99)))+1,999),FIND(":",MID(TRIM(MID(SUBSTITUTE(K232,";",REPT(" ",99)),298,99)),FIND(":",TRIM(MID(SUBSTITUTE(K232,";",REPT(" ",99)),298,99)))+1,999))-1),_Lookup!$A:$B,2,FALSE),"?")&amp;"×"&amp;LEFT(MID(MID(TRIM(MID(SUBSTITUTE(K232,";",REPT(" ",99)),298,99)),FIND(":",TRIM(MID(SUBSTITUTE(K232,";",REPT(" ",99)),298,99)))+1,999),FIND(":",MID(TRIM(MID(SUBSTITUTE(K232,";",REPT(" ",99)),298,99)),FIND(":",TRIM(MID(SUBSTITUTE(K232,";",REPT(" ",99)),298,99)))+1,999))+1,999),FIND(":",MID(MID(TRIM(MID(SUBSTITUTE(K232,";",REPT(" ",99)),298,99)),FIND(":",TRIM(MID(SUBSTITUTE(K232,";",REPT(" ",99)),298,99)))+1,999),FIND(":",MID(TRIM(MID(SUBSTITUTE(K232,";",REPT(" ",99)),298,99)),FIND(":",TRIM(MID(SUBSTITUTE(K232,";",REPT(" ",99)),298,99)))+1,999))+1,999))-1)),IF(TRIM(MID(SUBSTITUTE(K232,";",REPT(" ",99)),397,99))="","",IFERROR(VLOOKUP(--LEFT(MID(TRIM(MID(SUBSTITUTE(K232,";",REPT(" ",99)),397,99)),FIND(":",TRIM(MID(SUBSTITUTE(K232,";",REPT(" ",99)),397,99)))+1,999),FIND(":",MID(TRIM(MID(SUBSTITUTE(K232,";",REPT(" ",99)),397,99)),FIND(":",TRIM(MID(SUBSTITUTE(K232,";",REPT(" ",99)),397,99)))+1,999))-1),_Lookup!$A:$B,2,FALSE),"?")&amp;"×"&amp;LEFT(MID(MID(TRIM(MID(SUBSTITUTE(K232,";",REPT(" ",99)),397,99)),FIND(":",TRIM(MID(SUBSTITUTE(K232,";",REPT(" ",99)),397,99)))+1,999),FIND(":",MID(TRIM(MID(SUBSTITUTE(K232,";",REPT(" ",99)),397,99)),FIND(":",TRIM(MID(SUBSTITUTE(K232,";",REPT(" ",99)),397,99)))+1,999))+1,999),FIND(":",MID(MID(TRIM(MID(SUBSTITUTE(K232,";",REPT(" ",99)),397,99)),FIND(":",TRIM(MID(SUBSTITUTE(K232,";",REPT(" ",99)),397,99)))+1,999),FIND(":",MID(TRIM(MID(SUBSTITUTE(K232,";",REPT(" ",99)),397,99)),FIND(":",TRIM(MID(SUBSTITUTE(K232,";",REPT(" ",99)),397,99)))+1,999))+1,999))-1))))</f>
        <v/>
      </c>
    </row>
    <row r="233">
      <c r="D233" s="11">
        <f>IFERROR(VLOOKUP(C233,ItemData_Fish!$A:$B,2,FALSE),"")</f>
        <v/>
      </c>
      <c r="L233" s="11">
        <f>IF(K233="","",TEXTJOIN("; ",TRUE,IF(TRIM(MID(SUBSTITUTE(K233,";",REPT(" ",99)),1,99))="","",IFERROR(VLOOKUP(--LEFT(MID(TRIM(MID(SUBSTITUTE(K233,";",REPT(" ",99)),1,99)),FIND(":",TRIM(MID(SUBSTITUTE(K233,";",REPT(" ",99)),1,99)))+1,999),FIND(":",MID(TRIM(MID(SUBSTITUTE(K233,";",REPT(" ",99)),1,99)),FIND(":",TRIM(MID(SUBSTITUTE(K233,";",REPT(" ",99)),1,99)))+1,999))-1),_Lookup!$A:$B,2,FALSE),"?")&amp;"×"&amp;LEFT(MID(MID(TRIM(MID(SUBSTITUTE(K233,";",REPT(" ",99)),1,99)),FIND(":",TRIM(MID(SUBSTITUTE(K233,";",REPT(" ",99)),1,99)))+1,999),FIND(":",MID(TRIM(MID(SUBSTITUTE(K233,";",REPT(" ",99)),1,99)),FIND(":",TRIM(MID(SUBSTITUTE(K233,";",REPT(" ",99)),1,99)))+1,999))+1,999),FIND(":",MID(MID(TRIM(MID(SUBSTITUTE(K233,";",REPT(" ",99)),1,99)),FIND(":",TRIM(MID(SUBSTITUTE(K233,";",REPT(" ",99)),1,99)))+1,999),FIND(":",MID(TRIM(MID(SUBSTITUTE(K233,";",REPT(" ",99)),1,99)),FIND(":",TRIM(MID(SUBSTITUTE(K233,";",REPT(" ",99)),1,99)))+1,999))+1,999))-1)),IF(TRIM(MID(SUBSTITUTE(K233,";",REPT(" ",99)),100,99))="","",IFERROR(VLOOKUP(--LEFT(MID(TRIM(MID(SUBSTITUTE(K233,";",REPT(" ",99)),100,99)),FIND(":",TRIM(MID(SUBSTITUTE(K233,";",REPT(" ",99)),100,99)))+1,999),FIND(":",MID(TRIM(MID(SUBSTITUTE(K233,";",REPT(" ",99)),100,99)),FIND(":",TRIM(MID(SUBSTITUTE(K233,";",REPT(" ",99)),100,99)))+1,999))-1),_Lookup!$A:$B,2,FALSE),"?")&amp;"×"&amp;LEFT(MID(MID(TRIM(MID(SUBSTITUTE(K233,";",REPT(" ",99)),100,99)),FIND(":",TRIM(MID(SUBSTITUTE(K233,";",REPT(" ",99)),100,99)))+1,999),FIND(":",MID(TRIM(MID(SUBSTITUTE(K233,";",REPT(" ",99)),100,99)),FIND(":",TRIM(MID(SUBSTITUTE(K233,";",REPT(" ",99)),100,99)))+1,999))+1,999),FIND(":",MID(MID(TRIM(MID(SUBSTITUTE(K233,";",REPT(" ",99)),100,99)),FIND(":",TRIM(MID(SUBSTITUTE(K233,";",REPT(" ",99)),100,99)))+1,999),FIND(":",MID(TRIM(MID(SUBSTITUTE(K233,";",REPT(" ",99)),100,99)),FIND(":",TRIM(MID(SUBSTITUTE(K233,";",REPT(" ",99)),100,99)))+1,999))+1,999))-1)),IF(TRIM(MID(SUBSTITUTE(K233,";",REPT(" ",99)),199,99))="","",IFERROR(VLOOKUP(--LEFT(MID(TRIM(MID(SUBSTITUTE(K233,";",REPT(" ",99)),199,99)),FIND(":",TRIM(MID(SUBSTITUTE(K233,";",REPT(" ",99)),199,99)))+1,999),FIND(":",MID(TRIM(MID(SUBSTITUTE(K233,";",REPT(" ",99)),199,99)),FIND(":",TRIM(MID(SUBSTITUTE(K233,";",REPT(" ",99)),199,99)))+1,999))-1),_Lookup!$A:$B,2,FALSE),"?")&amp;"×"&amp;LEFT(MID(MID(TRIM(MID(SUBSTITUTE(K233,";",REPT(" ",99)),199,99)),FIND(":",TRIM(MID(SUBSTITUTE(K233,";",REPT(" ",99)),199,99)))+1,999),FIND(":",MID(TRIM(MID(SUBSTITUTE(K233,";",REPT(" ",99)),199,99)),FIND(":",TRIM(MID(SUBSTITUTE(K233,";",REPT(" ",99)),199,99)))+1,999))+1,999),FIND(":",MID(MID(TRIM(MID(SUBSTITUTE(K233,";",REPT(" ",99)),199,99)),FIND(":",TRIM(MID(SUBSTITUTE(K233,";",REPT(" ",99)),199,99)))+1,999),FIND(":",MID(TRIM(MID(SUBSTITUTE(K233,";",REPT(" ",99)),199,99)),FIND(":",TRIM(MID(SUBSTITUTE(K233,";",REPT(" ",99)),199,99)))+1,999))+1,999))-1)),IF(TRIM(MID(SUBSTITUTE(K233,";",REPT(" ",99)),298,99))="","",IFERROR(VLOOKUP(--LEFT(MID(TRIM(MID(SUBSTITUTE(K233,";",REPT(" ",99)),298,99)),FIND(":",TRIM(MID(SUBSTITUTE(K233,";",REPT(" ",99)),298,99)))+1,999),FIND(":",MID(TRIM(MID(SUBSTITUTE(K233,";",REPT(" ",99)),298,99)),FIND(":",TRIM(MID(SUBSTITUTE(K233,";",REPT(" ",99)),298,99)))+1,999))-1),_Lookup!$A:$B,2,FALSE),"?")&amp;"×"&amp;LEFT(MID(MID(TRIM(MID(SUBSTITUTE(K233,";",REPT(" ",99)),298,99)),FIND(":",TRIM(MID(SUBSTITUTE(K233,";",REPT(" ",99)),298,99)))+1,999),FIND(":",MID(TRIM(MID(SUBSTITUTE(K233,";",REPT(" ",99)),298,99)),FIND(":",TRIM(MID(SUBSTITUTE(K233,";",REPT(" ",99)),298,99)))+1,999))+1,999),FIND(":",MID(MID(TRIM(MID(SUBSTITUTE(K233,";",REPT(" ",99)),298,99)),FIND(":",TRIM(MID(SUBSTITUTE(K233,";",REPT(" ",99)),298,99)))+1,999),FIND(":",MID(TRIM(MID(SUBSTITUTE(K233,";",REPT(" ",99)),298,99)),FIND(":",TRIM(MID(SUBSTITUTE(K233,";",REPT(" ",99)),298,99)))+1,999))+1,999))-1)),IF(TRIM(MID(SUBSTITUTE(K233,";",REPT(" ",99)),397,99))="","",IFERROR(VLOOKUP(--LEFT(MID(TRIM(MID(SUBSTITUTE(K233,";",REPT(" ",99)),397,99)),FIND(":",TRIM(MID(SUBSTITUTE(K233,";",REPT(" ",99)),397,99)))+1,999),FIND(":",MID(TRIM(MID(SUBSTITUTE(K233,";",REPT(" ",99)),397,99)),FIND(":",TRIM(MID(SUBSTITUTE(K233,";",REPT(" ",99)),397,99)))+1,999))-1),_Lookup!$A:$B,2,FALSE),"?")&amp;"×"&amp;LEFT(MID(MID(TRIM(MID(SUBSTITUTE(K233,";",REPT(" ",99)),397,99)),FIND(":",TRIM(MID(SUBSTITUTE(K233,";",REPT(" ",99)),397,99)))+1,999),FIND(":",MID(TRIM(MID(SUBSTITUTE(K233,";",REPT(" ",99)),397,99)),FIND(":",TRIM(MID(SUBSTITUTE(K233,";",REPT(" ",99)),397,99)))+1,999))+1,999),FIND(":",MID(MID(TRIM(MID(SUBSTITUTE(K233,";",REPT(" ",99)),397,99)),FIND(":",TRIM(MID(SUBSTITUTE(K233,";",REPT(" ",99)),397,99)))+1,999),FIND(":",MID(TRIM(MID(SUBSTITUTE(K233,";",REPT(" ",99)),397,99)),FIND(":",TRIM(MID(SUBSTITUTE(K233,";",REPT(" ",99)),397,99)))+1,999))+1,999))-1))))</f>
        <v/>
      </c>
    </row>
    <row r="234">
      <c r="D234" s="11">
        <f>IFERROR(VLOOKUP(C234,ItemData_Fish!$A:$B,2,FALSE),"")</f>
        <v/>
      </c>
      <c r="L234" s="11">
        <f>IF(K234="","",TEXTJOIN("; ",TRUE,IF(TRIM(MID(SUBSTITUTE(K234,";",REPT(" ",99)),1,99))="","",IFERROR(VLOOKUP(--LEFT(MID(TRIM(MID(SUBSTITUTE(K234,";",REPT(" ",99)),1,99)),FIND(":",TRIM(MID(SUBSTITUTE(K234,";",REPT(" ",99)),1,99)))+1,999),FIND(":",MID(TRIM(MID(SUBSTITUTE(K234,";",REPT(" ",99)),1,99)),FIND(":",TRIM(MID(SUBSTITUTE(K234,";",REPT(" ",99)),1,99)))+1,999))-1),_Lookup!$A:$B,2,FALSE),"?")&amp;"×"&amp;LEFT(MID(MID(TRIM(MID(SUBSTITUTE(K234,";",REPT(" ",99)),1,99)),FIND(":",TRIM(MID(SUBSTITUTE(K234,";",REPT(" ",99)),1,99)))+1,999),FIND(":",MID(TRIM(MID(SUBSTITUTE(K234,";",REPT(" ",99)),1,99)),FIND(":",TRIM(MID(SUBSTITUTE(K234,";",REPT(" ",99)),1,99)))+1,999))+1,999),FIND(":",MID(MID(TRIM(MID(SUBSTITUTE(K234,";",REPT(" ",99)),1,99)),FIND(":",TRIM(MID(SUBSTITUTE(K234,";",REPT(" ",99)),1,99)))+1,999),FIND(":",MID(TRIM(MID(SUBSTITUTE(K234,";",REPT(" ",99)),1,99)),FIND(":",TRIM(MID(SUBSTITUTE(K234,";",REPT(" ",99)),1,99)))+1,999))+1,999))-1)),IF(TRIM(MID(SUBSTITUTE(K234,";",REPT(" ",99)),100,99))="","",IFERROR(VLOOKUP(--LEFT(MID(TRIM(MID(SUBSTITUTE(K234,";",REPT(" ",99)),100,99)),FIND(":",TRIM(MID(SUBSTITUTE(K234,";",REPT(" ",99)),100,99)))+1,999),FIND(":",MID(TRIM(MID(SUBSTITUTE(K234,";",REPT(" ",99)),100,99)),FIND(":",TRIM(MID(SUBSTITUTE(K234,";",REPT(" ",99)),100,99)))+1,999))-1),_Lookup!$A:$B,2,FALSE),"?")&amp;"×"&amp;LEFT(MID(MID(TRIM(MID(SUBSTITUTE(K234,";",REPT(" ",99)),100,99)),FIND(":",TRIM(MID(SUBSTITUTE(K234,";",REPT(" ",99)),100,99)))+1,999),FIND(":",MID(TRIM(MID(SUBSTITUTE(K234,";",REPT(" ",99)),100,99)),FIND(":",TRIM(MID(SUBSTITUTE(K234,";",REPT(" ",99)),100,99)))+1,999))+1,999),FIND(":",MID(MID(TRIM(MID(SUBSTITUTE(K234,";",REPT(" ",99)),100,99)),FIND(":",TRIM(MID(SUBSTITUTE(K234,";",REPT(" ",99)),100,99)))+1,999),FIND(":",MID(TRIM(MID(SUBSTITUTE(K234,";",REPT(" ",99)),100,99)),FIND(":",TRIM(MID(SUBSTITUTE(K234,";",REPT(" ",99)),100,99)))+1,999))+1,999))-1)),IF(TRIM(MID(SUBSTITUTE(K234,";",REPT(" ",99)),199,99))="","",IFERROR(VLOOKUP(--LEFT(MID(TRIM(MID(SUBSTITUTE(K234,";",REPT(" ",99)),199,99)),FIND(":",TRIM(MID(SUBSTITUTE(K234,";",REPT(" ",99)),199,99)))+1,999),FIND(":",MID(TRIM(MID(SUBSTITUTE(K234,";",REPT(" ",99)),199,99)),FIND(":",TRIM(MID(SUBSTITUTE(K234,";",REPT(" ",99)),199,99)))+1,999))-1),_Lookup!$A:$B,2,FALSE),"?")&amp;"×"&amp;LEFT(MID(MID(TRIM(MID(SUBSTITUTE(K234,";",REPT(" ",99)),199,99)),FIND(":",TRIM(MID(SUBSTITUTE(K234,";",REPT(" ",99)),199,99)))+1,999),FIND(":",MID(TRIM(MID(SUBSTITUTE(K234,";",REPT(" ",99)),199,99)),FIND(":",TRIM(MID(SUBSTITUTE(K234,";",REPT(" ",99)),199,99)))+1,999))+1,999),FIND(":",MID(MID(TRIM(MID(SUBSTITUTE(K234,";",REPT(" ",99)),199,99)),FIND(":",TRIM(MID(SUBSTITUTE(K234,";",REPT(" ",99)),199,99)))+1,999),FIND(":",MID(TRIM(MID(SUBSTITUTE(K234,";",REPT(" ",99)),199,99)),FIND(":",TRIM(MID(SUBSTITUTE(K234,";",REPT(" ",99)),199,99)))+1,999))+1,999))-1)),IF(TRIM(MID(SUBSTITUTE(K234,";",REPT(" ",99)),298,99))="","",IFERROR(VLOOKUP(--LEFT(MID(TRIM(MID(SUBSTITUTE(K234,";",REPT(" ",99)),298,99)),FIND(":",TRIM(MID(SUBSTITUTE(K234,";",REPT(" ",99)),298,99)))+1,999),FIND(":",MID(TRIM(MID(SUBSTITUTE(K234,";",REPT(" ",99)),298,99)),FIND(":",TRIM(MID(SUBSTITUTE(K234,";",REPT(" ",99)),298,99)))+1,999))-1),_Lookup!$A:$B,2,FALSE),"?")&amp;"×"&amp;LEFT(MID(MID(TRIM(MID(SUBSTITUTE(K234,";",REPT(" ",99)),298,99)),FIND(":",TRIM(MID(SUBSTITUTE(K234,";",REPT(" ",99)),298,99)))+1,999),FIND(":",MID(TRIM(MID(SUBSTITUTE(K234,";",REPT(" ",99)),298,99)),FIND(":",TRIM(MID(SUBSTITUTE(K234,";",REPT(" ",99)),298,99)))+1,999))+1,999),FIND(":",MID(MID(TRIM(MID(SUBSTITUTE(K234,";",REPT(" ",99)),298,99)),FIND(":",TRIM(MID(SUBSTITUTE(K234,";",REPT(" ",99)),298,99)))+1,999),FIND(":",MID(TRIM(MID(SUBSTITUTE(K234,";",REPT(" ",99)),298,99)),FIND(":",TRIM(MID(SUBSTITUTE(K234,";",REPT(" ",99)),298,99)))+1,999))+1,999))-1)),IF(TRIM(MID(SUBSTITUTE(K234,";",REPT(" ",99)),397,99))="","",IFERROR(VLOOKUP(--LEFT(MID(TRIM(MID(SUBSTITUTE(K234,";",REPT(" ",99)),397,99)),FIND(":",TRIM(MID(SUBSTITUTE(K234,";",REPT(" ",99)),397,99)))+1,999),FIND(":",MID(TRIM(MID(SUBSTITUTE(K234,";",REPT(" ",99)),397,99)),FIND(":",TRIM(MID(SUBSTITUTE(K234,";",REPT(" ",99)),397,99)))+1,999))-1),_Lookup!$A:$B,2,FALSE),"?")&amp;"×"&amp;LEFT(MID(MID(TRIM(MID(SUBSTITUTE(K234,";",REPT(" ",99)),397,99)),FIND(":",TRIM(MID(SUBSTITUTE(K234,";",REPT(" ",99)),397,99)))+1,999),FIND(":",MID(TRIM(MID(SUBSTITUTE(K234,";",REPT(" ",99)),397,99)),FIND(":",TRIM(MID(SUBSTITUTE(K234,";",REPT(" ",99)),397,99)))+1,999))+1,999),FIND(":",MID(MID(TRIM(MID(SUBSTITUTE(K234,";",REPT(" ",99)),397,99)),FIND(":",TRIM(MID(SUBSTITUTE(K234,";",REPT(" ",99)),397,99)))+1,999),FIND(":",MID(TRIM(MID(SUBSTITUTE(K234,";",REPT(" ",99)),397,99)),FIND(":",TRIM(MID(SUBSTITUTE(K234,";",REPT(" ",99)),397,99)))+1,999))+1,999))-1))))</f>
        <v/>
      </c>
    </row>
    <row r="235">
      <c r="D235" s="11">
        <f>IFERROR(VLOOKUP(C235,ItemData_Fish!$A:$B,2,FALSE),"")</f>
        <v/>
      </c>
      <c r="L235" s="11">
        <f>IF(K235="","",TEXTJOIN("; ",TRUE,IF(TRIM(MID(SUBSTITUTE(K235,";",REPT(" ",99)),1,99))="","",IFERROR(VLOOKUP(--LEFT(MID(TRIM(MID(SUBSTITUTE(K235,";",REPT(" ",99)),1,99)),FIND(":",TRIM(MID(SUBSTITUTE(K235,";",REPT(" ",99)),1,99)))+1,999),FIND(":",MID(TRIM(MID(SUBSTITUTE(K235,";",REPT(" ",99)),1,99)),FIND(":",TRIM(MID(SUBSTITUTE(K235,";",REPT(" ",99)),1,99)))+1,999))-1),_Lookup!$A:$B,2,FALSE),"?")&amp;"×"&amp;LEFT(MID(MID(TRIM(MID(SUBSTITUTE(K235,";",REPT(" ",99)),1,99)),FIND(":",TRIM(MID(SUBSTITUTE(K235,";",REPT(" ",99)),1,99)))+1,999),FIND(":",MID(TRIM(MID(SUBSTITUTE(K235,";",REPT(" ",99)),1,99)),FIND(":",TRIM(MID(SUBSTITUTE(K235,";",REPT(" ",99)),1,99)))+1,999))+1,999),FIND(":",MID(MID(TRIM(MID(SUBSTITUTE(K235,";",REPT(" ",99)),1,99)),FIND(":",TRIM(MID(SUBSTITUTE(K235,";",REPT(" ",99)),1,99)))+1,999),FIND(":",MID(TRIM(MID(SUBSTITUTE(K235,";",REPT(" ",99)),1,99)),FIND(":",TRIM(MID(SUBSTITUTE(K235,";",REPT(" ",99)),1,99)))+1,999))+1,999))-1)),IF(TRIM(MID(SUBSTITUTE(K235,";",REPT(" ",99)),100,99))="","",IFERROR(VLOOKUP(--LEFT(MID(TRIM(MID(SUBSTITUTE(K235,";",REPT(" ",99)),100,99)),FIND(":",TRIM(MID(SUBSTITUTE(K235,";",REPT(" ",99)),100,99)))+1,999),FIND(":",MID(TRIM(MID(SUBSTITUTE(K235,";",REPT(" ",99)),100,99)),FIND(":",TRIM(MID(SUBSTITUTE(K235,";",REPT(" ",99)),100,99)))+1,999))-1),_Lookup!$A:$B,2,FALSE),"?")&amp;"×"&amp;LEFT(MID(MID(TRIM(MID(SUBSTITUTE(K235,";",REPT(" ",99)),100,99)),FIND(":",TRIM(MID(SUBSTITUTE(K235,";",REPT(" ",99)),100,99)))+1,999),FIND(":",MID(TRIM(MID(SUBSTITUTE(K235,";",REPT(" ",99)),100,99)),FIND(":",TRIM(MID(SUBSTITUTE(K235,";",REPT(" ",99)),100,99)))+1,999))+1,999),FIND(":",MID(MID(TRIM(MID(SUBSTITUTE(K235,";",REPT(" ",99)),100,99)),FIND(":",TRIM(MID(SUBSTITUTE(K235,";",REPT(" ",99)),100,99)))+1,999),FIND(":",MID(TRIM(MID(SUBSTITUTE(K235,";",REPT(" ",99)),100,99)),FIND(":",TRIM(MID(SUBSTITUTE(K235,";",REPT(" ",99)),100,99)))+1,999))+1,999))-1)),IF(TRIM(MID(SUBSTITUTE(K235,";",REPT(" ",99)),199,99))="","",IFERROR(VLOOKUP(--LEFT(MID(TRIM(MID(SUBSTITUTE(K235,";",REPT(" ",99)),199,99)),FIND(":",TRIM(MID(SUBSTITUTE(K235,";",REPT(" ",99)),199,99)))+1,999),FIND(":",MID(TRIM(MID(SUBSTITUTE(K235,";",REPT(" ",99)),199,99)),FIND(":",TRIM(MID(SUBSTITUTE(K235,";",REPT(" ",99)),199,99)))+1,999))-1),_Lookup!$A:$B,2,FALSE),"?")&amp;"×"&amp;LEFT(MID(MID(TRIM(MID(SUBSTITUTE(K235,";",REPT(" ",99)),199,99)),FIND(":",TRIM(MID(SUBSTITUTE(K235,";",REPT(" ",99)),199,99)))+1,999),FIND(":",MID(TRIM(MID(SUBSTITUTE(K235,";",REPT(" ",99)),199,99)),FIND(":",TRIM(MID(SUBSTITUTE(K235,";",REPT(" ",99)),199,99)))+1,999))+1,999),FIND(":",MID(MID(TRIM(MID(SUBSTITUTE(K235,";",REPT(" ",99)),199,99)),FIND(":",TRIM(MID(SUBSTITUTE(K235,";",REPT(" ",99)),199,99)))+1,999),FIND(":",MID(TRIM(MID(SUBSTITUTE(K235,";",REPT(" ",99)),199,99)),FIND(":",TRIM(MID(SUBSTITUTE(K235,";",REPT(" ",99)),199,99)))+1,999))+1,999))-1)),IF(TRIM(MID(SUBSTITUTE(K235,";",REPT(" ",99)),298,99))="","",IFERROR(VLOOKUP(--LEFT(MID(TRIM(MID(SUBSTITUTE(K235,";",REPT(" ",99)),298,99)),FIND(":",TRIM(MID(SUBSTITUTE(K235,";",REPT(" ",99)),298,99)))+1,999),FIND(":",MID(TRIM(MID(SUBSTITUTE(K235,";",REPT(" ",99)),298,99)),FIND(":",TRIM(MID(SUBSTITUTE(K235,";",REPT(" ",99)),298,99)))+1,999))-1),_Lookup!$A:$B,2,FALSE),"?")&amp;"×"&amp;LEFT(MID(MID(TRIM(MID(SUBSTITUTE(K235,";",REPT(" ",99)),298,99)),FIND(":",TRIM(MID(SUBSTITUTE(K235,";",REPT(" ",99)),298,99)))+1,999),FIND(":",MID(TRIM(MID(SUBSTITUTE(K235,";",REPT(" ",99)),298,99)),FIND(":",TRIM(MID(SUBSTITUTE(K235,";",REPT(" ",99)),298,99)))+1,999))+1,999),FIND(":",MID(MID(TRIM(MID(SUBSTITUTE(K235,";",REPT(" ",99)),298,99)),FIND(":",TRIM(MID(SUBSTITUTE(K235,";",REPT(" ",99)),298,99)))+1,999),FIND(":",MID(TRIM(MID(SUBSTITUTE(K235,";",REPT(" ",99)),298,99)),FIND(":",TRIM(MID(SUBSTITUTE(K235,";",REPT(" ",99)),298,99)))+1,999))+1,999))-1)),IF(TRIM(MID(SUBSTITUTE(K235,";",REPT(" ",99)),397,99))="","",IFERROR(VLOOKUP(--LEFT(MID(TRIM(MID(SUBSTITUTE(K235,";",REPT(" ",99)),397,99)),FIND(":",TRIM(MID(SUBSTITUTE(K235,";",REPT(" ",99)),397,99)))+1,999),FIND(":",MID(TRIM(MID(SUBSTITUTE(K235,";",REPT(" ",99)),397,99)),FIND(":",TRIM(MID(SUBSTITUTE(K235,";",REPT(" ",99)),397,99)))+1,999))-1),_Lookup!$A:$B,2,FALSE),"?")&amp;"×"&amp;LEFT(MID(MID(TRIM(MID(SUBSTITUTE(K235,";",REPT(" ",99)),397,99)),FIND(":",TRIM(MID(SUBSTITUTE(K235,";",REPT(" ",99)),397,99)))+1,999),FIND(":",MID(TRIM(MID(SUBSTITUTE(K235,";",REPT(" ",99)),397,99)),FIND(":",TRIM(MID(SUBSTITUTE(K235,";",REPT(" ",99)),397,99)))+1,999))+1,999),FIND(":",MID(MID(TRIM(MID(SUBSTITUTE(K235,";",REPT(" ",99)),397,99)),FIND(":",TRIM(MID(SUBSTITUTE(K235,";",REPT(" ",99)),397,99)))+1,999),FIND(":",MID(TRIM(MID(SUBSTITUTE(K235,";",REPT(" ",99)),397,99)),FIND(":",TRIM(MID(SUBSTITUTE(K235,";",REPT(" ",99)),397,99)))+1,999))+1,999))-1))))</f>
        <v/>
      </c>
    </row>
    <row r="236">
      <c r="D236" s="11">
        <f>IFERROR(VLOOKUP(C236,ItemData_Fish!$A:$B,2,FALSE),"")</f>
        <v/>
      </c>
      <c r="L236" s="11">
        <f>IF(K236="","",TEXTJOIN("; ",TRUE,IF(TRIM(MID(SUBSTITUTE(K236,";",REPT(" ",99)),1,99))="","",IFERROR(VLOOKUP(--LEFT(MID(TRIM(MID(SUBSTITUTE(K236,";",REPT(" ",99)),1,99)),FIND(":",TRIM(MID(SUBSTITUTE(K236,";",REPT(" ",99)),1,99)))+1,999),FIND(":",MID(TRIM(MID(SUBSTITUTE(K236,";",REPT(" ",99)),1,99)),FIND(":",TRIM(MID(SUBSTITUTE(K236,";",REPT(" ",99)),1,99)))+1,999))-1),_Lookup!$A:$B,2,FALSE),"?")&amp;"×"&amp;LEFT(MID(MID(TRIM(MID(SUBSTITUTE(K236,";",REPT(" ",99)),1,99)),FIND(":",TRIM(MID(SUBSTITUTE(K236,";",REPT(" ",99)),1,99)))+1,999),FIND(":",MID(TRIM(MID(SUBSTITUTE(K236,";",REPT(" ",99)),1,99)),FIND(":",TRIM(MID(SUBSTITUTE(K236,";",REPT(" ",99)),1,99)))+1,999))+1,999),FIND(":",MID(MID(TRIM(MID(SUBSTITUTE(K236,";",REPT(" ",99)),1,99)),FIND(":",TRIM(MID(SUBSTITUTE(K236,";",REPT(" ",99)),1,99)))+1,999),FIND(":",MID(TRIM(MID(SUBSTITUTE(K236,";",REPT(" ",99)),1,99)),FIND(":",TRIM(MID(SUBSTITUTE(K236,";",REPT(" ",99)),1,99)))+1,999))+1,999))-1)),IF(TRIM(MID(SUBSTITUTE(K236,";",REPT(" ",99)),100,99))="","",IFERROR(VLOOKUP(--LEFT(MID(TRIM(MID(SUBSTITUTE(K236,";",REPT(" ",99)),100,99)),FIND(":",TRIM(MID(SUBSTITUTE(K236,";",REPT(" ",99)),100,99)))+1,999),FIND(":",MID(TRIM(MID(SUBSTITUTE(K236,";",REPT(" ",99)),100,99)),FIND(":",TRIM(MID(SUBSTITUTE(K236,";",REPT(" ",99)),100,99)))+1,999))-1),_Lookup!$A:$B,2,FALSE),"?")&amp;"×"&amp;LEFT(MID(MID(TRIM(MID(SUBSTITUTE(K236,";",REPT(" ",99)),100,99)),FIND(":",TRIM(MID(SUBSTITUTE(K236,";",REPT(" ",99)),100,99)))+1,999),FIND(":",MID(TRIM(MID(SUBSTITUTE(K236,";",REPT(" ",99)),100,99)),FIND(":",TRIM(MID(SUBSTITUTE(K236,";",REPT(" ",99)),100,99)))+1,999))+1,999),FIND(":",MID(MID(TRIM(MID(SUBSTITUTE(K236,";",REPT(" ",99)),100,99)),FIND(":",TRIM(MID(SUBSTITUTE(K236,";",REPT(" ",99)),100,99)))+1,999),FIND(":",MID(TRIM(MID(SUBSTITUTE(K236,";",REPT(" ",99)),100,99)),FIND(":",TRIM(MID(SUBSTITUTE(K236,";",REPT(" ",99)),100,99)))+1,999))+1,999))-1)),IF(TRIM(MID(SUBSTITUTE(K236,";",REPT(" ",99)),199,99))="","",IFERROR(VLOOKUP(--LEFT(MID(TRIM(MID(SUBSTITUTE(K236,";",REPT(" ",99)),199,99)),FIND(":",TRIM(MID(SUBSTITUTE(K236,";",REPT(" ",99)),199,99)))+1,999),FIND(":",MID(TRIM(MID(SUBSTITUTE(K236,";",REPT(" ",99)),199,99)),FIND(":",TRIM(MID(SUBSTITUTE(K236,";",REPT(" ",99)),199,99)))+1,999))-1),_Lookup!$A:$B,2,FALSE),"?")&amp;"×"&amp;LEFT(MID(MID(TRIM(MID(SUBSTITUTE(K236,";",REPT(" ",99)),199,99)),FIND(":",TRIM(MID(SUBSTITUTE(K236,";",REPT(" ",99)),199,99)))+1,999),FIND(":",MID(TRIM(MID(SUBSTITUTE(K236,";",REPT(" ",99)),199,99)),FIND(":",TRIM(MID(SUBSTITUTE(K236,";",REPT(" ",99)),199,99)))+1,999))+1,999),FIND(":",MID(MID(TRIM(MID(SUBSTITUTE(K236,";",REPT(" ",99)),199,99)),FIND(":",TRIM(MID(SUBSTITUTE(K236,";",REPT(" ",99)),199,99)))+1,999),FIND(":",MID(TRIM(MID(SUBSTITUTE(K236,";",REPT(" ",99)),199,99)),FIND(":",TRIM(MID(SUBSTITUTE(K236,";",REPT(" ",99)),199,99)))+1,999))+1,999))-1)),IF(TRIM(MID(SUBSTITUTE(K236,";",REPT(" ",99)),298,99))="","",IFERROR(VLOOKUP(--LEFT(MID(TRIM(MID(SUBSTITUTE(K236,";",REPT(" ",99)),298,99)),FIND(":",TRIM(MID(SUBSTITUTE(K236,";",REPT(" ",99)),298,99)))+1,999),FIND(":",MID(TRIM(MID(SUBSTITUTE(K236,";",REPT(" ",99)),298,99)),FIND(":",TRIM(MID(SUBSTITUTE(K236,";",REPT(" ",99)),298,99)))+1,999))-1),_Lookup!$A:$B,2,FALSE),"?")&amp;"×"&amp;LEFT(MID(MID(TRIM(MID(SUBSTITUTE(K236,";",REPT(" ",99)),298,99)),FIND(":",TRIM(MID(SUBSTITUTE(K236,";",REPT(" ",99)),298,99)))+1,999),FIND(":",MID(TRIM(MID(SUBSTITUTE(K236,";",REPT(" ",99)),298,99)),FIND(":",TRIM(MID(SUBSTITUTE(K236,";",REPT(" ",99)),298,99)))+1,999))+1,999),FIND(":",MID(MID(TRIM(MID(SUBSTITUTE(K236,";",REPT(" ",99)),298,99)),FIND(":",TRIM(MID(SUBSTITUTE(K236,";",REPT(" ",99)),298,99)))+1,999),FIND(":",MID(TRIM(MID(SUBSTITUTE(K236,";",REPT(" ",99)),298,99)),FIND(":",TRIM(MID(SUBSTITUTE(K236,";",REPT(" ",99)),298,99)))+1,999))+1,999))-1)),IF(TRIM(MID(SUBSTITUTE(K236,";",REPT(" ",99)),397,99))="","",IFERROR(VLOOKUP(--LEFT(MID(TRIM(MID(SUBSTITUTE(K236,";",REPT(" ",99)),397,99)),FIND(":",TRIM(MID(SUBSTITUTE(K236,";",REPT(" ",99)),397,99)))+1,999),FIND(":",MID(TRIM(MID(SUBSTITUTE(K236,";",REPT(" ",99)),397,99)),FIND(":",TRIM(MID(SUBSTITUTE(K236,";",REPT(" ",99)),397,99)))+1,999))-1),_Lookup!$A:$B,2,FALSE),"?")&amp;"×"&amp;LEFT(MID(MID(TRIM(MID(SUBSTITUTE(K236,";",REPT(" ",99)),397,99)),FIND(":",TRIM(MID(SUBSTITUTE(K236,";",REPT(" ",99)),397,99)))+1,999),FIND(":",MID(TRIM(MID(SUBSTITUTE(K236,";",REPT(" ",99)),397,99)),FIND(":",TRIM(MID(SUBSTITUTE(K236,";",REPT(" ",99)),397,99)))+1,999))+1,999),FIND(":",MID(MID(TRIM(MID(SUBSTITUTE(K236,";",REPT(" ",99)),397,99)),FIND(":",TRIM(MID(SUBSTITUTE(K236,";",REPT(" ",99)),397,99)))+1,999),FIND(":",MID(TRIM(MID(SUBSTITUTE(K236,";",REPT(" ",99)),397,99)),FIND(":",TRIM(MID(SUBSTITUTE(K236,";",REPT(" ",99)),397,99)))+1,999))+1,999))-1))))</f>
        <v/>
      </c>
    </row>
    <row r="237">
      <c r="D237" s="11">
        <f>IFERROR(VLOOKUP(C237,ItemData_Fish!$A:$B,2,FALSE),"")</f>
        <v/>
      </c>
      <c r="L237" s="11">
        <f>IF(K237="","",TEXTJOIN("; ",TRUE,IF(TRIM(MID(SUBSTITUTE(K237,";",REPT(" ",99)),1,99))="","",IFERROR(VLOOKUP(--LEFT(MID(TRIM(MID(SUBSTITUTE(K237,";",REPT(" ",99)),1,99)),FIND(":",TRIM(MID(SUBSTITUTE(K237,";",REPT(" ",99)),1,99)))+1,999),FIND(":",MID(TRIM(MID(SUBSTITUTE(K237,";",REPT(" ",99)),1,99)),FIND(":",TRIM(MID(SUBSTITUTE(K237,";",REPT(" ",99)),1,99)))+1,999))-1),_Lookup!$A:$B,2,FALSE),"?")&amp;"×"&amp;LEFT(MID(MID(TRIM(MID(SUBSTITUTE(K237,";",REPT(" ",99)),1,99)),FIND(":",TRIM(MID(SUBSTITUTE(K237,";",REPT(" ",99)),1,99)))+1,999),FIND(":",MID(TRIM(MID(SUBSTITUTE(K237,";",REPT(" ",99)),1,99)),FIND(":",TRIM(MID(SUBSTITUTE(K237,";",REPT(" ",99)),1,99)))+1,999))+1,999),FIND(":",MID(MID(TRIM(MID(SUBSTITUTE(K237,";",REPT(" ",99)),1,99)),FIND(":",TRIM(MID(SUBSTITUTE(K237,";",REPT(" ",99)),1,99)))+1,999),FIND(":",MID(TRIM(MID(SUBSTITUTE(K237,";",REPT(" ",99)),1,99)),FIND(":",TRIM(MID(SUBSTITUTE(K237,";",REPT(" ",99)),1,99)))+1,999))+1,999))-1)),IF(TRIM(MID(SUBSTITUTE(K237,";",REPT(" ",99)),100,99))="","",IFERROR(VLOOKUP(--LEFT(MID(TRIM(MID(SUBSTITUTE(K237,";",REPT(" ",99)),100,99)),FIND(":",TRIM(MID(SUBSTITUTE(K237,";",REPT(" ",99)),100,99)))+1,999),FIND(":",MID(TRIM(MID(SUBSTITUTE(K237,";",REPT(" ",99)),100,99)),FIND(":",TRIM(MID(SUBSTITUTE(K237,";",REPT(" ",99)),100,99)))+1,999))-1),_Lookup!$A:$B,2,FALSE),"?")&amp;"×"&amp;LEFT(MID(MID(TRIM(MID(SUBSTITUTE(K237,";",REPT(" ",99)),100,99)),FIND(":",TRIM(MID(SUBSTITUTE(K237,";",REPT(" ",99)),100,99)))+1,999),FIND(":",MID(TRIM(MID(SUBSTITUTE(K237,";",REPT(" ",99)),100,99)),FIND(":",TRIM(MID(SUBSTITUTE(K237,";",REPT(" ",99)),100,99)))+1,999))+1,999),FIND(":",MID(MID(TRIM(MID(SUBSTITUTE(K237,";",REPT(" ",99)),100,99)),FIND(":",TRIM(MID(SUBSTITUTE(K237,";",REPT(" ",99)),100,99)))+1,999),FIND(":",MID(TRIM(MID(SUBSTITUTE(K237,";",REPT(" ",99)),100,99)),FIND(":",TRIM(MID(SUBSTITUTE(K237,";",REPT(" ",99)),100,99)))+1,999))+1,999))-1)),IF(TRIM(MID(SUBSTITUTE(K237,";",REPT(" ",99)),199,99))="","",IFERROR(VLOOKUP(--LEFT(MID(TRIM(MID(SUBSTITUTE(K237,";",REPT(" ",99)),199,99)),FIND(":",TRIM(MID(SUBSTITUTE(K237,";",REPT(" ",99)),199,99)))+1,999),FIND(":",MID(TRIM(MID(SUBSTITUTE(K237,";",REPT(" ",99)),199,99)),FIND(":",TRIM(MID(SUBSTITUTE(K237,";",REPT(" ",99)),199,99)))+1,999))-1),_Lookup!$A:$B,2,FALSE),"?")&amp;"×"&amp;LEFT(MID(MID(TRIM(MID(SUBSTITUTE(K237,";",REPT(" ",99)),199,99)),FIND(":",TRIM(MID(SUBSTITUTE(K237,";",REPT(" ",99)),199,99)))+1,999),FIND(":",MID(TRIM(MID(SUBSTITUTE(K237,";",REPT(" ",99)),199,99)),FIND(":",TRIM(MID(SUBSTITUTE(K237,";",REPT(" ",99)),199,99)))+1,999))+1,999),FIND(":",MID(MID(TRIM(MID(SUBSTITUTE(K237,";",REPT(" ",99)),199,99)),FIND(":",TRIM(MID(SUBSTITUTE(K237,";",REPT(" ",99)),199,99)))+1,999),FIND(":",MID(TRIM(MID(SUBSTITUTE(K237,";",REPT(" ",99)),199,99)),FIND(":",TRIM(MID(SUBSTITUTE(K237,";",REPT(" ",99)),199,99)))+1,999))+1,999))-1)),IF(TRIM(MID(SUBSTITUTE(K237,";",REPT(" ",99)),298,99))="","",IFERROR(VLOOKUP(--LEFT(MID(TRIM(MID(SUBSTITUTE(K237,";",REPT(" ",99)),298,99)),FIND(":",TRIM(MID(SUBSTITUTE(K237,";",REPT(" ",99)),298,99)))+1,999),FIND(":",MID(TRIM(MID(SUBSTITUTE(K237,";",REPT(" ",99)),298,99)),FIND(":",TRIM(MID(SUBSTITUTE(K237,";",REPT(" ",99)),298,99)))+1,999))-1),_Lookup!$A:$B,2,FALSE),"?")&amp;"×"&amp;LEFT(MID(MID(TRIM(MID(SUBSTITUTE(K237,";",REPT(" ",99)),298,99)),FIND(":",TRIM(MID(SUBSTITUTE(K237,";",REPT(" ",99)),298,99)))+1,999),FIND(":",MID(TRIM(MID(SUBSTITUTE(K237,";",REPT(" ",99)),298,99)),FIND(":",TRIM(MID(SUBSTITUTE(K237,";",REPT(" ",99)),298,99)))+1,999))+1,999),FIND(":",MID(MID(TRIM(MID(SUBSTITUTE(K237,";",REPT(" ",99)),298,99)),FIND(":",TRIM(MID(SUBSTITUTE(K237,";",REPT(" ",99)),298,99)))+1,999),FIND(":",MID(TRIM(MID(SUBSTITUTE(K237,";",REPT(" ",99)),298,99)),FIND(":",TRIM(MID(SUBSTITUTE(K237,";",REPT(" ",99)),298,99)))+1,999))+1,999))-1)),IF(TRIM(MID(SUBSTITUTE(K237,";",REPT(" ",99)),397,99))="","",IFERROR(VLOOKUP(--LEFT(MID(TRIM(MID(SUBSTITUTE(K237,";",REPT(" ",99)),397,99)),FIND(":",TRIM(MID(SUBSTITUTE(K237,";",REPT(" ",99)),397,99)))+1,999),FIND(":",MID(TRIM(MID(SUBSTITUTE(K237,";",REPT(" ",99)),397,99)),FIND(":",TRIM(MID(SUBSTITUTE(K237,";",REPT(" ",99)),397,99)))+1,999))-1),_Lookup!$A:$B,2,FALSE),"?")&amp;"×"&amp;LEFT(MID(MID(TRIM(MID(SUBSTITUTE(K237,";",REPT(" ",99)),397,99)),FIND(":",TRIM(MID(SUBSTITUTE(K237,";",REPT(" ",99)),397,99)))+1,999),FIND(":",MID(TRIM(MID(SUBSTITUTE(K237,";",REPT(" ",99)),397,99)),FIND(":",TRIM(MID(SUBSTITUTE(K237,";",REPT(" ",99)),397,99)))+1,999))+1,999),FIND(":",MID(MID(TRIM(MID(SUBSTITUTE(K237,";",REPT(" ",99)),397,99)),FIND(":",TRIM(MID(SUBSTITUTE(K237,";",REPT(" ",99)),397,99)))+1,999),FIND(":",MID(TRIM(MID(SUBSTITUTE(K237,";",REPT(" ",99)),397,99)),FIND(":",TRIM(MID(SUBSTITUTE(K237,";",REPT(" ",99)),397,99)))+1,999))+1,999))-1))))</f>
        <v/>
      </c>
    </row>
    <row r="238">
      <c r="D238" s="11">
        <f>IFERROR(VLOOKUP(C238,ItemData_Fish!$A:$B,2,FALSE),"")</f>
        <v/>
      </c>
      <c r="L238" s="11">
        <f>IF(K238="","",TEXTJOIN("; ",TRUE,IF(TRIM(MID(SUBSTITUTE(K238,";",REPT(" ",99)),1,99))="","",IFERROR(VLOOKUP(--LEFT(MID(TRIM(MID(SUBSTITUTE(K238,";",REPT(" ",99)),1,99)),FIND(":",TRIM(MID(SUBSTITUTE(K238,";",REPT(" ",99)),1,99)))+1,999),FIND(":",MID(TRIM(MID(SUBSTITUTE(K238,";",REPT(" ",99)),1,99)),FIND(":",TRIM(MID(SUBSTITUTE(K238,";",REPT(" ",99)),1,99)))+1,999))-1),_Lookup!$A:$B,2,FALSE),"?")&amp;"×"&amp;LEFT(MID(MID(TRIM(MID(SUBSTITUTE(K238,";",REPT(" ",99)),1,99)),FIND(":",TRIM(MID(SUBSTITUTE(K238,";",REPT(" ",99)),1,99)))+1,999),FIND(":",MID(TRIM(MID(SUBSTITUTE(K238,";",REPT(" ",99)),1,99)),FIND(":",TRIM(MID(SUBSTITUTE(K238,";",REPT(" ",99)),1,99)))+1,999))+1,999),FIND(":",MID(MID(TRIM(MID(SUBSTITUTE(K238,";",REPT(" ",99)),1,99)),FIND(":",TRIM(MID(SUBSTITUTE(K238,";",REPT(" ",99)),1,99)))+1,999),FIND(":",MID(TRIM(MID(SUBSTITUTE(K238,";",REPT(" ",99)),1,99)),FIND(":",TRIM(MID(SUBSTITUTE(K238,";",REPT(" ",99)),1,99)))+1,999))+1,999))-1)),IF(TRIM(MID(SUBSTITUTE(K238,";",REPT(" ",99)),100,99))="","",IFERROR(VLOOKUP(--LEFT(MID(TRIM(MID(SUBSTITUTE(K238,";",REPT(" ",99)),100,99)),FIND(":",TRIM(MID(SUBSTITUTE(K238,";",REPT(" ",99)),100,99)))+1,999),FIND(":",MID(TRIM(MID(SUBSTITUTE(K238,";",REPT(" ",99)),100,99)),FIND(":",TRIM(MID(SUBSTITUTE(K238,";",REPT(" ",99)),100,99)))+1,999))-1),_Lookup!$A:$B,2,FALSE),"?")&amp;"×"&amp;LEFT(MID(MID(TRIM(MID(SUBSTITUTE(K238,";",REPT(" ",99)),100,99)),FIND(":",TRIM(MID(SUBSTITUTE(K238,";",REPT(" ",99)),100,99)))+1,999),FIND(":",MID(TRIM(MID(SUBSTITUTE(K238,";",REPT(" ",99)),100,99)),FIND(":",TRIM(MID(SUBSTITUTE(K238,";",REPT(" ",99)),100,99)))+1,999))+1,999),FIND(":",MID(MID(TRIM(MID(SUBSTITUTE(K238,";",REPT(" ",99)),100,99)),FIND(":",TRIM(MID(SUBSTITUTE(K238,";",REPT(" ",99)),100,99)))+1,999),FIND(":",MID(TRIM(MID(SUBSTITUTE(K238,";",REPT(" ",99)),100,99)),FIND(":",TRIM(MID(SUBSTITUTE(K238,";",REPT(" ",99)),100,99)))+1,999))+1,999))-1)),IF(TRIM(MID(SUBSTITUTE(K238,";",REPT(" ",99)),199,99))="","",IFERROR(VLOOKUP(--LEFT(MID(TRIM(MID(SUBSTITUTE(K238,";",REPT(" ",99)),199,99)),FIND(":",TRIM(MID(SUBSTITUTE(K238,";",REPT(" ",99)),199,99)))+1,999),FIND(":",MID(TRIM(MID(SUBSTITUTE(K238,";",REPT(" ",99)),199,99)),FIND(":",TRIM(MID(SUBSTITUTE(K238,";",REPT(" ",99)),199,99)))+1,999))-1),_Lookup!$A:$B,2,FALSE),"?")&amp;"×"&amp;LEFT(MID(MID(TRIM(MID(SUBSTITUTE(K238,";",REPT(" ",99)),199,99)),FIND(":",TRIM(MID(SUBSTITUTE(K238,";",REPT(" ",99)),199,99)))+1,999),FIND(":",MID(TRIM(MID(SUBSTITUTE(K238,";",REPT(" ",99)),199,99)),FIND(":",TRIM(MID(SUBSTITUTE(K238,";",REPT(" ",99)),199,99)))+1,999))+1,999),FIND(":",MID(MID(TRIM(MID(SUBSTITUTE(K238,";",REPT(" ",99)),199,99)),FIND(":",TRIM(MID(SUBSTITUTE(K238,";",REPT(" ",99)),199,99)))+1,999),FIND(":",MID(TRIM(MID(SUBSTITUTE(K238,";",REPT(" ",99)),199,99)),FIND(":",TRIM(MID(SUBSTITUTE(K238,";",REPT(" ",99)),199,99)))+1,999))+1,999))-1)),IF(TRIM(MID(SUBSTITUTE(K238,";",REPT(" ",99)),298,99))="","",IFERROR(VLOOKUP(--LEFT(MID(TRIM(MID(SUBSTITUTE(K238,";",REPT(" ",99)),298,99)),FIND(":",TRIM(MID(SUBSTITUTE(K238,";",REPT(" ",99)),298,99)))+1,999),FIND(":",MID(TRIM(MID(SUBSTITUTE(K238,";",REPT(" ",99)),298,99)),FIND(":",TRIM(MID(SUBSTITUTE(K238,";",REPT(" ",99)),298,99)))+1,999))-1),_Lookup!$A:$B,2,FALSE),"?")&amp;"×"&amp;LEFT(MID(MID(TRIM(MID(SUBSTITUTE(K238,";",REPT(" ",99)),298,99)),FIND(":",TRIM(MID(SUBSTITUTE(K238,";",REPT(" ",99)),298,99)))+1,999),FIND(":",MID(TRIM(MID(SUBSTITUTE(K238,";",REPT(" ",99)),298,99)),FIND(":",TRIM(MID(SUBSTITUTE(K238,";",REPT(" ",99)),298,99)))+1,999))+1,999),FIND(":",MID(MID(TRIM(MID(SUBSTITUTE(K238,";",REPT(" ",99)),298,99)),FIND(":",TRIM(MID(SUBSTITUTE(K238,";",REPT(" ",99)),298,99)))+1,999),FIND(":",MID(TRIM(MID(SUBSTITUTE(K238,";",REPT(" ",99)),298,99)),FIND(":",TRIM(MID(SUBSTITUTE(K238,";",REPT(" ",99)),298,99)))+1,999))+1,999))-1)),IF(TRIM(MID(SUBSTITUTE(K238,";",REPT(" ",99)),397,99))="","",IFERROR(VLOOKUP(--LEFT(MID(TRIM(MID(SUBSTITUTE(K238,";",REPT(" ",99)),397,99)),FIND(":",TRIM(MID(SUBSTITUTE(K238,";",REPT(" ",99)),397,99)))+1,999),FIND(":",MID(TRIM(MID(SUBSTITUTE(K238,";",REPT(" ",99)),397,99)),FIND(":",TRIM(MID(SUBSTITUTE(K238,";",REPT(" ",99)),397,99)))+1,999))-1),_Lookup!$A:$B,2,FALSE),"?")&amp;"×"&amp;LEFT(MID(MID(TRIM(MID(SUBSTITUTE(K238,";",REPT(" ",99)),397,99)),FIND(":",TRIM(MID(SUBSTITUTE(K238,";",REPT(" ",99)),397,99)))+1,999),FIND(":",MID(TRIM(MID(SUBSTITUTE(K238,";",REPT(" ",99)),397,99)),FIND(":",TRIM(MID(SUBSTITUTE(K238,";",REPT(" ",99)),397,99)))+1,999))+1,999),FIND(":",MID(MID(TRIM(MID(SUBSTITUTE(K238,";",REPT(" ",99)),397,99)),FIND(":",TRIM(MID(SUBSTITUTE(K238,";",REPT(" ",99)),397,99)))+1,999),FIND(":",MID(TRIM(MID(SUBSTITUTE(K238,";",REPT(" ",99)),397,99)),FIND(":",TRIM(MID(SUBSTITUTE(K238,";",REPT(" ",99)),397,99)))+1,999))+1,999))-1))))</f>
        <v/>
      </c>
    </row>
    <row r="239">
      <c r="D239" s="11">
        <f>IFERROR(VLOOKUP(C239,ItemData_Fish!$A:$B,2,FALSE),"")</f>
        <v/>
      </c>
      <c r="L239" s="11">
        <f>IF(K239="","",TEXTJOIN("; ",TRUE,IF(TRIM(MID(SUBSTITUTE(K239,";",REPT(" ",99)),1,99))="","",IFERROR(VLOOKUP(--LEFT(MID(TRIM(MID(SUBSTITUTE(K239,";",REPT(" ",99)),1,99)),FIND(":",TRIM(MID(SUBSTITUTE(K239,";",REPT(" ",99)),1,99)))+1,999),FIND(":",MID(TRIM(MID(SUBSTITUTE(K239,";",REPT(" ",99)),1,99)),FIND(":",TRIM(MID(SUBSTITUTE(K239,";",REPT(" ",99)),1,99)))+1,999))-1),_Lookup!$A:$B,2,FALSE),"?")&amp;"×"&amp;LEFT(MID(MID(TRIM(MID(SUBSTITUTE(K239,";",REPT(" ",99)),1,99)),FIND(":",TRIM(MID(SUBSTITUTE(K239,";",REPT(" ",99)),1,99)))+1,999),FIND(":",MID(TRIM(MID(SUBSTITUTE(K239,";",REPT(" ",99)),1,99)),FIND(":",TRIM(MID(SUBSTITUTE(K239,";",REPT(" ",99)),1,99)))+1,999))+1,999),FIND(":",MID(MID(TRIM(MID(SUBSTITUTE(K239,";",REPT(" ",99)),1,99)),FIND(":",TRIM(MID(SUBSTITUTE(K239,";",REPT(" ",99)),1,99)))+1,999),FIND(":",MID(TRIM(MID(SUBSTITUTE(K239,";",REPT(" ",99)),1,99)),FIND(":",TRIM(MID(SUBSTITUTE(K239,";",REPT(" ",99)),1,99)))+1,999))+1,999))-1)),IF(TRIM(MID(SUBSTITUTE(K239,";",REPT(" ",99)),100,99))="","",IFERROR(VLOOKUP(--LEFT(MID(TRIM(MID(SUBSTITUTE(K239,";",REPT(" ",99)),100,99)),FIND(":",TRIM(MID(SUBSTITUTE(K239,";",REPT(" ",99)),100,99)))+1,999),FIND(":",MID(TRIM(MID(SUBSTITUTE(K239,";",REPT(" ",99)),100,99)),FIND(":",TRIM(MID(SUBSTITUTE(K239,";",REPT(" ",99)),100,99)))+1,999))-1),_Lookup!$A:$B,2,FALSE),"?")&amp;"×"&amp;LEFT(MID(MID(TRIM(MID(SUBSTITUTE(K239,";",REPT(" ",99)),100,99)),FIND(":",TRIM(MID(SUBSTITUTE(K239,";",REPT(" ",99)),100,99)))+1,999),FIND(":",MID(TRIM(MID(SUBSTITUTE(K239,";",REPT(" ",99)),100,99)),FIND(":",TRIM(MID(SUBSTITUTE(K239,";",REPT(" ",99)),100,99)))+1,999))+1,999),FIND(":",MID(MID(TRIM(MID(SUBSTITUTE(K239,";",REPT(" ",99)),100,99)),FIND(":",TRIM(MID(SUBSTITUTE(K239,";",REPT(" ",99)),100,99)))+1,999),FIND(":",MID(TRIM(MID(SUBSTITUTE(K239,";",REPT(" ",99)),100,99)),FIND(":",TRIM(MID(SUBSTITUTE(K239,";",REPT(" ",99)),100,99)))+1,999))+1,999))-1)),IF(TRIM(MID(SUBSTITUTE(K239,";",REPT(" ",99)),199,99))="","",IFERROR(VLOOKUP(--LEFT(MID(TRIM(MID(SUBSTITUTE(K239,";",REPT(" ",99)),199,99)),FIND(":",TRIM(MID(SUBSTITUTE(K239,";",REPT(" ",99)),199,99)))+1,999),FIND(":",MID(TRIM(MID(SUBSTITUTE(K239,";",REPT(" ",99)),199,99)),FIND(":",TRIM(MID(SUBSTITUTE(K239,";",REPT(" ",99)),199,99)))+1,999))-1),_Lookup!$A:$B,2,FALSE),"?")&amp;"×"&amp;LEFT(MID(MID(TRIM(MID(SUBSTITUTE(K239,";",REPT(" ",99)),199,99)),FIND(":",TRIM(MID(SUBSTITUTE(K239,";",REPT(" ",99)),199,99)))+1,999),FIND(":",MID(TRIM(MID(SUBSTITUTE(K239,";",REPT(" ",99)),199,99)),FIND(":",TRIM(MID(SUBSTITUTE(K239,";",REPT(" ",99)),199,99)))+1,999))+1,999),FIND(":",MID(MID(TRIM(MID(SUBSTITUTE(K239,";",REPT(" ",99)),199,99)),FIND(":",TRIM(MID(SUBSTITUTE(K239,";",REPT(" ",99)),199,99)))+1,999),FIND(":",MID(TRIM(MID(SUBSTITUTE(K239,";",REPT(" ",99)),199,99)),FIND(":",TRIM(MID(SUBSTITUTE(K239,";",REPT(" ",99)),199,99)))+1,999))+1,999))-1)),IF(TRIM(MID(SUBSTITUTE(K239,";",REPT(" ",99)),298,99))="","",IFERROR(VLOOKUP(--LEFT(MID(TRIM(MID(SUBSTITUTE(K239,";",REPT(" ",99)),298,99)),FIND(":",TRIM(MID(SUBSTITUTE(K239,";",REPT(" ",99)),298,99)))+1,999),FIND(":",MID(TRIM(MID(SUBSTITUTE(K239,";",REPT(" ",99)),298,99)),FIND(":",TRIM(MID(SUBSTITUTE(K239,";",REPT(" ",99)),298,99)))+1,999))-1),_Lookup!$A:$B,2,FALSE),"?")&amp;"×"&amp;LEFT(MID(MID(TRIM(MID(SUBSTITUTE(K239,";",REPT(" ",99)),298,99)),FIND(":",TRIM(MID(SUBSTITUTE(K239,";",REPT(" ",99)),298,99)))+1,999),FIND(":",MID(TRIM(MID(SUBSTITUTE(K239,";",REPT(" ",99)),298,99)),FIND(":",TRIM(MID(SUBSTITUTE(K239,";",REPT(" ",99)),298,99)))+1,999))+1,999),FIND(":",MID(MID(TRIM(MID(SUBSTITUTE(K239,";",REPT(" ",99)),298,99)),FIND(":",TRIM(MID(SUBSTITUTE(K239,";",REPT(" ",99)),298,99)))+1,999),FIND(":",MID(TRIM(MID(SUBSTITUTE(K239,";",REPT(" ",99)),298,99)),FIND(":",TRIM(MID(SUBSTITUTE(K239,";",REPT(" ",99)),298,99)))+1,999))+1,999))-1)),IF(TRIM(MID(SUBSTITUTE(K239,";",REPT(" ",99)),397,99))="","",IFERROR(VLOOKUP(--LEFT(MID(TRIM(MID(SUBSTITUTE(K239,";",REPT(" ",99)),397,99)),FIND(":",TRIM(MID(SUBSTITUTE(K239,";",REPT(" ",99)),397,99)))+1,999),FIND(":",MID(TRIM(MID(SUBSTITUTE(K239,";",REPT(" ",99)),397,99)),FIND(":",TRIM(MID(SUBSTITUTE(K239,";",REPT(" ",99)),397,99)))+1,999))-1),_Lookup!$A:$B,2,FALSE),"?")&amp;"×"&amp;LEFT(MID(MID(TRIM(MID(SUBSTITUTE(K239,";",REPT(" ",99)),397,99)),FIND(":",TRIM(MID(SUBSTITUTE(K239,";",REPT(" ",99)),397,99)))+1,999),FIND(":",MID(TRIM(MID(SUBSTITUTE(K239,";",REPT(" ",99)),397,99)),FIND(":",TRIM(MID(SUBSTITUTE(K239,";",REPT(" ",99)),397,99)))+1,999))+1,999),FIND(":",MID(MID(TRIM(MID(SUBSTITUTE(K239,";",REPT(" ",99)),397,99)),FIND(":",TRIM(MID(SUBSTITUTE(K239,";",REPT(" ",99)),397,99)))+1,999),FIND(":",MID(TRIM(MID(SUBSTITUTE(K239,";",REPT(" ",99)),397,99)),FIND(":",TRIM(MID(SUBSTITUTE(K239,";",REPT(" ",99)),397,99)))+1,999))+1,999))-1))))</f>
        <v/>
      </c>
    </row>
    <row r="240">
      <c r="D240" s="11">
        <f>IFERROR(VLOOKUP(C240,ItemData_Fish!$A:$B,2,FALSE),"")</f>
        <v/>
      </c>
      <c r="L240" s="11">
        <f>IF(K240="","",TEXTJOIN("; ",TRUE,IF(TRIM(MID(SUBSTITUTE(K240,";",REPT(" ",99)),1,99))="","",IFERROR(VLOOKUP(--LEFT(MID(TRIM(MID(SUBSTITUTE(K240,";",REPT(" ",99)),1,99)),FIND(":",TRIM(MID(SUBSTITUTE(K240,";",REPT(" ",99)),1,99)))+1,999),FIND(":",MID(TRIM(MID(SUBSTITUTE(K240,";",REPT(" ",99)),1,99)),FIND(":",TRIM(MID(SUBSTITUTE(K240,";",REPT(" ",99)),1,99)))+1,999))-1),_Lookup!$A:$B,2,FALSE),"?")&amp;"×"&amp;LEFT(MID(MID(TRIM(MID(SUBSTITUTE(K240,";",REPT(" ",99)),1,99)),FIND(":",TRIM(MID(SUBSTITUTE(K240,";",REPT(" ",99)),1,99)))+1,999),FIND(":",MID(TRIM(MID(SUBSTITUTE(K240,";",REPT(" ",99)),1,99)),FIND(":",TRIM(MID(SUBSTITUTE(K240,";",REPT(" ",99)),1,99)))+1,999))+1,999),FIND(":",MID(MID(TRIM(MID(SUBSTITUTE(K240,";",REPT(" ",99)),1,99)),FIND(":",TRIM(MID(SUBSTITUTE(K240,";",REPT(" ",99)),1,99)))+1,999),FIND(":",MID(TRIM(MID(SUBSTITUTE(K240,";",REPT(" ",99)),1,99)),FIND(":",TRIM(MID(SUBSTITUTE(K240,";",REPT(" ",99)),1,99)))+1,999))+1,999))-1)),IF(TRIM(MID(SUBSTITUTE(K240,";",REPT(" ",99)),100,99))="","",IFERROR(VLOOKUP(--LEFT(MID(TRIM(MID(SUBSTITUTE(K240,";",REPT(" ",99)),100,99)),FIND(":",TRIM(MID(SUBSTITUTE(K240,";",REPT(" ",99)),100,99)))+1,999),FIND(":",MID(TRIM(MID(SUBSTITUTE(K240,";",REPT(" ",99)),100,99)),FIND(":",TRIM(MID(SUBSTITUTE(K240,";",REPT(" ",99)),100,99)))+1,999))-1),_Lookup!$A:$B,2,FALSE),"?")&amp;"×"&amp;LEFT(MID(MID(TRIM(MID(SUBSTITUTE(K240,";",REPT(" ",99)),100,99)),FIND(":",TRIM(MID(SUBSTITUTE(K240,";",REPT(" ",99)),100,99)))+1,999),FIND(":",MID(TRIM(MID(SUBSTITUTE(K240,";",REPT(" ",99)),100,99)),FIND(":",TRIM(MID(SUBSTITUTE(K240,";",REPT(" ",99)),100,99)))+1,999))+1,999),FIND(":",MID(MID(TRIM(MID(SUBSTITUTE(K240,";",REPT(" ",99)),100,99)),FIND(":",TRIM(MID(SUBSTITUTE(K240,";",REPT(" ",99)),100,99)))+1,999),FIND(":",MID(TRIM(MID(SUBSTITUTE(K240,";",REPT(" ",99)),100,99)),FIND(":",TRIM(MID(SUBSTITUTE(K240,";",REPT(" ",99)),100,99)))+1,999))+1,999))-1)),IF(TRIM(MID(SUBSTITUTE(K240,";",REPT(" ",99)),199,99))="","",IFERROR(VLOOKUP(--LEFT(MID(TRIM(MID(SUBSTITUTE(K240,";",REPT(" ",99)),199,99)),FIND(":",TRIM(MID(SUBSTITUTE(K240,";",REPT(" ",99)),199,99)))+1,999),FIND(":",MID(TRIM(MID(SUBSTITUTE(K240,";",REPT(" ",99)),199,99)),FIND(":",TRIM(MID(SUBSTITUTE(K240,";",REPT(" ",99)),199,99)))+1,999))-1),_Lookup!$A:$B,2,FALSE),"?")&amp;"×"&amp;LEFT(MID(MID(TRIM(MID(SUBSTITUTE(K240,";",REPT(" ",99)),199,99)),FIND(":",TRIM(MID(SUBSTITUTE(K240,";",REPT(" ",99)),199,99)))+1,999),FIND(":",MID(TRIM(MID(SUBSTITUTE(K240,";",REPT(" ",99)),199,99)),FIND(":",TRIM(MID(SUBSTITUTE(K240,";",REPT(" ",99)),199,99)))+1,999))+1,999),FIND(":",MID(MID(TRIM(MID(SUBSTITUTE(K240,";",REPT(" ",99)),199,99)),FIND(":",TRIM(MID(SUBSTITUTE(K240,";",REPT(" ",99)),199,99)))+1,999),FIND(":",MID(TRIM(MID(SUBSTITUTE(K240,";",REPT(" ",99)),199,99)),FIND(":",TRIM(MID(SUBSTITUTE(K240,";",REPT(" ",99)),199,99)))+1,999))+1,999))-1)),IF(TRIM(MID(SUBSTITUTE(K240,";",REPT(" ",99)),298,99))="","",IFERROR(VLOOKUP(--LEFT(MID(TRIM(MID(SUBSTITUTE(K240,";",REPT(" ",99)),298,99)),FIND(":",TRIM(MID(SUBSTITUTE(K240,";",REPT(" ",99)),298,99)))+1,999),FIND(":",MID(TRIM(MID(SUBSTITUTE(K240,";",REPT(" ",99)),298,99)),FIND(":",TRIM(MID(SUBSTITUTE(K240,";",REPT(" ",99)),298,99)))+1,999))-1),_Lookup!$A:$B,2,FALSE),"?")&amp;"×"&amp;LEFT(MID(MID(TRIM(MID(SUBSTITUTE(K240,";",REPT(" ",99)),298,99)),FIND(":",TRIM(MID(SUBSTITUTE(K240,";",REPT(" ",99)),298,99)))+1,999),FIND(":",MID(TRIM(MID(SUBSTITUTE(K240,";",REPT(" ",99)),298,99)),FIND(":",TRIM(MID(SUBSTITUTE(K240,";",REPT(" ",99)),298,99)))+1,999))+1,999),FIND(":",MID(MID(TRIM(MID(SUBSTITUTE(K240,";",REPT(" ",99)),298,99)),FIND(":",TRIM(MID(SUBSTITUTE(K240,";",REPT(" ",99)),298,99)))+1,999),FIND(":",MID(TRIM(MID(SUBSTITUTE(K240,";",REPT(" ",99)),298,99)),FIND(":",TRIM(MID(SUBSTITUTE(K240,";",REPT(" ",99)),298,99)))+1,999))+1,999))-1)),IF(TRIM(MID(SUBSTITUTE(K240,";",REPT(" ",99)),397,99))="","",IFERROR(VLOOKUP(--LEFT(MID(TRIM(MID(SUBSTITUTE(K240,";",REPT(" ",99)),397,99)),FIND(":",TRIM(MID(SUBSTITUTE(K240,";",REPT(" ",99)),397,99)))+1,999),FIND(":",MID(TRIM(MID(SUBSTITUTE(K240,";",REPT(" ",99)),397,99)),FIND(":",TRIM(MID(SUBSTITUTE(K240,";",REPT(" ",99)),397,99)))+1,999))-1),_Lookup!$A:$B,2,FALSE),"?")&amp;"×"&amp;LEFT(MID(MID(TRIM(MID(SUBSTITUTE(K240,";",REPT(" ",99)),397,99)),FIND(":",TRIM(MID(SUBSTITUTE(K240,";",REPT(" ",99)),397,99)))+1,999),FIND(":",MID(TRIM(MID(SUBSTITUTE(K240,";",REPT(" ",99)),397,99)),FIND(":",TRIM(MID(SUBSTITUTE(K240,";",REPT(" ",99)),397,99)))+1,999))+1,999),FIND(":",MID(MID(TRIM(MID(SUBSTITUTE(K240,";",REPT(" ",99)),397,99)),FIND(":",TRIM(MID(SUBSTITUTE(K240,";",REPT(" ",99)),397,99)))+1,999),FIND(":",MID(TRIM(MID(SUBSTITUTE(K240,";",REPT(" ",99)),397,99)),FIND(":",TRIM(MID(SUBSTITUTE(K240,";",REPT(" ",99)),397,99)))+1,999))+1,999))-1))))</f>
        <v/>
      </c>
    </row>
    <row r="241">
      <c r="D241" s="11">
        <f>IFERROR(VLOOKUP(C241,ItemData_Fish!$A:$B,2,FALSE),"")</f>
        <v/>
      </c>
      <c r="L241" s="11">
        <f>IF(K241="","",TEXTJOIN("; ",TRUE,IF(TRIM(MID(SUBSTITUTE(K241,";",REPT(" ",99)),1,99))="","",IFERROR(VLOOKUP(--LEFT(MID(TRIM(MID(SUBSTITUTE(K241,";",REPT(" ",99)),1,99)),FIND(":",TRIM(MID(SUBSTITUTE(K241,";",REPT(" ",99)),1,99)))+1,999),FIND(":",MID(TRIM(MID(SUBSTITUTE(K241,";",REPT(" ",99)),1,99)),FIND(":",TRIM(MID(SUBSTITUTE(K241,";",REPT(" ",99)),1,99)))+1,999))-1),_Lookup!$A:$B,2,FALSE),"?")&amp;"×"&amp;LEFT(MID(MID(TRIM(MID(SUBSTITUTE(K241,";",REPT(" ",99)),1,99)),FIND(":",TRIM(MID(SUBSTITUTE(K241,";",REPT(" ",99)),1,99)))+1,999),FIND(":",MID(TRIM(MID(SUBSTITUTE(K241,";",REPT(" ",99)),1,99)),FIND(":",TRIM(MID(SUBSTITUTE(K241,";",REPT(" ",99)),1,99)))+1,999))+1,999),FIND(":",MID(MID(TRIM(MID(SUBSTITUTE(K241,";",REPT(" ",99)),1,99)),FIND(":",TRIM(MID(SUBSTITUTE(K241,";",REPT(" ",99)),1,99)))+1,999),FIND(":",MID(TRIM(MID(SUBSTITUTE(K241,";",REPT(" ",99)),1,99)),FIND(":",TRIM(MID(SUBSTITUTE(K241,";",REPT(" ",99)),1,99)))+1,999))+1,999))-1)),IF(TRIM(MID(SUBSTITUTE(K241,";",REPT(" ",99)),100,99))="","",IFERROR(VLOOKUP(--LEFT(MID(TRIM(MID(SUBSTITUTE(K241,";",REPT(" ",99)),100,99)),FIND(":",TRIM(MID(SUBSTITUTE(K241,";",REPT(" ",99)),100,99)))+1,999),FIND(":",MID(TRIM(MID(SUBSTITUTE(K241,";",REPT(" ",99)),100,99)),FIND(":",TRIM(MID(SUBSTITUTE(K241,";",REPT(" ",99)),100,99)))+1,999))-1),_Lookup!$A:$B,2,FALSE),"?")&amp;"×"&amp;LEFT(MID(MID(TRIM(MID(SUBSTITUTE(K241,";",REPT(" ",99)),100,99)),FIND(":",TRIM(MID(SUBSTITUTE(K241,";",REPT(" ",99)),100,99)))+1,999),FIND(":",MID(TRIM(MID(SUBSTITUTE(K241,";",REPT(" ",99)),100,99)),FIND(":",TRIM(MID(SUBSTITUTE(K241,";",REPT(" ",99)),100,99)))+1,999))+1,999),FIND(":",MID(MID(TRIM(MID(SUBSTITUTE(K241,";",REPT(" ",99)),100,99)),FIND(":",TRIM(MID(SUBSTITUTE(K241,";",REPT(" ",99)),100,99)))+1,999),FIND(":",MID(TRIM(MID(SUBSTITUTE(K241,";",REPT(" ",99)),100,99)),FIND(":",TRIM(MID(SUBSTITUTE(K241,";",REPT(" ",99)),100,99)))+1,999))+1,999))-1)),IF(TRIM(MID(SUBSTITUTE(K241,";",REPT(" ",99)),199,99))="","",IFERROR(VLOOKUP(--LEFT(MID(TRIM(MID(SUBSTITUTE(K241,";",REPT(" ",99)),199,99)),FIND(":",TRIM(MID(SUBSTITUTE(K241,";",REPT(" ",99)),199,99)))+1,999),FIND(":",MID(TRIM(MID(SUBSTITUTE(K241,";",REPT(" ",99)),199,99)),FIND(":",TRIM(MID(SUBSTITUTE(K241,";",REPT(" ",99)),199,99)))+1,999))-1),_Lookup!$A:$B,2,FALSE),"?")&amp;"×"&amp;LEFT(MID(MID(TRIM(MID(SUBSTITUTE(K241,";",REPT(" ",99)),199,99)),FIND(":",TRIM(MID(SUBSTITUTE(K241,";",REPT(" ",99)),199,99)))+1,999),FIND(":",MID(TRIM(MID(SUBSTITUTE(K241,";",REPT(" ",99)),199,99)),FIND(":",TRIM(MID(SUBSTITUTE(K241,";",REPT(" ",99)),199,99)))+1,999))+1,999),FIND(":",MID(MID(TRIM(MID(SUBSTITUTE(K241,";",REPT(" ",99)),199,99)),FIND(":",TRIM(MID(SUBSTITUTE(K241,";",REPT(" ",99)),199,99)))+1,999),FIND(":",MID(TRIM(MID(SUBSTITUTE(K241,";",REPT(" ",99)),199,99)),FIND(":",TRIM(MID(SUBSTITUTE(K241,";",REPT(" ",99)),199,99)))+1,999))+1,999))-1)),IF(TRIM(MID(SUBSTITUTE(K241,";",REPT(" ",99)),298,99))="","",IFERROR(VLOOKUP(--LEFT(MID(TRIM(MID(SUBSTITUTE(K241,";",REPT(" ",99)),298,99)),FIND(":",TRIM(MID(SUBSTITUTE(K241,";",REPT(" ",99)),298,99)))+1,999),FIND(":",MID(TRIM(MID(SUBSTITUTE(K241,";",REPT(" ",99)),298,99)),FIND(":",TRIM(MID(SUBSTITUTE(K241,";",REPT(" ",99)),298,99)))+1,999))-1),_Lookup!$A:$B,2,FALSE),"?")&amp;"×"&amp;LEFT(MID(MID(TRIM(MID(SUBSTITUTE(K241,";",REPT(" ",99)),298,99)),FIND(":",TRIM(MID(SUBSTITUTE(K241,";",REPT(" ",99)),298,99)))+1,999),FIND(":",MID(TRIM(MID(SUBSTITUTE(K241,";",REPT(" ",99)),298,99)),FIND(":",TRIM(MID(SUBSTITUTE(K241,";",REPT(" ",99)),298,99)))+1,999))+1,999),FIND(":",MID(MID(TRIM(MID(SUBSTITUTE(K241,";",REPT(" ",99)),298,99)),FIND(":",TRIM(MID(SUBSTITUTE(K241,";",REPT(" ",99)),298,99)))+1,999),FIND(":",MID(TRIM(MID(SUBSTITUTE(K241,";",REPT(" ",99)),298,99)),FIND(":",TRIM(MID(SUBSTITUTE(K241,";",REPT(" ",99)),298,99)))+1,999))+1,999))-1)),IF(TRIM(MID(SUBSTITUTE(K241,";",REPT(" ",99)),397,99))="","",IFERROR(VLOOKUP(--LEFT(MID(TRIM(MID(SUBSTITUTE(K241,";",REPT(" ",99)),397,99)),FIND(":",TRIM(MID(SUBSTITUTE(K241,";",REPT(" ",99)),397,99)))+1,999),FIND(":",MID(TRIM(MID(SUBSTITUTE(K241,";",REPT(" ",99)),397,99)),FIND(":",TRIM(MID(SUBSTITUTE(K241,";",REPT(" ",99)),397,99)))+1,999))-1),_Lookup!$A:$B,2,FALSE),"?")&amp;"×"&amp;LEFT(MID(MID(TRIM(MID(SUBSTITUTE(K241,";",REPT(" ",99)),397,99)),FIND(":",TRIM(MID(SUBSTITUTE(K241,";",REPT(" ",99)),397,99)))+1,999),FIND(":",MID(TRIM(MID(SUBSTITUTE(K241,";",REPT(" ",99)),397,99)),FIND(":",TRIM(MID(SUBSTITUTE(K241,";",REPT(" ",99)),397,99)))+1,999))+1,999),FIND(":",MID(MID(TRIM(MID(SUBSTITUTE(K241,";",REPT(" ",99)),397,99)),FIND(":",TRIM(MID(SUBSTITUTE(K241,";",REPT(" ",99)),397,99)))+1,999),FIND(":",MID(TRIM(MID(SUBSTITUTE(K241,";",REPT(" ",99)),397,99)),FIND(":",TRIM(MID(SUBSTITUTE(K241,";",REPT(" ",99)),397,99)))+1,999))+1,999))-1))))</f>
        <v/>
      </c>
    </row>
    <row r="242">
      <c r="D242" s="11">
        <f>IFERROR(VLOOKUP(C242,ItemData_Fish!$A:$B,2,FALSE),"")</f>
        <v/>
      </c>
      <c r="L242" s="11">
        <f>IF(K242="","",TEXTJOIN("; ",TRUE,IF(TRIM(MID(SUBSTITUTE(K242,";",REPT(" ",99)),1,99))="","",IFERROR(VLOOKUP(--LEFT(MID(TRIM(MID(SUBSTITUTE(K242,";",REPT(" ",99)),1,99)),FIND(":",TRIM(MID(SUBSTITUTE(K242,";",REPT(" ",99)),1,99)))+1,999),FIND(":",MID(TRIM(MID(SUBSTITUTE(K242,";",REPT(" ",99)),1,99)),FIND(":",TRIM(MID(SUBSTITUTE(K242,";",REPT(" ",99)),1,99)))+1,999))-1),_Lookup!$A:$B,2,FALSE),"?")&amp;"×"&amp;LEFT(MID(MID(TRIM(MID(SUBSTITUTE(K242,";",REPT(" ",99)),1,99)),FIND(":",TRIM(MID(SUBSTITUTE(K242,";",REPT(" ",99)),1,99)))+1,999),FIND(":",MID(TRIM(MID(SUBSTITUTE(K242,";",REPT(" ",99)),1,99)),FIND(":",TRIM(MID(SUBSTITUTE(K242,";",REPT(" ",99)),1,99)))+1,999))+1,999),FIND(":",MID(MID(TRIM(MID(SUBSTITUTE(K242,";",REPT(" ",99)),1,99)),FIND(":",TRIM(MID(SUBSTITUTE(K242,";",REPT(" ",99)),1,99)))+1,999),FIND(":",MID(TRIM(MID(SUBSTITUTE(K242,";",REPT(" ",99)),1,99)),FIND(":",TRIM(MID(SUBSTITUTE(K242,";",REPT(" ",99)),1,99)))+1,999))+1,999))-1)),IF(TRIM(MID(SUBSTITUTE(K242,";",REPT(" ",99)),100,99))="","",IFERROR(VLOOKUP(--LEFT(MID(TRIM(MID(SUBSTITUTE(K242,";",REPT(" ",99)),100,99)),FIND(":",TRIM(MID(SUBSTITUTE(K242,";",REPT(" ",99)),100,99)))+1,999),FIND(":",MID(TRIM(MID(SUBSTITUTE(K242,";",REPT(" ",99)),100,99)),FIND(":",TRIM(MID(SUBSTITUTE(K242,";",REPT(" ",99)),100,99)))+1,999))-1),_Lookup!$A:$B,2,FALSE),"?")&amp;"×"&amp;LEFT(MID(MID(TRIM(MID(SUBSTITUTE(K242,";",REPT(" ",99)),100,99)),FIND(":",TRIM(MID(SUBSTITUTE(K242,";",REPT(" ",99)),100,99)))+1,999),FIND(":",MID(TRIM(MID(SUBSTITUTE(K242,";",REPT(" ",99)),100,99)),FIND(":",TRIM(MID(SUBSTITUTE(K242,";",REPT(" ",99)),100,99)))+1,999))+1,999),FIND(":",MID(MID(TRIM(MID(SUBSTITUTE(K242,";",REPT(" ",99)),100,99)),FIND(":",TRIM(MID(SUBSTITUTE(K242,";",REPT(" ",99)),100,99)))+1,999),FIND(":",MID(TRIM(MID(SUBSTITUTE(K242,";",REPT(" ",99)),100,99)),FIND(":",TRIM(MID(SUBSTITUTE(K242,";",REPT(" ",99)),100,99)))+1,999))+1,999))-1)),IF(TRIM(MID(SUBSTITUTE(K242,";",REPT(" ",99)),199,99))="","",IFERROR(VLOOKUP(--LEFT(MID(TRIM(MID(SUBSTITUTE(K242,";",REPT(" ",99)),199,99)),FIND(":",TRIM(MID(SUBSTITUTE(K242,";",REPT(" ",99)),199,99)))+1,999),FIND(":",MID(TRIM(MID(SUBSTITUTE(K242,";",REPT(" ",99)),199,99)),FIND(":",TRIM(MID(SUBSTITUTE(K242,";",REPT(" ",99)),199,99)))+1,999))-1),_Lookup!$A:$B,2,FALSE),"?")&amp;"×"&amp;LEFT(MID(MID(TRIM(MID(SUBSTITUTE(K242,";",REPT(" ",99)),199,99)),FIND(":",TRIM(MID(SUBSTITUTE(K242,";",REPT(" ",99)),199,99)))+1,999),FIND(":",MID(TRIM(MID(SUBSTITUTE(K242,";",REPT(" ",99)),199,99)),FIND(":",TRIM(MID(SUBSTITUTE(K242,";",REPT(" ",99)),199,99)))+1,999))+1,999),FIND(":",MID(MID(TRIM(MID(SUBSTITUTE(K242,";",REPT(" ",99)),199,99)),FIND(":",TRIM(MID(SUBSTITUTE(K242,";",REPT(" ",99)),199,99)))+1,999),FIND(":",MID(TRIM(MID(SUBSTITUTE(K242,";",REPT(" ",99)),199,99)),FIND(":",TRIM(MID(SUBSTITUTE(K242,";",REPT(" ",99)),199,99)))+1,999))+1,999))-1)),IF(TRIM(MID(SUBSTITUTE(K242,";",REPT(" ",99)),298,99))="","",IFERROR(VLOOKUP(--LEFT(MID(TRIM(MID(SUBSTITUTE(K242,";",REPT(" ",99)),298,99)),FIND(":",TRIM(MID(SUBSTITUTE(K242,";",REPT(" ",99)),298,99)))+1,999),FIND(":",MID(TRIM(MID(SUBSTITUTE(K242,";",REPT(" ",99)),298,99)),FIND(":",TRIM(MID(SUBSTITUTE(K242,";",REPT(" ",99)),298,99)))+1,999))-1),_Lookup!$A:$B,2,FALSE),"?")&amp;"×"&amp;LEFT(MID(MID(TRIM(MID(SUBSTITUTE(K242,";",REPT(" ",99)),298,99)),FIND(":",TRIM(MID(SUBSTITUTE(K242,";",REPT(" ",99)),298,99)))+1,999),FIND(":",MID(TRIM(MID(SUBSTITUTE(K242,";",REPT(" ",99)),298,99)),FIND(":",TRIM(MID(SUBSTITUTE(K242,";",REPT(" ",99)),298,99)))+1,999))+1,999),FIND(":",MID(MID(TRIM(MID(SUBSTITUTE(K242,";",REPT(" ",99)),298,99)),FIND(":",TRIM(MID(SUBSTITUTE(K242,";",REPT(" ",99)),298,99)))+1,999),FIND(":",MID(TRIM(MID(SUBSTITUTE(K242,";",REPT(" ",99)),298,99)),FIND(":",TRIM(MID(SUBSTITUTE(K242,";",REPT(" ",99)),298,99)))+1,999))+1,999))-1)),IF(TRIM(MID(SUBSTITUTE(K242,";",REPT(" ",99)),397,99))="","",IFERROR(VLOOKUP(--LEFT(MID(TRIM(MID(SUBSTITUTE(K242,";",REPT(" ",99)),397,99)),FIND(":",TRIM(MID(SUBSTITUTE(K242,";",REPT(" ",99)),397,99)))+1,999),FIND(":",MID(TRIM(MID(SUBSTITUTE(K242,";",REPT(" ",99)),397,99)),FIND(":",TRIM(MID(SUBSTITUTE(K242,";",REPT(" ",99)),397,99)))+1,999))-1),_Lookup!$A:$B,2,FALSE),"?")&amp;"×"&amp;LEFT(MID(MID(TRIM(MID(SUBSTITUTE(K242,";",REPT(" ",99)),397,99)),FIND(":",TRIM(MID(SUBSTITUTE(K242,";",REPT(" ",99)),397,99)))+1,999),FIND(":",MID(TRIM(MID(SUBSTITUTE(K242,";",REPT(" ",99)),397,99)),FIND(":",TRIM(MID(SUBSTITUTE(K242,";",REPT(" ",99)),397,99)))+1,999))+1,999),FIND(":",MID(MID(TRIM(MID(SUBSTITUTE(K242,";",REPT(" ",99)),397,99)),FIND(":",TRIM(MID(SUBSTITUTE(K242,";",REPT(" ",99)),397,99)))+1,999),FIND(":",MID(TRIM(MID(SUBSTITUTE(K242,";",REPT(" ",99)),397,99)),FIND(":",TRIM(MID(SUBSTITUTE(K242,";",REPT(" ",99)),397,99)))+1,999))+1,999))-1))))</f>
        <v/>
      </c>
    </row>
    <row r="243">
      <c r="D243" s="11">
        <f>IFERROR(VLOOKUP(C243,ItemData_Fish!$A:$B,2,FALSE),"")</f>
        <v/>
      </c>
      <c r="L243" s="11">
        <f>IF(K243="","",TEXTJOIN("; ",TRUE,IF(TRIM(MID(SUBSTITUTE(K243,";",REPT(" ",99)),1,99))="","",IFERROR(VLOOKUP(--LEFT(MID(TRIM(MID(SUBSTITUTE(K243,";",REPT(" ",99)),1,99)),FIND(":",TRIM(MID(SUBSTITUTE(K243,";",REPT(" ",99)),1,99)))+1,999),FIND(":",MID(TRIM(MID(SUBSTITUTE(K243,";",REPT(" ",99)),1,99)),FIND(":",TRIM(MID(SUBSTITUTE(K243,";",REPT(" ",99)),1,99)))+1,999))-1),_Lookup!$A:$B,2,FALSE),"?")&amp;"×"&amp;LEFT(MID(MID(TRIM(MID(SUBSTITUTE(K243,";",REPT(" ",99)),1,99)),FIND(":",TRIM(MID(SUBSTITUTE(K243,";",REPT(" ",99)),1,99)))+1,999),FIND(":",MID(TRIM(MID(SUBSTITUTE(K243,";",REPT(" ",99)),1,99)),FIND(":",TRIM(MID(SUBSTITUTE(K243,";",REPT(" ",99)),1,99)))+1,999))+1,999),FIND(":",MID(MID(TRIM(MID(SUBSTITUTE(K243,";",REPT(" ",99)),1,99)),FIND(":",TRIM(MID(SUBSTITUTE(K243,";",REPT(" ",99)),1,99)))+1,999),FIND(":",MID(TRIM(MID(SUBSTITUTE(K243,";",REPT(" ",99)),1,99)),FIND(":",TRIM(MID(SUBSTITUTE(K243,";",REPT(" ",99)),1,99)))+1,999))+1,999))-1)),IF(TRIM(MID(SUBSTITUTE(K243,";",REPT(" ",99)),100,99))="","",IFERROR(VLOOKUP(--LEFT(MID(TRIM(MID(SUBSTITUTE(K243,";",REPT(" ",99)),100,99)),FIND(":",TRIM(MID(SUBSTITUTE(K243,";",REPT(" ",99)),100,99)))+1,999),FIND(":",MID(TRIM(MID(SUBSTITUTE(K243,";",REPT(" ",99)),100,99)),FIND(":",TRIM(MID(SUBSTITUTE(K243,";",REPT(" ",99)),100,99)))+1,999))-1),_Lookup!$A:$B,2,FALSE),"?")&amp;"×"&amp;LEFT(MID(MID(TRIM(MID(SUBSTITUTE(K243,";",REPT(" ",99)),100,99)),FIND(":",TRIM(MID(SUBSTITUTE(K243,";",REPT(" ",99)),100,99)))+1,999),FIND(":",MID(TRIM(MID(SUBSTITUTE(K243,";",REPT(" ",99)),100,99)),FIND(":",TRIM(MID(SUBSTITUTE(K243,";",REPT(" ",99)),100,99)))+1,999))+1,999),FIND(":",MID(MID(TRIM(MID(SUBSTITUTE(K243,";",REPT(" ",99)),100,99)),FIND(":",TRIM(MID(SUBSTITUTE(K243,";",REPT(" ",99)),100,99)))+1,999),FIND(":",MID(TRIM(MID(SUBSTITUTE(K243,";",REPT(" ",99)),100,99)),FIND(":",TRIM(MID(SUBSTITUTE(K243,";",REPT(" ",99)),100,99)))+1,999))+1,999))-1)),IF(TRIM(MID(SUBSTITUTE(K243,";",REPT(" ",99)),199,99))="","",IFERROR(VLOOKUP(--LEFT(MID(TRIM(MID(SUBSTITUTE(K243,";",REPT(" ",99)),199,99)),FIND(":",TRIM(MID(SUBSTITUTE(K243,";",REPT(" ",99)),199,99)))+1,999),FIND(":",MID(TRIM(MID(SUBSTITUTE(K243,";",REPT(" ",99)),199,99)),FIND(":",TRIM(MID(SUBSTITUTE(K243,";",REPT(" ",99)),199,99)))+1,999))-1),_Lookup!$A:$B,2,FALSE),"?")&amp;"×"&amp;LEFT(MID(MID(TRIM(MID(SUBSTITUTE(K243,";",REPT(" ",99)),199,99)),FIND(":",TRIM(MID(SUBSTITUTE(K243,";",REPT(" ",99)),199,99)))+1,999),FIND(":",MID(TRIM(MID(SUBSTITUTE(K243,";",REPT(" ",99)),199,99)),FIND(":",TRIM(MID(SUBSTITUTE(K243,";",REPT(" ",99)),199,99)))+1,999))+1,999),FIND(":",MID(MID(TRIM(MID(SUBSTITUTE(K243,";",REPT(" ",99)),199,99)),FIND(":",TRIM(MID(SUBSTITUTE(K243,";",REPT(" ",99)),199,99)))+1,999),FIND(":",MID(TRIM(MID(SUBSTITUTE(K243,";",REPT(" ",99)),199,99)),FIND(":",TRIM(MID(SUBSTITUTE(K243,";",REPT(" ",99)),199,99)))+1,999))+1,999))-1)),IF(TRIM(MID(SUBSTITUTE(K243,";",REPT(" ",99)),298,99))="","",IFERROR(VLOOKUP(--LEFT(MID(TRIM(MID(SUBSTITUTE(K243,";",REPT(" ",99)),298,99)),FIND(":",TRIM(MID(SUBSTITUTE(K243,";",REPT(" ",99)),298,99)))+1,999),FIND(":",MID(TRIM(MID(SUBSTITUTE(K243,";",REPT(" ",99)),298,99)),FIND(":",TRIM(MID(SUBSTITUTE(K243,";",REPT(" ",99)),298,99)))+1,999))-1),_Lookup!$A:$B,2,FALSE),"?")&amp;"×"&amp;LEFT(MID(MID(TRIM(MID(SUBSTITUTE(K243,";",REPT(" ",99)),298,99)),FIND(":",TRIM(MID(SUBSTITUTE(K243,";",REPT(" ",99)),298,99)))+1,999),FIND(":",MID(TRIM(MID(SUBSTITUTE(K243,";",REPT(" ",99)),298,99)),FIND(":",TRIM(MID(SUBSTITUTE(K243,";",REPT(" ",99)),298,99)))+1,999))+1,999),FIND(":",MID(MID(TRIM(MID(SUBSTITUTE(K243,";",REPT(" ",99)),298,99)),FIND(":",TRIM(MID(SUBSTITUTE(K243,";",REPT(" ",99)),298,99)))+1,999),FIND(":",MID(TRIM(MID(SUBSTITUTE(K243,";",REPT(" ",99)),298,99)),FIND(":",TRIM(MID(SUBSTITUTE(K243,";",REPT(" ",99)),298,99)))+1,999))+1,999))-1)),IF(TRIM(MID(SUBSTITUTE(K243,";",REPT(" ",99)),397,99))="","",IFERROR(VLOOKUP(--LEFT(MID(TRIM(MID(SUBSTITUTE(K243,";",REPT(" ",99)),397,99)),FIND(":",TRIM(MID(SUBSTITUTE(K243,";",REPT(" ",99)),397,99)))+1,999),FIND(":",MID(TRIM(MID(SUBSTITUTE(K243,";",REPT(" ",99)),397,99)),FIND(":",TRIM(MID(SUBSTITUTE(K243,";",REPT(" ",99)),397,99)))+1,999))-1),_Lookup!$A:$B,2,FALSE),"?")&amp;"×"&amp;LEFT(MID(MID(TRIM(MID(SUBSTITUTE(K243,";",REPT(" ",99)),397,99)),FIND(":",TRIM(MID(SUBSTITUTE(K243,";",REPT(" ",99)),397,99)))+1,999),FIND(":",MID(TRIM(MID(SUBSTITUTE(K243,";",REPT(" ",99)),397,99)),FIND(":",TRIM(MID(SUBSTITUTE(K243,";",REPT(" ",99)),397,99)))+1,999))+1,999),FIND(":",MID(MID(TRIM(MID(SUBSTITUTE(K243,";",REPT(" ",99)),397,99)),FIND(":",TRIM(MID(SUBSTITUTE(K243,";",REPT(" ",99)),397,99)))+1,999),FIND(":",MID(TRIM(MID(SUBSTITUTE(K243,";",REPT(" ",99)),397,99)),FIND(":",TRIM(MID(SUBSTITUTE(K243,";",REPT(" ",99)),397,99)))+1,999))+1,999))-1))))</f>
        <v/>
      </c>
    </row>
    <row r="244">
      <c r="D244" s="11">
        <f>IFERROR(VLOOKUP(C244,ItemData_Fish!$A:$B,2,FALSE),"")</f>
        <v/>
      </c>
      <c r="L244" s="11">
        <f>IF(K244="","",TEXTJOIN("; ",TRUE,IF(TRIM(MID(SUBSTITUTE(K244,";",REPT(" ",99)),1,99))="","",IFERROR(VLOOKUP(--LEFT(MID(TRIM(MID(SUBSTITUTE(K244,";",REPT(" ",99)),1,99)),FIND(":",TRIM(MID(SUBSTITUTE(K244,";",REPT(" ",99)),1,99)))+1,999),FIND(":",MID(TRIM(MID(SUBSTITUTE(K244,";",REPT(" ",99)),1,99)),FIND(":",TRIM(MID(SUBSTITUTE(K244,";",REPT(" ",99)),1,99)))+1,999))-1),_Lookup!$A:$B,2,FALSE),"?")&amp;"×"&amp;LEFT(MID(MID(TRIM(MID(SUBSTITUTE(K244,";",REPT(" ",99)),1,99)),FIND(":",TRIM(MID(SUBSTITUTE(K244,";",REPT(" ",99)),1,99)))+1,999),FIND(":",MID(TRIM(MID(SUBSTITUTE(K244,";",REPT(" ",99)),1,99)),FIND(":",TRIM(MID(SUBSTITUTE(K244,";",REPT(" ",99)),1,99)))+1,999))+1,999),FIND(":",MID(MID(TRIM(MID(SUBSTITUTE(K244,";",REPT(" ",99)),1,99)),FIND(":",TRIM(MID(SUBSTITUTE(K244,";",REPT(" ",99)),1,99)))+1,999),FIND(":",MID(TRIM(MID(SUBSTITUTE(K244,";",REPT(" ",99)),1,99)),FIND(":",TRIM(MID(SUBSTITUTE(K244,";",REPT(" ",99)),1,99)))+1,999))+1,999))-1)),IF(TRIM(MID(SUBSTITUTE(K244,";",REPT(" ",99)),100,99))="","",IFERROR(VLOOKUP(--LEFT(MID(TRIM(MID(SUBSTITUTE(K244,";",REPT(" ",99)),100,99)),FIND(":",TRIM(MID(SUBSTITUTE(K244,";",REPT(" ",99)),100,99)))+1,999),FIND(":",MID(TRIM(MID(SUBSTITUTE(K244,";",REPT(" ",99)),100,99)),FIND(":",TRIM(MID(SUBSTITUTE(K244,";",REPT(" ",99)),100,99)))+1,999))-1),_Lookup!$A:$B,2,FALSE),"?")&amp;"×"&amp;LEFT(MID(MID(TRIM(MID(SUBSTITUTE(K244,";",REPT(" ",99)),100,99)),FIND(":",TRIM(MID(SUBSTITUTE(K244,";",REPT(" ",99)),100,99)))+1,999),FIND(":",MID(TRIM(MID(SUBSTITUTE(K244,";",REPT(" ",99)),100,99)),FIND(":",TRIM(MID(SUBSTITUTE(K244,";",REPT(" ",99)),100,99)))+1,999))+1,999),FIND(":",MID(MID(TRIM(MID(SUBSTITUTE(K244,";",REPT(" ",99)),100,99)),FIND(":",TRIM(MID(SUBSTITUTE(K244,";",REPT(" ",99)),100,99)))+1,999),FIND(":",MID(TRIM(MID(SUBSTITUTE(K244,";",REPT(" ",99)),100,99)),FIND(":",TRIM(MID(SUBSTITUTE(K244,";",REPT(" ",99)),100,99)))+1,999))+1,999))-1)),IF(TRIM(MID(SUBSTITUTE(K244,";",REPT(" ",99)),199,99))="","",IFERROR(VLOOKUP(--LEFT(MID(TRIM(MID(SUBSTITUTE(K244,";",REPT(" ",99)),199,99)),FIND(":",TRIM(MID(SUBSTITUTE(K244,";",REPT(" ",99)),199,99)))+1,999),FIND(":",MID(TRIM(MID(SUBSTITUTE(K244,";",REPT(" ",99)),199,99)),FIND(":",TRIM(MID(SUBSTITUTE(K244,";",REPT(" ",99)),199,99)))+1,999))-1),_Lookup!$A:$B,2,FALSE),"?")&amp;"×"&amp;LEFT(MID(MID(TRIM(MID(SUBSTITUTE(K244,";",REPT(" ",99)),199,99)),FIND(":",TRIM(MID(SUBSTITUTE(K244,";",REPT(" ",99)),199,99)))+1,999),FIND(":",MID(TRIM(MID(SUBSTITUTE(K244,";",REPT(" ",99)),199,99)),FIND(":",TRIM(MID(SUBSTITUTE(K244,";",REPT(" ",99)),199,99)))+1,999))+1,999),FIND(":",MID(MID(TRIM(MID(SUBSTITUTE(K244,";",REPT(" ",99)),199,99)),FIND(":",TRIM(MID(SUBSTITUTE(K244,";",REPT(" ",99)),199,99)))+1,999),FIND(":",MID(TRIM(MID(SUBSTITUTE(K244,";",REPT(" ",99)),199,99)),FIND(":",TRIM(MID(SUBSTITUTE(K244,";",REPT(" ",99)),199,99)))+1,999))+1,999))-1)),IF(TRIM(MID(SUBSTITUTE(K244,";",REPT(" ",99)),298,99))="","",IFERROR(VLOOKUP(--LEFT(MID(TRIM(MID(SUBSTITUTE(K244,";",REPT(" ",99)),298,99)),FIND(":",TRIM(MID(SUBSTITUTE(K244,";",REPT(" ",99)),298,99)))+1,999),FIND(":",MID(TRIM(MID(SUBSTITUTE(K244,";",REPT(" ",99)),298,99)),FIND(":",TRIM(MID(SUBSTITUTE(K244,";",REPT(" ",99)),298,99)))+1,999))-1),_Lookup!$A:$B,2,FALSE),"?")&amp;"×"&amp;LEFT(MID(MID(TRIM(MID(SUBSTITUTE(K244,";",REPT(" ",99)),298,99)),FIND(":",TRIM(MID(SUBSTITUTE(K244,";",REPT(" ",99)),298,99)))+1,999),FIND(":",MID(TRIM(MID(SUBSTITUTE(K244,";",REPT(" ",99)),298,99)),FIND(":",TRIM(MID(SUBSTITUTE(K244,";",REPT(" ",99)),298,99)))+1,999))+1,999),FIND(":",MID(MID(TRIM(MID(SUBSTITUTE(K244,";",REPT(" ",99)),298,99)),FIND(":",TRIM(MID(SUBSTITUTE(K244,";",REPT(" ",99)),298,99)))+1,999),FIND(":",MID(TRIM(MID(SUBSTITUTE(K244,";",REPT(" ",99)),298,99)),FIND(":",TRIM(MID(SUBSTITUTE(K244,";",REPT(" ",99)),298,99)))+1,999))+1,999))-1)),IF(TRIM(MID(SUBSTITUTE(K244,";",REPT(" ",99)),397,99))="","",IFERROR(VLOOKUP(--LEFT(MID(TRIM(MID(SUBSTITUTE(K244,";",REPT(" ",99)),397,99)),FIND(":",TRIM(MID(SUBSTITUTE(K244,";",REPT(" ",99)),397,99)))+1,999),FIND(":",MID(TRIM(MID(SUBSTITUTE(K244,";",REPT(" ",99)),397,99)),FIND(":",TRIM(MID(SUBSTITUTE(K244,";",REPT(" ",99)),397,99)))+1,999))-1),_Lookup!$A:$B,2,FALSE),"?")&amp;"×"&amp;LEFT(MID(MID(TRIM(MID(SUBSTITUTE(K244,";",REPT(" ",99)),397,99)),FIND(":",TRIM(MID(SUBSTITUTE(K244,";",REPT(" ",99)),397,99)))+1,999),FIND(":",MID(TRIM(MID(SUBSTITUTE(K244,";",REPT(" ",99)),397,99)),FIND(":",TRIM(MID(SUBSTITUTE(K244,";",REPT(" ",99)),397,99)))+1,999))+1,999),FIND(":",MID(MID(TRIM(MID(SUBSTITUTE(K244,";",REPT(" ",99)),397,99)),FIND(":",TRIM(MID(SUBSTITUTE(K244,";",REPT(" ",99)),397,99)))+1,999),FIND(":",MID(TRIM(MID(SUBSTITUTE(K244,";",REPT(" ",99)),397,99)),FIND(":",TRIM(MID(SUBSTITUTE(K244,";",REPT(" ",99)),397,99)))+1,999))+1,999))-1))))</f>
        <v/>
      </c>
    </row>
    <row r="245">
      <c r="D245" s="11">
        <f>IFERROR(VLOOKUP(C245,ItemData_Fish!$A:$B,2,FALSE),"")</f>
        <v/>
      </c>
      <c r="L245" s="11">
        <f>IF(K245="","",TEXTJOIN("; ",TRUE,IF(TRIM(MID(SUBSTITUTE(K245,";",REPT(" ",99)),1,99))="","",IFERROR(VLOOKUP(--LEFT(MID(TRIM(MID(SUBSTITUTE(K245,";",REPT(" ",99)),1,99)),FIND(":",TRIM(MID(SUBSTITUTE(K245,";",REPT(" ",99)),1,99)))+1,999),FIND(":",MID(TRIM(MID(SUBSTITUTE(K245,";",REPT(" ",99)),1,99)),FIND(":",TRIM(MID(SUBSTITUTE(K245,";",REPT(" ",99)),1,99)))+1,999))-1),_Lookup!$A:$B,2,FALSE),"?")&amp;"×"&amp;LEFT(MID(MID(TRIM(MID(SUBSTITUTE(K245,";",REPT(" ",99)),1,99)),FIND(":",TRIM(MID(SUBSTITUTE(K245,";",REPT(" ",99)),1,99)))+1,999),FIND(":",MID(TRIM(MID(SUBSTITUTE(K245,";",REPT(" ",99)),1,99)),FIND(":",TRIM(MID(SUBSTITUTE(K245,";",REPT(" ",99)),1,99)))+1,999))+1,999),FIND(":",MID(MID(TRIM(MID(SUBSTITUTE(K245,";",REPT(" ",99)),1,99)),FIND(":",TRIM(MID(SUBSTITUTE(K245,";",REPT(" ",99)),1,99)))+1,999),FIND(":",MID(TRIM(MID(SUBSTITUTE(K245,";",REPT(" ",99)),1,99)),FIND(":",TRIM(MID(SUBSTITUTE(K245,";",REPT(" ",99)),1,99)))+1,999))+1,999))-1)),IF(TRIM(MID(SUBSTITUTE(K245,";",REPT(" ",99)),100,99))="","",IFERROR(VLOOKUP(--LEFT(MID(TRIM(MID(SUBSTITUTE(K245,";",REPT(" ",99)),100,99)),FIND(":",TRIM(MID(SUBSTITUTE(K245,";",REPT(" ",99)),100,99)))+1,999),FIND(":",MID(TRIM(MID(SUBSTITUTE(K245,";",REPT(" ",99)),100,99)),FIND(":",TRIM(MID(SUBSTITUTE(K245,";",REPT(" ",99)),100,99)))+1,999))-1),_Lookup!$A:$B,2,FALSE),"?")&amp;"×"&amp;LEFT(MID(MID(TRIM(MID(SUBSTITUTE(K245,";",REPT(" ",99)),100,99)),FIND(":",TRIM(MID(SUBSTITUTE(K245,";",REPT(" ",99)),100,99)))+1,999),FIND(":",MID(TRIM(MID(SUBSTITUTE(K245,";",REPT(" ",99)),100,99)),FIND(":",TRIM(MID(SUBSTITUTE(K245,";",REPT(" ",99)),100,99)))+1,999))+1,999),FIND(":",MID(MID(TRIM(MID(SUBSTITUTE(K245,";",REPT(" ",99)),100,99)),FIND(":",TRIM(MID(SUBSTITUTE(K245,";",REPT(" ",99)),100,99)))+1,999),FIND(":",MID(TRIM(MID(SUBSTITUTE(K245,";",REPT(" ",99)),100,99)),FIND(":",TRIM(MID(SUBSTITUTE(K245,";",REPT(" ",99)),100,99)))+1,999))+1,999))-1)),IF(TRIM(MID(SUBSTITUTE(K245,";",REPT(" ",99)),199,99))="","",IFERROR(VLOOKUP(--LEFT(MID(TRIM(MID(SUBSTITUTE(K245,";",REPT(" ",99)),199,99)),FIND(":",TRIM(MID(SUBSTITUTE(K245,";",REPT(" ",99)),199,99)))+1,999),FIND(":",MID(TRIM(MID(SUBSTITUTE(K245,";",REPT(" ",99)),199,99)),FIND(":",TRIM(MID(SUBSTITUTE(K245,";",REPT(" ",99)),199,99)))+1,999))-1),_Lookup!$A:$B,2,FALSE),"?")&amp;"×"&amp;LEFT(MID(MID(TRIM(MID(SUBSTITUTE(K245,";",REPT(" ",99)),199,99)),FIND(":",TRIM(MID(SUBSTITUTE(K245,";",REPT(" ",99)),199,99)))+1,999),FIND(":",MID(TRIM(MID(SUBSTITUTE(K245,";",REPT(" ",99)),199,99)),FIND(":",TRIM(MID(SUBSTITUTE(K245,";",REPT(" ",99)),199,99)))+1,999))+1,999),FIND(":",MID(MID(TRIM(MID(SUBSTITUTE(K245,";",REPT(" ",99)),199,99)),FIND(":",TRIM(MID(SUBSTITUTE(K245,";",REPT(" ",99)),199,99)))+1,999),FIND(":",MID(TRIM(MID(SUBSTITUTE(K245,";",REPT(" ",99)),199,99)),FIND(":",TRIM(MID(SUBSTITUTE(K245,";",REPT(" ",99)),199,99)))+1,999))+1,999))-1)),IF(TRIM(MID(SUBSTITUTE(K245,";",REPT(" ",99)),298,99))="","",IFERROR(VLOOKUP(--LEFT(MID(TRIM(MID(SUBSTITUTE(K245,";",REPT(" ",99)),298,99)),FIND(":",TRIM(MID(SUBSTITUTE(K245,";",REPT(" ",99)),298,99)))+1,999),FIND(":",MID(TRIM(MID(SUBSTITUTE(K245,";",REPT(" ",99)),298,99)),FIND(":",TRIM(MID(SUBSTITUTE(K245,";",REPT(" ",99)),298,99)))+1,999))-1),_Lookup!$A:$B,2,FALSE),"?")&amp;"×"&amp;LEFT(MID(MID(TRIM(MID(SUBSTITUTE(K245,";",REPT(" ",99)),298,99)),FIND(":",TRIM(MID(SUBSTITUTE(K245,";",REPT(" ",99)),298,99)))+1,999),FIND(":",MID(TRIM(MID(SUBSTITUTE(K245,";",REPT(" ",99)),298,99)),FIND(":",TRIM(MID(SUBSTITUTE(K245,";",REPT(" ",99)),298,99)))+1,999))+1,999),FIND(":",MID(MID(TRIM(MID(SUBSTITUTE(K245,";",REPT(" ",99)),298,99)),FIND(":",TRIM(MID(SUBSTITUTE(K245,";",REPT(" ",99)),298,99)))+1,999),FIND(":",MID(TRIM(MID(SUBSTITUTE(K245,";",REPT(" ",99)),298,99)),FIND(":",TRIM(MID(SUBSTITUTE(K245,";",REPT(" ",99)),298,99)))+1,999))+1,999))-1)),IF(TRIM(MID(SUBSTITUTE(K245,";",REPT(" ",99)),397,99))="","",IFERROR(VLOOKUP(--LEFT(MID(TRIM(MID(SUBSTITUTE(K245,";",REPT(" ",99)),397,99)),FIND(":",TRIM(MID(SUBSTITUTE(K245,";",REPT(" ",99)),397,99)))+1,999),FIND(":",MID(TRIM(MID(SUBSTITUTE(K245,";",REPT(" ",99)),397,99)),FIND(":",TRIM(MID(SUBSTITUTE(K245,";",REPT(" ",99)),397,99)))+1,999))-1),_Lookup!$A:$B,2,FALSE),"?")&amp;"×"&amp;LEFT(MID(MID(TRIM(MID(SUBSTITUTE(K245,";",REPT(" ",99)),397,99)),FIND(":",TRIM(MID(SUBSTITUTE(K245,";",REPT(" ",99)),397,99)))+1,999),FIND(":",MID(TRIM(MID(SUBSTITUTE(K245,";",REPT(" ",99)),397,99)),FIND(":",TRIM(MID(SUBSTITUTE(K245,";",REPT(" ",99)),397,99)))+1,999))+1,999),FIND(":",MID(MID(TRIM(MID(SUBSTITUTE(K245,";",REPT(" ",99)),397,99)),FIND(":",TRIM(MID(SUBSTITUTE(K245,";",REPT(" ",99)),397,99)))+1,999),FIND(":",MID(TRIM(MID(SUBSTITUTE(K245,";",REPT(" ",99)),397,99)),FIND(":",TRIM(MID(SUBSTITUTE(K245,";",REPT(" ",99)),397,99)))+1,999))+1,999))-1))))</f>
        <v/>
      </c>
    </row>
    <row r="246">
      <c r="D246" s="11">
        <f>IFERROR(VLOOKUP(C246,ItemData_Fish!$A:$B,2,FALSE),"")</f>
        <v/>
      </c>
      <c r="L246" s="11">
        <f>IF(K246="","",TEXTJOIN("; ",TRUE,IF(TRIM(MID(SUBSTITUTE(K246,";",REPT(" ",99)),1,99))="","",IFERROR(VLOOKUP(--LEFT(MID(TRIM(MID(SUBSTITUTE(K246,";",REPT(" ",99)),1,99)),FIND(":",TRIM(MID(SUBSTITUTE(K246,";",REPT(" ",99)),1,99)))+1,999),FIND(":",MID(TRIM(MID(SUBSTITUTE(K246,";",REPT(" ",99)),1,99)),FIND(":",TRIM(MID(SUBSTITUTE(K246,";",REPT(" ",99)),1,99)))+1,999))-1),_Lookup!$A:$B,2,FALSE),"?")&amp;"×"&amp;LEFT(MID(MID(TRIM(MID(SUBSTITUTE(K246,";",REPT(" ",99)),1,99)),FIND(":",TRIM(MID(SUBSTITUTE(K246,";",REPT(" ",99)),1,99)))+1,999),FIND(":",MID(TRIM(MID(SUBSTITUTE(K246,";",REPT(" ",99)),1,99)),FIND(":",TRIM(MID(SUBSTITUTE(K246,";",REPT(" ",99)),1,99)))+1,999))+1,999),FIND(":",MID(MID(TRIM(MID(SUBSTITUTE(K246,";",REPT(" ",99)),1,99)),FIND(":",TRIM(MID(SUBSTITUTE(K246,";",REPT(" ",99)),1,99)))+1,999),FIND(":",MID(TRIM(MID(SUBSTITUTE(K246,";",REPT(" ",99)),1,99)),FIND(":",TRIM(MID(SUBSTITUTE(K246,";",REPT(" ",99)),1,99)))+1,999))+1,999))-1)),IF(TRIM(MID(SUBSTITUTE(K246,";",REPT(" ",99)),100,99))="","",IFERROR(VLOOKUP(--LEFT(MID(TRIM(MID(SUBSTITUTE(K246,";",REPT(" ",99)),100,99)),FIND(":",TRIM(MID(SUBSTITUTE(K246,";",REPT(" ",99)),100,99)))+1,999),FIND(":",MID(TRIM(MID(SUBSTITUTE(K246,";",REPT(" ",99)),100,99)),FIND(":",TRIM(MID(SUBSTITUTE(K246,";",REPT(" ",99)),100,99)))+1,999))-1),_Lookup!$A:$B,2,FALSE),"?")&amp;"×"&amp;LEFT(MID(MID(TRIM(MID(SUBSTITUTE(K246,";",REPT(" ",99)),100,99)),FIND(":",TRIM(MID(SUBSTITUTE(K246,";",REPT(" ",99)),100,99)))+1,999),FIND(":",MID(TRIM(MID(SUBSTITUTE(K246,";",REPT(" ",99)),100,99)),FIND(":",TRIM(MID(SUBSTITUTE(K246,";",REPT(" ",99)),100,99)))+1,999))+1,999),FIND(":",MID(MID(TRIM(MID(SUBSTITUTE(K246,";",REPT(" ",99)),100,99)),FIND(":",TRIM(MID(SUBSTITUTE(K246,";",REPT(" ",99)),100,99)))+1,999),FIND(":",MID(TRIM(MID(SUBSTITUTE(K246,";",REPT(" ",99)),100,99)),FIND(":",TRIM(MID(SUBSTITUTE(K246,";",REPT(" ",99)),100,99)))+1,999))+1,999))-1)),IF(TRIM(MID(SUBSTITUTE(K246,";",REPT(" ",99)),199,99))="","",IFERROR(VLOOKUP(--LEFT(MID(TRIM(MID(SUBSTITUTE(K246,";",REPT(" ",99)),199,99)),FIND(":",TRIM(MID(SUBSTITUTE(K246,";",REPT(" ",99)),199,99)))+1,999),FIND(":",MID(TRIM(MID(SUBSTITUTE(K246,";",REPT(" ",99)),199,99)),FIND(":",TRIM(MID(SUBSTITUTE(K246,";",REPT(" ",99)),199,99)))+1,999))-1),_Lookup!$A:$B,2,FALSE),"?")&amp;"×"&amp;LEFT(MID(MID(TRIM(MID(SUBSTITUTE(K246,";",REPT(" ",99)),199,99)),FIND(":",TRIM(MID(SUBSTITUTE(K246,";",REPT(" ",99)),199,99)))+1,999),FIND(":",MID(TRIM(MID(SUBSTITUTE(K246,";",REPT(" ",99)),199,99)),FIND(":",TRIM(MID(SUBSTITUTE(K246,";",REPT(" ",99)),199,99)))+1,999))+1,999),FIND(":",MID(MID(TRIM(MID(SUBSTITUTE(K246,";",REPT(" ",99)),199,99)),FIND(":",TRIM(MID(SUBSTITUTE(K246,";",REPT(" ",99)),199,99)))+1,999),FIND(":",MID(TRIM(MID(SUBSTITUTE(K246,";",REPT(" ",99)),199,99)),FIND(":",TRIM(MID(SUBSTITUTE(K246,";",REPT(" ",99)),199,99)))+1,999))+1,999))-1)),IF(TRIM(MID(SUBSTITUTE(K246,";",REPT(" ",99)),298,99))="","",IFERROR(VLOOKUP(--LEFT(MID(TRIM(MID(SUBSTITUTE(K246,";",REPT(" ",99)),298,99)),FIND(":",TRIM(MID(SUBSTITUTE(K246,";",REPT(" ",99)),298,99)))+1,999),FIND(":",MID(TRIM(MID(SUBSTITUTE(K246,";",REPT(" ",99)),298,99)),FIND(":",TRIM(MID(SUBSTITUTE(K246,";",REPT(" ",99)),298,99)))+1,999))-1),_Lookup!$A:$B,2,FALSE),"?")&amp;"×"&amp;LEFT(MID(MID(TRIM(MID(SUBSTITUTE(K246,";",REPT(" ",99)),298,99)),FIND(":",TRIM(MID(SUBSTITUTE(K246,";",REPT(" ",99)),298,99)))+1,999),FIND(":",MID(TRIM(MID(SUBSTITUTE(K246,";",REPT(" ",99)),298,99)),FIND(":",TRIM(MID(SUBSTITUTE(K246,";",REPT(" ",99)),298,99)))+1,999))+1,999),FIND(":",MID(MID(TRIM(MID(SUBSTITUTE(K246,";",REPT(" ",99)),298,99)),FIND(":",TRIM(MID(SUBSTITUTE(K246,";",REPT(" ",99)),298,99)))+1,999),FIND(":",MID(TRIM(MID(SUBSTITUTE(K246,";",REPT(" ",99)),298,99)),FIND(":",TRIM(MID(SUBSTITUTE(K246,";",REPT(" ",99)),298,99)))+1,999))+1,999))-1)),IF(TRIM(MID(SUBSTITUTE(K246,";",REPT(" ",99)),397,99))="","",IFERROR(VLOOKUP(--LEFT(MID(TRIM(MID(SUBSTITUTE(K246,";",REPT(" ",99)),397,99)),FIND(":",TRIM(MID(SUBSTITUTE(K246,";",REPT(" ",99)),397,99)))+1,999),FIND(":",MID(TRIM(MID(SUBSTITUTE(K246,";",REPT(" ",99)),397,99)),FIND(":",TRIM(MID(SUBSTITUTE(K246,";",REPT(" ",99)),397,99)))+1,999))-1),_Lookup!$A:$B,2,FALSE),"?")&amp;"×"&amp;LEFT(MID(MID(TRIM(MID(SUBSTITUTE(K246,";",REPT(" ",99)),397,99)),FIND(":",TRIM(MID(SUBSTITUTE(K246,";",REPT(" ",99)),397,99)))+1,999),FIND(":",MID(TRIM(MID(SUBSTITUTE(K246,";",REPT(" ",99)),397,99)),FIND(":",TRIM(MID(SUBSTITUTE(K246,";",REPT(" ",99)),397,99)))+1,999))+1,999),FIND(":",MID(MID(TRIM(MID(SUBSTITUTE(K246,";",REPT(" ",99)),397,99)),FIND(":",TRIM(MID(SUBSTITUTE(K246,";",REPT(" ",99)),397,99)))+1,999),FIND(":",MID(TRIM(MID(SUBSTITUTE(K246,";",REPT(" ",99)),397,99)),FIND(":",TRIM(MID(SUBSTITUTE(K246,";",REPT(" ",99)),397,99)))+1,999))+1,999))-1))))</f>
        <v/>
      </c>
    </row>
    <row r="247">
      <c r="D247" s="11">
        <f>IFERROR(VLOOKUP(C247,ItemData_Fish!$A:$B,2,FALSE),"")</f>
        <v/>
      </c>
      <c r="L247" s="11">
        <f>IF(K247="","",TEXTJOIN("; ",TRUE,IF(TRIM(MID(SUBSTITUTE(K247,";",REPT(" ",99)),1,99))="","",IFERROR(VLOOKUP(--LEFT(MID(TRIM(MID(SUBSTITUTE(K247,";",REPT(" ",99)),1,99)),FIND(":",TRIM(MID(SUBSTITUTE(K247,";",REPT(" ",99)),1,99)))+1,999),FIND(":",MID(TRIM(MID(SUBSTITUTE(K247,";",REPT(" ",99)),1,99)),FIND(":",TRIM(MID(SUBSTITUTE(K247,";",REPT(" ",99)),1,99)))+1,999))-1),_Lookup!$A:$B,2,FALSE),"?")&amp;"×"&amp;LEFT(MID(MID(TRIM(MID(SUBSTITUTE(K247,";",REPT(" ",99)),1,99)),FIND(":",TRIM(MID(SUBSTITUTE(K247,";",REPT(" ",99)),1,99)))+1,999),FIND(":",MID(TRIM(MID(SUBSTITUTE(K247,";",REPT(" ",99)),1,99)),FIND(":",TRIM(MID(SUBSTITUTE(K247,";",REPT(" ",99)),1,99)))+1,999))+1,999),FIND(":",MID(MID(TRIM(MID(SUBSTITUTE(K247,";",REPT(" ",99)),1,99)),FIND(":",TRIM(MID(SUBSTITUTE(K247,";",REPT(" ",99)),1,99)))+1,999),FIND(":",MID(TRIM(MID(SUBSTITUTE(K247,";",REPT(" ",99)),1,99)),FIND(":",TRIM(MID(SUBSTITUTE(K247,";",REPT(" ",99)),1,99)))+1,999))+1,999))-1)),IF(TRIM(MID(SUBSTITUTE(K247,";",REPT(" ",99)),100,99))="","",IFERROR(VLOOKUP(--LEFT(MID(TRIM(MID(SUBSTITUTE(K247,";",REPT(" ",99)),100,99)),FIND(":",TRIM(MID(SUBSTITUTE(K247,";",REPT(" ",99)),100,99)))+1,999),FIND(":",MID(TRIM(MID(SUBSTITUTE(K247,";",REPT(" ",99)),100,99)),FIND(":",TRIM(MID(SUBSTITUTE(K247,";",REPT(" ",99)),100,99)))+1,999))-1),_Lookup!$A:$B,2,FALSE),"?")&amp;"×"&amp;LEFT(MID(MID(TRIM(MID(SUBSTITUTE(K247,";",REPT(" ",99)),100,99)),FIND(":",TRIM(MID(SUBSTITUTE(K247,";",REPT(" ",99)),100,99)))+1,999),FIND(":",MID(TRIM(MID(SUBSTITUTE(K247,";",REPT(" ",99)),100,99)),FIND(":",TRIM(MID(SUBSTITUTE(K247,";",REPT(" ",99)),100,99)))+1,999))+1,999),FIND(":",MID(MID(TRIM(MID(SUBSTITUTE(K247,";",REPT(" ",99)),100,99)),FIND(":",TRIM(MID(SUBSTITUTE(K247,";",REPT(" ",99)),100,99)))+1,999),FIND(":",MID(TRIM(MID(SUBSTITUTE(K247,";",REPT(" ",99)),100,99)),FIND(":",TRIM(MID(SUBSTITUTE(K247,";",REPT(" ",99)),100,99)))+1,999))+1,999))-1)),IF(TRIM(MID(SUBSTITUTE(K247,";",REPT(" ",99)),199,99))="","",IFERROR(VLOOKUP(--LEFT(MID(TRIM(MID(SUBSTITUTE(K247,";",REPT(" ",99)),199,99)),FIND(":",TRIM(MID(SUBSTITUTE(K247,";",REPT(" ",99)),199,99)))+1,999),FIND(":",MID(TRIM(MID(SUBSTITUTE(K247,";",REPT(" ",99)),199,99)),FIND(":",TRIM(MID(SUBSTITUTE(K247,";",REPT(" ",99)),199,99)))+1,999))-1),_Lookup!$A:$B,2,FALSE),"?")&amp;"×"&amp;LEFT(MID(MID(TRIM(MID(SUBSTITUTE(K247,";",REPT(" ",99)),199,99)),FIND(":",TRIM(MID(SUBSTITUTE(K247,";",REPT(" ",99)),199,99)))+1,999),FIND(":",MID(TRIM(MID(SUBSTITUTE(K247,";",REPT(" ",99)),199,99)),FIND(":",TRIM(MID(SUBSTITUTE(K247,";",REPT(" ",99)),199,99)))+1,999))+1,999),FIND(":",MID(MID(TRIM(MID(SUBSTITUTE(K247,";",REPT(" ",99)),199,99)),FIND(":",TRIM(MID(SUBSTITUTE(K247,";",REPT(" ",99)),199,99)))+1,999),FIND(":",MID(TRIM(MID(SUBSTITUTE(K247,";",REPT(" ",99)),199,99)),FIND(":",TRIM(MID(SUBSTITUTE(K247,";",REPT(" ",99)),199,99)))+1,999))+1,999))-1)),IF(TRIM(MID(SUBSTITUTE(K247,";",REPT(" ",99)),298,99))="","",IFERROR(VLOOKUP(--LEFT(MID(TRIM(MID(SUBSTITUTE(K247,";",REPT(" ",99)),298,99)),FIND(":",TRIM(MID(SUBSTITUTE(K247,";",REPT(" ",99)),298,99)))+1,999),FIND(":",MID(TRIM(MID(SUBSTITUTE(K247,";",REPT(" ",99)),298,99)),FIND(":",TRIM(MID(SUBSTITUTE(K247,";",REPT(" ",99)),298,99)))+1,999))-1),_Lookup!$A:$B,2,FALSE),"?")&amp;"×"&amp;LEFT(MID(MID(TRIM(MID(SUBSTITUTE(K247,";",REPT(" ",99)),298,99)),FIND(":",TRIM(MID(SUBSTITUTE(K247,";",REPT(" ",99)),298,99)))+1,999),FIND(":",MID(TRIM(MID(SUBSTITUTE(K247,";",REPT(" ",99)),298,99)),FIND(":",TRIM(MID(SUBSTITUTE(K247,";",REPT(" ",99)),298,99)))+1,999))+1,999),FIND(":",MID(MID(TRIM(MID(SUBSTITUTE(K247,";",REPT(" ",99)),298,99)),FIND(":",TRIM(MID(SUBSTITUTE(K247,";",REPT(" ",99)),298,99)))+1,999),FIND(":",MID(TRIM(MID(SUBSTITUTE(K247,";",REPT(" ",99)),298,99)),FIND(":",TRIM(MID(SUBSTITUTE(K247,";",REPT(" ",99)),298,99)))+1,999))+1,999))-1)),IF(TRIM(MID(SUBSTITUTE(K247,";",REPT(" ",99)),397,99))="","",IFERROR(VLOOKUP(--LEFT(MID(TRIM(MID(SUBSTITUTE(K247,";",REPT(" ",99)),397,99)),FIND(":",TRIM(MID(SUBSTITUTE(K247,";",REPT(" ",99)),397,99)))+1,999),FIND(":",MID(TRIM(MID(SUBSTITUTE(K247,";",REPT(" ",99)),397,99)),FIND(":",TRIM(MID(SUBSTITUTE(K247,";",REPT(" ",99)),397,99)))+1,999))-1),_Lookup!$A:$B,2,FALSE),"?")&amp;"×"&amp;LEFT(MID(MID(TRIM(MID(SUBSTITUTE(K247,";",REPT(" ",99)),397,99)),FIND(":",TRIM(MID(SUBSTITUTE(K247,";",REPT(" ",99)),397,99)))+1,999),FIND(":",MID(TRIM(MID(SUBSTITUTE(K247,";",REPT(" ",99)),397,99)),FIND(":",TRIM(MID(SUBSTITUTE(K247,";",REPT(" ",99)),397,99)))+1,999))+1,999),FIND(":",MID(MID(TRIM(MID(SUBSTITUTE(K247,";",REPT(" ",99)),397,99)),FIND(":",TRIM(MID(SUBSTITUTE(K247,";",REPT(" ",99)),397,99)))+1,999),FIND(":",MID(TRIM(MID(SUBSTITUTE(K247,";",REPT(" ",99)),397,99)),FIND(":",TRIM(MID(SUBSTITUTE(K247,";",REPT(" ",99)),397,99)))+1,999))+1,999))-1))))</f>
        <v/>
      </c>
    </row>
    <row r="248">
      <c r="D248" s="11">
        <f>IFERROR(VLOOKUP(C248,ItemData_Fish!$A:$B,2,FALSE),"")</f>
        <v/>
      </c>
      <c r="L248" s="11">
        <f>IF(K248="","",TEXTJOIN("; ",TRUE,IF(TRIM(MID(SUBSTITUTE(K248,";",REPT(" ",99)),1,99))="","",IFERROR(VLOOKUP(--LEFT(MID(TRIM(MID(SUBSTITUTE(K248,";",REPT(" ",99)),1,99)),FIND(":",TRIM(MID(SUBSTITUTE(K248,";",REPT(" ",99)),1,99)))+1,999),FIND(":",MID(TRIM(MID(SUBSTITUTE(K248,";",REPT(" ",99)),1,99)),FIND(":",TRIM(MID(SUBSTITUTE(K248,";",REPT(" ",99)),1,99)))+1,999))-1),_Lookup!$A:$B,2,FALSE),"?")&amp;"×"&amp;LEFT(MID(MID(TRIM(MID(SUBSTITUTE(K248,";",REPT(" ",99)),1,99)),FIND(":",TRIM(MID(SUBSTITUTE(K248,";",REPT(" ",99)),1,99)))+1,999),FIND(":",MID(TRIM(MID(SUBSTITUTE(K248,";",REPT(" ",99)),1,99)),FIND(":",TRIM(MID(SUBSTITUTE(K248,";",REPT(" ",99)),1,99)))+1,999))+1,999),FIND(":",MID(MID(TRIM(MID(SUBSTITUTE(K248,";",REPT(" ",99)),1,99)),FIND(":",TRIM(MID(SUBSTITUTE(K248,";",REPT(" ",99)),1,99)))+1,999),FIND(":",MID(TRIM(MID(SUBSTITUTE(K248,";",REPT(" ",99)),1,99)),FIND(":",TRIM(MID(SUBSTITUTE(K248,";",REPT(" ",99)),1,99)))+1,999))+1,999))-1)),IF(TRIM(MID(SUBSTITUTE(K248,";",REPT(" ",99)),100,99))="","",IFERROR(VLOOKUP(--LEFT(MID(TRIM(MID(SUBSTITUTE(K248,";",REPT(" ",99)),100,99)),FIND(":",TRIM(MID(SUBSTITUTE(K248,";",REPT(" ",99)),100,99)))+1,999),FIND(":",MID(TRIM(MID(SUBSTITUTE(K248,";",REPT(" ",99)),100,99)),FIND(":",TRIM(MID(SUBSTITUTE(K248,";",REPT(" ",99)),100,99)))+1,999))-1),_Lookup!$A:$B,2,FALSE),"?")&amp;"×"&amp;LEFT(MID(MID(TRIM(MID(SUBSTITUTE(K248,";",REPT(" ",99)),100,99)),FIND(":",TRIM(MID(SUBSTITUTE(K248,";",REPT(" ",99)),100,99)))+1,999),FIND(":",MID(TRIM(MID(SUBSTITUTE(K248,";",REPT(" ",99)),100,99)),FIND(":",TRIM(MID(SUBSTITUTE(K248,";",REPT(" ",99)),100,99)))+1,999))+1,999),FIND(":",MID(MID(TRIM(MID(SUBSTITUTE(K248,";",REPT(" ",99)),100,99)),FIND(":",TRIM(MID(SUBSTITUTE(K248,";",REPT(" ",99)),100,99)))+1,999),FIND(":",MID(TRIM(MID(SUBSTITUTE(K248,";",REPT(" ",99)),100,99)),FIND(":",TRIM(MID(SUBSTITUTE(K248,";",REPT(" ",99)),100,99)))+1,999))+1,999))-1)),IF(TRIM(MID(SUBSTITUTE(K248,";",REPT(" ",99)),199,99))="","",IFERROR(VLOOKUP(--LEFT(MID(TRIM(MID(SUBSTITUTE(K248,";",REPT(" ",99)),199,99)),FIND(":",TRIM(MID(SUBSTITUTE(K248,";",REPT(" ",99)),199,99)))+1,999),FIND(":",MID(TRIM(MID(SUBSTITUTE(K248,";",REPT(" ",99)),199,99)),FIND(":",TRIM(MID(SUBSTITUTE(K248,";",REPT(" ",99)),199,99)))+1,999))-1),_Lookup!$A:$B,2,FALSE),"?")&amp;"×"&amp;LEFT(MID(MID(TRIM(MID(SUBSTITUTE(K248,";",REPT(" ",99)),199,99)),FIND(":",TRIM(MID(SUBSTITUTE(K248,";",REPT(" ",99)),199,99)))+1,999),FIND(":",MID(TRIM(MID(SUBSTITUTE(K248,";",REPT(" ",99)),199,99)),FIND(":",TRIM(MID(SUBSTITUTE(K248,";",REPT(" ",99)),199,99)))+1,999))+1,999),FIND(":",MID(MID(TRIM(MID(SUBSTITUTE(K248,";",REPT(" ",99)),199,99)),FIND(":",TRIM(MID(SUBSTITUTE(K248,";",REPT(" ",99)),199,99)))+1,999),FIND(":",MID(TRIM(MID(SUBSTITUTE(K248,";",REPT(" ",99)),199,99)),FIND(":",TRIM(MID(SUBSTITUTE(K248,";",REPT(" ",99)),199,99)))+1,999))+1,999))-1)),IF(TRIM(MID(SUBSTITUTE(K248,";",REPT(" ",99)),298,99))="","",IFERROR(VLOOKUP(--LEFT(MID(TRIM(MID(SUBSTITUTE(K248,";",REPT(" ",99)),298,99)),FIND(":",TRIM(MID(SUBSTITUTE(K248,";",REPT(" ",99)),298,99)))+1,999),FIND(":",MID(TRIM(MID(SUBSTITUTE(K248,";",REPT(" ",99)),298,99)),FIND(":",TRIM(MID(SUBSTITUTE(K248,";",REPT(" ",99)),298,99)))+1,999))-1),_Lookup!$A:$B,2,FALSE),"?")&amp;"×"&amp;LEFT(MID(MID(TRIM(MID(SUBSTITUTE(K248,";",REPT(" ",99)),298,99)),FIND(":",TRIM(MID(SUBSTITUTE(K248,";",REPT(" ",99)),298,99)))+1,999),FIND(":",MID(TRIM(MID(SUBSTITUTE(K248,";",REPT(" ",99)),298,99)),FIND(":",TRIM(MID(SUBSTITUTE(K248,";",REPT(" ",99)),298,99)))+1,999))+1,999),FIND(":",MID(MID(TRIM(MID(SUBSTITUTE(K248,";",REPT(" ",99)),298,99)),FIND(":",TRIM(MID(SUBSTITUTE(K248,";",REPT(" ",99)),298,99)))+1,999),FIND(":",MID(TRIM(MID(SUBSTITUTE(K248,";",REPT(" ",99)),298,99)),FIND(":",TRIM(MID(SUBSTITUTE(K248,";",REPT(" ",99)),298,99)))+1,999))+1,999))-1)),IF(TRIM(MID(SUBSTITUTE(K248,";",REPT(" ",99)),397,99))="","",IFERROR(VLOOKUP(--LEFT(MID(TRIM(MID(SUBSTITUTE(K248,";",REPT(" ",99)),397,99)),FIND(":",TRIM(MID(SUBSTITUTE(K248,";",REPT(" ",99)),397,99)))+1,999),FIND(":",MID(TRIM(MID(SUBSTITUTE(K248,";",REPT(" ",99)),397,99)),FIND(":",TRIM(MID(SUBSTITUTE(K248,";",REPT(" ",99)),397,99)))+1,999))-1),_Lookup!$A:$B,2,FALSE),"?")&amp;"×"&amp;LEFT(MID(MID(TRIM(MID(SUBSTITUTE(K248,";",REPT(" ",99)),397,99)),FIND(":",TRIM(MID(SUBSTITUTE(K248,";",REPT(" ",99)),397,99)))+1,999),FIND(":",MID(TRIM(MID(SUBSTITUTE(K248,";",REPT(" ",99)),397,99)),FIND(":",TRIM(MID(SUBSTITUTE(K248,";",REPT(" ",99)),397,99)))+1,999))+1,999),FIND(":",MID(MID(TRIM(MID(SUBSTITUTE(K248,";",REPT(" ",99)),397,99)),FIND(":",TRIM(MID(SUBSTITUTE(K248,";",REPT(" ",99)),397,99)))+1,999),FIND(":",MID(TRIM(MID(SUBSTITUTE(K248,";",REPT(" ",99)),397,99)),FIND(":",TRIM(MID(SUBSTITUTE(K248,";",REPT(" ",99)),397,99)))+1,999))+1,999))-1))))</f>
        <v/>
      </c>
    </row>
    <row r="249">
      <c r="D249" s="11">
        <f>IFERROR(VLOOKUP(C249,ItemData_Fish!$A:$B,2,FALSE),"")</f>
        <v/>
      </c>
      <c r="L249" s="11">
        <f>IF(K249="","",TEXTJOIN("; ",TRUE,IF(TRIM(MID(SUBSTITUTE(K249,";",REPT(" ",99)),1,99))="","",IFERROR(VLOOKUP(--LEFT(MID(TRIM(MID(SUBSTITUTE(K249,";",REPT(" ",99)),1,99)),FIND(":",TRIM(MID(SUBSTITUTE(K249,";",REPT(" ",99)),1,99)))+1,999),FIND(":",MID(TRIM(MID(SUBSTITUTE(K249,";",REPT(" ",99)),1,99)),FIND(":",TRIM(MID(SUBSTITUTE(K249,";",REPT(" ",99)),1,99)))+1,999))-1),_Lookup!$A:$B,2,FALSE),"?")&amp;"×"&amp;LEFT(MID(MID(TRIM(MID(SUBSTITUTE(K249,";",REPT(" ",99)),1,99)),FIND(":",TRIM(MID(SUBSTITUTE(K249,";",REPT(" ",99)),1,99)))+1,999),FIND(":",MID(TRIM(MID(SUBSTITUTE(K249,";",REPT(" ",99)),1,99)),FIND(":",TRIM(MID(SUBSTITUTE(K249,";",REPT(" ",99)),1,99)))+1,999))+1,999),FIND(":",MID(MID(TRIM(MID(SUBSTITUTE(K249,";",REPT(" ",99)),1,99)),FIND(":",TRIM(MID(SUBSTITUTE(K249,";",REPT(" ",99)),1,99)))+1,999),FIND(":",MID(TRIM(MID(SUBSTITUTE(K249,";",REPT(" ",99)),1,99)),FIND(":",TRIM(MID(SUBSTITUTE(K249,";",REPT(" ",99)),1,99)))+1,999))+1,999))-1)),IF(TRIM(MID(SUBSTITUTE(K249,";",REPT(" ",99)),100,99))="","",IFERROR(VLOOKUP(--LEFT(MID(TRIM(MID(SUBSTITUTE(K249,";",REPT(" ",99)),100,99)),FIND(":",TRIM(MID(SUBSTITUTE(K249,";",REPT(" ",99)),100,99)))+1,999),FIND(":",MID(TRIM(MID(SUBSTITUTE(K249,";",REPT(" ",99)),100,99)),FIND(":",TRIM(MID(SUBSTITUTE(K249,";",REPT(" ",99)),100,99)))+1,999))-1),_Lookup!$A:$B,2,FALSE),"?")&amp;"×"&amp;LEFT(MID(MID(TRIM(MID(SUBSTITUTE(K249,";",REPT(" ",99)),100,99)),FIND(":",TRIM(MID(SUBSTITUTE(K249,";",REPT(" ",99)),100,99)))+1,999),FIND(":",MID(TRIM(MID(SUBSTITUTE(K249,";",REPT(" ",99)),100,99)),FIND(":",TRIM(MID(SUBSTITUTE(K249,";",REPT(" ",99)),100,99)))+1,999))+1,999),FIND(":",MID(MID(TRIM(MID(SUBSTITUTE(K249,";",REPT(" ",99)),100,99)),FIND(":",TRIM(MID(SUBSTITUTE(K249,";",REPT(" ",99)),100,99)))+1,999),FIND(":",MID(TRIM(MID(SUBSTITUTE(K249,";",REPT(" ",99)),100,99)),FIND(":",TRIM(MID(SUBSTITUTE(K249,";",REPT(" ",99)),100,99)))+1,999))+1,999))-1)),IF(TRIM(MID(SUBSTITUTE(K249,";",REPT(" ",99)),199,99))="","",IFERROR(VLOOKUP(--LEFT(MID(TRIM(MID(SUBSTITUTE(K249,";",REPT(" ",99)),199,99)),FIND(":",TRIM(MID(SUBSTITUTE(K249,";",REPT(" ",99)),199,99)))+1,999),FIND(":",MID(TRIM(MID(SUBSTITUTE(K249,";",REPT(" ",99)),199,99)),FIND(":",TRIM(MID(SUBSTITUTE(K249,";",REPT(" ",99)),199,99)))+1,999))-1),_Lookup!$A:$B,2,FALSE),"?")&amp;"×"&amp;LEFT(MID(MID(TRIM(MID(SUBSTITUTE(K249,";",REPT(" ",99)),199,99)),FIND(":",TRIM(MID(SUBSTITUTE(K249,";",REPT(" ",99)),199,99)))+1,999),FIND(":",MID(TRIM(MID(SUBSTITUTE(K249,";",REPT(" ",99)),199,99)),FIND(":",TRIM(MID(SUBSTITUTE(K249,";",REPT(" ",99)),199,99)))+1,999))+1,999),FIND(":",MID(MID(TRIM(MID(SUBSTITUTE(K249,";",REPT(" ",99)),199,99)),FIND(":",TRIM(MID(SUBSTITUTE(K249,";",REPT(" ",99)),199,99)))+1,999),FIND(":",MID(TRIM(MID(SUBSTITUTE(K249,";",REPT(" ",99)),199,99)),FIND(":",TRIM(MID(SUBSTITUTE(K249,";",REPT(" ",99)),199,99)))+1,999))+1,999))-1)),IF(TRIM(MID(SUBSTITUTE(K249,";",REPT(" ",99)),298,99))="","",IFERROR(VLOOKUP(--LEFT(MID(TRIM(MID(SUBSTITUTE(K249,";",REPT(" ",99)),298,99)),FIND(":",TRIM(MID(SUBSTITUTE(K249,";",REPT(" ",99)),298,99)))+1,999),FIND(":",MID(TRIM(MID(SUBSTITUTE(K249,";",REPT(" ",99)),298,99)),FIND(":",TRIM(MID(SUBSTITUTE(K249,";",REPT(" ",99)),298,99)))+1,999))-1),_Lookup!$A:$B,2,FALSE),"?")&amp;"×"&amp;LEFT(MID(MID(TRIM(MID(SUBSTITUTE(K249,";",REPT(" ",99)),298,99)),FIND(":",TRIM(MID(SUBSTITUTE(K249,";",REPT(" ",99)),298,99)))+1,999),FIND(":",MID(TRIM(MID(SUBSTITUTE(K249,";",REPT(" ",99)),298,99)),FIND(":",TRIM(MID(SUBSTITUTE(K249,";",REPT(" ",99)),298,99)))+1,999))+1,999),FIND(":",MID(MID(TRIM(MID(SUBSTITUTE(K249,";",REPT(" ",99)),298,99)),FIND(":",TRIM(MID(SUBSTITUTE(K249,";",REPT(" ",99)),298,99)))+1,999),FIND(":",MID(TRIM(MID(SUBSTITUTE(K249,";",REPT(" ",99)),298,99)),FIND(":",TRIM(MID(SUBSTITUTE(K249,";",REPT(" ",99)),298,99)))+1,999))+1,999))-1)),IF(TRIM(MID(SUBSTITUTE(K249,";",REPT(" ",99)),397,99))="","",IFERROR(VLOOKUP(--LEFT(MID(TRIM(MID(SUBSTITUTE(K249,";",REPT(" ",99)),397,99)),FIND(":",TRIM(MID(SUBSTITUTE(K249,";",REPT(" ",99)),397,99)))+1,999),FIND(":",MID(TRIM(MID(SUBSTITUTE(K249,";",REPT(" ",99)),397,99)),FIND(":",TRIM(MID(SUBSTITUTE(K249,";",REPT(" ",99)),397,99)))+1,999))-1),_Lookup!$A:$B,2,FALSE),"?")&amp;"×"&amp;LEFT(MID(MID(TRIM(MID(SUBSTITUTE(K249,";",REPT(" ",99)),397,99)),FIND(":",TRIM(MID(SUBSTITUTE(K249,";",REPT(" ",99)),397,99)))+1,999),FIND(":",MID(TRIM(MID(SUBSTITUTE(K249,";",REPT(" ",99)),397,99)),FIND(":",TRIM(MID(SUBSTITUTE(K249,";",REPT(" ",99)),397,99)))+1,999))+1,999),FIND(":",MID(MID(TRIM(MID(SUBSTITUTE(K249,";",REPT(" ",99)),397,99)),FIND(":",TRIM(MID(SUBSTITUTE(K249,";",REPT(" ",99)),397,99)))+1,999),FIND(":",MID(TRIM(MID(SUBSTITUTE(K249,";",REPT(" ",99)),397,99)),FIND(":",TRIM(MID(SUBSTITUTE(K249,";",REPT(" ",99)),397,99)))+1,999))+1,999))-1))))</f>
        <v/>
      </c>
    </row>
    <row r="250">
      <c r="D250" s="11">
        <f>IFERROR(VLOOKUP(C250,ItemData_Fish!$A:$B,2,FALSE),"")</f>
        <v/>
      </c>
      <c r="L250" s="11">
        <f>IF(K250="","",TEXTJOIN("; ",TRUE,IF(TRIM(MID(SUBSTITUTE(K250,";",REPT(" ",99)),1,99))="","",IFERROR(VLOOKUP(--LEFT(MID(TRIM(MID(SUBSTITUTE(K250,";",REPT(" ",99)),1,99)),FIND(":",TRIM(MID(SUBSTITUTE(K250,";",REPT(" ",99)),1,99)))+1,999),FIND(":",MID(TRIM(MID(SUBSTITUTE(K250,";",REPT(" ",99)),1,99)),FIND(":",TRIM(MID(SUBSTITUTE(K250,";",REPT(" ",99)),1,99)))+1,999))-1),_Lookup!$A:$B,2,FALSE),"?")&amp;"×"&amp;LEFT(MID(MID(TRIM(MID(SUBSTITUTE(K250,";",REPT(" ",99)),1,99)),FIND(":",TRIM(MID(SUBSTITUTE(K250,";",REPT(" ",99)),1,99)))+1,999),FIND(":",MID(TRIM(MID(SUBSTITUTE(K250,";",REPT(" ",99)),1,99)),FIND(":",TRIM(MID(SUBSTITUTE(K250,";",REPT(" ",99)),1,99)))+1,999))+1,999),FIND(":",MID(MID(TRIM(MID(SUBSTITUTE(K250,";",REPT(" ",99)),1,99)),FIND(":",TRIM(MID(SUBSTITUTE(K250,";",REPT(" ",99)),1,99)))+1,999),FIND(":",MID(TRIM(MID(SUBSTITUTE(K250,";",REPT(" ",99)),1,99)),FIND(":",TRIM(MID(SUBSTITUTE(K250,";",REPT(" ",99)),1,99)))+1,999))+1,999))-1)),IF(TRIM(MID(SUBSTITUTE(K250,";",REPT(" ",99)),100,99))="","",IFERROR(VLOOKUP(--LEFT(MID(TRIM(MID(SUBSTITUTE(K250,";",REPT(" ",99)),100,99)),FIND(":",TRIM(MID(SUBSTITUTE(K250,";",REPT(" ",99)),100,99)))+1,999),FIND(":",MID(TRIM(MID(SUBSTITUTE(K250,";",REPT(" ",99)),100,99)),FIND(":",TRIM(MID(SUBSTITUTE(K250,";",REPT(" ",99)),100,99)))+1,999))-1),_Lookup!$A:$B,2,FALSE),"?")&amp;"×"&amp;LEFT(MID(MID(TRIM(MID(SUBSTITUTE(K250,";",REPT(" ",99)),100,99)),FIND(":",TRIM(MID(SUBSTITUTE(K250,";",REPT(" ",99)),100,99)))+1,999),FIND(":",MID(TRIM(MID(SUBSTITUTE(K250,";",REPT(" ",99)),100,99)),FIND(":",TRIM(MID(SUBSTITUTE(K250,";",REPT(" ",99)),100,99)))+1,999))+1,999),FIND(":",MID(MID(TRIM(MID(SUBSTITUTE(K250,";",REPT(" ",99)),100,99)),FIND(":",TRIM(MID(SUBSTITUTE(K250,";",REPT(" ",99)),100,99)))+1,999),FIND(":",MID(TRIM(MID(SUBSTITUTE(K250,";",REPT(" ",99)),100,99)),FIND(":",TRIM(MID(SUBSTITUTE(K250,";",REPT(" ",99)),100,99)))+1,999))+1,999))-1)),IF(TRIM(MID(SUBSTITUTE(K250,";",REPT(" ",99)),199,99))="","",IFERROR(VLOOKUP(--LEFT(MID(TRIM(MID(SUBSTITUTE(K250,";",REPT(" ",99)),199,99)),FIND(":",TRIM(MID(SUBSTITUTE(K250,";",REPT(" ",99)),199,99)))+1,999),FIND(":",MID(TRIM(MID(SUBSTITUTE(K250,";",REPT(" ",99)),199,99)),FIND(":",TRIM(MID(SUBSTITUTE(K250,";",REPT(" ",99)),199,99)))+1,999))-1),_Lookup!$A:$B,2,FALSE),"?")&amp;"×"&amp;LEFT(MID(MID(TRIM(MID(SUBSTITUTE(K250,";",REPT(" ",99)),199,99)),FIND(":",TRIM(MID(SUBSTITUTE(K250,";",REPT(" ",99)),199,99)))+1,999),FIND(":",MID(TRIM(MID(SUBSTITUTE(K250,";",REPT(" ",99)),199,99)),FIND(":",TRIM(MID(SUBSTITUTE(K250,";",REPT(" ",99)),199,99)))+1,999))+1,999),FIND(":",MID(MID(TRIM(MID(SUBSTITUTE(K250,";",REPT(" ",99)),199,99)),FIND(":",TRIM(MID(SUBSTITUTE(K250,";",REPT(" ",99)),199,99)))+1,999),FIND(":",MID(TRIM(MID(SUBSTITUTE(K250,";",REPT(" ",99)),199,99)),FIND(":",TRIM(MID(SUBSTITUTE(K250,";",REPT(" ",99)),199,99)))+1,999))+1,999))-1)),IF(TRIM(MID(SUBSTITUTE(K250,";",REPT(" ",99)),298,99))="","",IFERROR(VLOOKUP(--LEFT(MID(TRIM(MID(SUBSTITUTE(K250,";",REPT(" ",99)),298,99)),FIND(":",TRIM(MID(SUBSTITUTE(K250,";",REPT(" ",99)),298,99)))+1,999),FIND(":",MID(TRIM(MID(SUBSTITUTE(K250,";",REPT(" ",99)),298,99)),FIND(":",TRIM(MID(SUBSTITUTE(K250,";",REPT(" ",99)),298,99)))+1,999))-1),_Lookup!$A:$B,2,FALSE),"?")&amp;"×"&amp;LEFT(MID(MID(TRIM(MID(SUBSTITUTE(K250,";",REPT(" ",99)),298,99)),FIND(":",TRIM(MID(SUBSTITUTE(K250,";",REPT(" ",99)),298,99)))+1,999),FIND(":",MID(TRIM(MID(SUBSTITUTE(K250,";",REPT(" ",99)),298,99)),FIND(":",TRIM(MID(SUBSTITUTE(K250,";",REPT(" ",99)),298,99)))+1,999))+1,999),FIND(":",MID(MID(TRIM(MID(SUBSTITUTE(K250,";",REPT(" ",99)),298,99)),FIND(":",TRIM(MID(SUBSTITUTE(K250,";",REPT(" ",99)),298,99)))+1,999),FIND(":",MID(TRIM(MID(SUBSTITUTE(K250,";",REPT(" ",99)),298,99)),FIND(":",TRIM(MID(SUBSTITUTE(K250,";",REPT(" ",99)),298,99)))+1,999))+1,999))-1)),IF(TRIM(MID(SUBSTITUTE(K250,";",REPT(" ",99)),397,99))="","",IFERROR(VLOOKUP(--LEFT(MID(TRIM(MID(SUBSTITUTE(K250,";",REPT(" ",99)),397,99)),FIND(":",TRIM(MID(SUBSTITUTE(K250,";",REPT(" ",99)),397,99)))+1,999),FIND(":",MID(TRIM(MID(SUBSTITUTE(K250,";",REPT(" ",99)),397,99)),FIND(":",TRIM(MID(SUBSTITUTE(K250,";",REPT(" ",99)),397,99)))+1,999))-1),_Lookup!$A:$B,2,FALSE),"?")&amp;"×"&amp;LEFT(MID(MID(TRIM(MID(SUBSTITUTE(K250,";",REPT(" ",99)),397,99)),FIND(":",TRIM(MID(SUBSTITUTE(K250,";",REPT(" ",99)),397,99)))+1,999),FIND(":",MID(TRIM(MID(SUBSTITUTE(K250,";",REPT(" ",99)),397,99)),FIND(":",TRIM(MID(SUBSTITUTE(K250,";",REPT(" ",99)),397,99)))+1,999))+1,999),FIND(":",MID(MID(TRIM(MID(SUBSTITUTE(K250,";",REPT(" ",99)),397,99)),FIND(":",TRIM(MID(SUBSTITUTE(K250,";",REPT(" ",99)),397,99)))+1,999),FIND(":",MID(TRIM(MID(SUBSTITUTE(K250,";",REPT(" ",99)),397,99)),FIND(":",TRIM(MID(SUBSTITUTE(K250,";",REPT(" ",99)),397,99)))+1,999))+1,999))-1))))</f>
        <v/>
      </c>
    </row>
    <row r="251">
      <c r="D251" s="11">
        <f>IFERROR(VLOOKUP(C251,ItemData_Fish!$A:$B,2,FALSE),"")</f>
        <v/>
      </c>
      <c r="L251" s="11">
        <f>IF(K251="","",TEXTJOIN("; ",TRUE,IF(TRIM(MID(SUBSTITUTE(K251,";",REPT(" ",99)),1,99))="","",IFERROR(VLOOKUP(--LEFT(MID(TRIM(MID(SUBSTITUTE(K251,";",REPT(" ",99)),1,99)),FIND(":",TRIM(MID(SUBSTITUTE(K251,";",REPT(" ",99)),1,99)))+1,999),FIND(":",MID(TRIM(MID(SUBSTITUTE(K251,";",REPT(" ",99)),1,99)),FIND(":",TRIM(MID(SUBSTITUTE(K251,";",REPT(" ",99)),1,99)))+1,999))-1),_Lookup!$A:$B,2,FALSE),"?")&amp;"×"&amp;LEFT(MID(MID(TRIM(MID(SUBSTITUTE(K251,";",REPT(" ",99)),1,99)),FIND(":",TRIM(MID(SUBSTITUTE(K251,";",REPT(" ",99)),1,99)))+1,999),FIND(":",MID(TRIM(MID(SUBSTITUTE(K251,";",REPT(" ",99)),1,99)),FIND(":",TRIM(MID(SUBSTITUTE(K251,";",REPT(" ",99)),1,99)))+1,999))+1,999),FIND(":",MID(MID(TRIM(MID(SUBSTITUTE(K251,";",REPT(" ",99)),1,99)),FIND(":",TRIM(MID(SUBSTITUTE(K251,";",REPT(" ",99)),1,99)))+1,999),FIND(":",MID(TRIM(MID(SUBSTITUTE(K251,";",REPT(" ",99)),1,99)),FIND(":",TRIM(MID(SUBSTITUTE(K251,";",REPT(" ",99)),1,99)))+1,999))+1,999))-1)),IF(TRIM(MID(SUBSTITUTE(K251,";",REPT(" ",99)),100,99))="","",IFERROR(VLOOKUP(--LEFT(MID(TRIM(MID(SUBSTITUTE(K251,";",REPT(" ",99)),100,99)),FIND(":",TRIM(MID(SUBSTITUTE(K251,";",REPT(" ",99)),100,99)))+1,999),FIND(":",MID(TRIM(MID(SUBSTITUTE(K251,";",REPT(" ",99)),100,99)),FIND(":",TRIM(MID(SUBSTITUTE(K251,";",REPT(" ",99)),100,99)))+1,999))-1),_Lookup!$A:$B,2,FALSE),"?")&amp;"×"&amp;LEFT(MID(MID(TRIM(MID(SUBSTITUTE(K251,";",REPT(" ",99)),100,99)),FIND(":",TRIM(MID(SUBSTITUTE(K251,";",REPT(" ",99)),100,99)))+1,999),FIND(":",MID(TRIM(MID(SUBSTITUTE(K251,";",REPT(" ",99)),100,99)),FIND(":",TRIM(MID(SUBSTITUTE(K251,";",REPT(" ",99)),100,99)))+1,999))+1,999),FIND(":",MID(MID(TRIM(MID(SUBSTITUTE(K251,";",REPT(" ",99)),100,99)),FIND(":",TRIM(MID(SUBSTITUTE(K251,";",REPT(" ",99)),100,99)))+1,999),FIND(":",MID(TRIM(MID(SUBSTITUTE(K251,";",REPT(" ",99)),100,99)),FIND(":",TRIM(MID(SUBSTITUTE(K251,";",REPT(" ",99)),100,99)))+1,999))+1,999))-1)),IF(TRIM(MID(SUBSTITUTE(K251,";",REPT(" ",99)),199,99))="","",IFERROR(VLOOKUP(--LEFT(MID(TRIM(MID(SUBSTITUTE(K251,";",REPT(" ",99)),199,99)),FIND(":",TRIM(MID(SUBSTITUTE(K251,";",REPT(" ",99)),199,99)))+1,999),FIND(":",MID(TRIM(MID(SUBSTITUTE(K251,";",REPT(" ",99)),199,99)),FIND(":",TRIM(MID(SUBSTITUTE(K251,";",REPT(" ",99)),199,99)))+1,999))-1),_Lookup!$A:$B,2,FALSE),"?")&amp;"×"&amp;LEFT(MID(MID(TRIM(MID(SUBSTITUTE(K251,";",REPT(" ",99)),199,99)),FIND(":",TRIM(MID(SUBSTITUTE(K251,";",REPT(" ",99)),199,99)))+1,999),FIND(":",MID(TRIM(MID(SUBSTITUTE(K251,";",REPT(" ",99)),199,99)),FIND(":",TRIM(MID(SUBSTITUTE(K251,";",REPT(" ",99)),199,99)))+1,999))+1,999),FIND(":",MID(MID(TRIM(MID(SUBSTITUTE(K251,";",REPT(" ",99)),199,99)),FIND(":",TRIM(MID(SUBSTITUTE(K251,";",REPT(" ",99)),199,99)))+1,999),FIND(":",MID(TRIM(MID(SUBSTITUTE(K251,";",REPT(" ",99)),199,99)),FIND(":",TRIM(MID(SUBSTITUTE(K251,";",REPT(" ",99)),199,99)))+1,999))+1,999))-1)),IF(TRIM(MID(SUBSTITUTE(K251,";",REPT(" ",99)),298,99))="","",IFERROR(VLOOKUP(--LEFT(MID(TRIM(MID(SUBSTITUTE(K251,";",REPT(" ",99)),298,99)),FIND(":",TRIM(MID(SUBSTITUTE(K251,";",REPT(" ",99)),298,99)))+1,999),FIND(":",MID(TRIM(MID(SUBSTITUTE(K251,";",REPT(" ",99)),298,99)),FIND(":",TRIM(MID(SUBSTITUTE(K251,";",REPT(" ",99)),298,99)))+1,999))-1),_Lookup!$A:$B,2,FALSE),"?")&amp;"×"&amp;LEFT(MID(MID(TRIM(MID(SUBSTITUTE(K251,";",REPT(" ",99)),298,99)),FIND(":",TRIM(MID(SUBSTITUTE(K251,";",REPT(" ",99)),298,99)))+1,999),FIND(":",MID(TRIM(MID(SUBSTITUTE(K251,";",REPT(" ",99)),298,99)),FIND(":",TRIM(MID(SUBSTITUTE(K251,";",REPT(" ",99)),298,99)))+1,999))+1,999),FIND(":",MID(MID(TRIM(MID(SUBSTITUTE(K251,";",REPT(" ",99)),298,99)),FIND(":",TRIM(MID(SUBSTITUTE(K251,";",REPT(" ",99)),298,99)))+1,999),FIND(":",MID(TRIM(MID(SUBSTITUTE(K251,";",REPT(" ",99)),298,99)),FIND(":",TRIM(MID(SUBSTITUTE(K251,";",REPT(" ",99)),298,99)))+1,999))+1,999))-1)),IF(TRIM(MID(SUBSTITUTE(K251,";",REPT(" ",99)),397,99))="","",IFERROR(VLOOKUP(--LEFT(MID(TRIM(MID(SUBSTITUTE(K251,";",REPT(" ",99)),397,99)),FIND(":",TRIM(MID(SUBSTITUTE(K251,";",REPT(" ",99)),397,99)))+1,999),FIND(":",MID(TRIM(MID(SUBSTITUTE(K251,";",REPT(" ",99)),397,99)),FIND(":",TRIM(MID(SUBSTITUTE(K251,";",REPT(" ",99)),397,99)))+1,999))-1),_Lookup!$A:$B,2,FALSE),"?")&amp;"×"&amp;LEFT(MID(MID(TRIM(MID(SUBSTITUTE(K251,";",REPT(" ",99)),397,99)),FIND(":",TRIM(MID(SUBSTITUTE(K251,";",REPT(" ",99)),397,99)))+1,999),FIND(":",MID(TRIM(MID(SUBSTITUTE(K251,";",REPT(" ",99)),397,99)),FIND(":",TRIM(MID(SUBSTITUTE(K251,";",REPT(" ",99)),397,99)))+1,999))+1,999),FIND(":",MID(MID(TRIM(MID(SUBSTITUTE(K251,";",REPT(" ",99)),397,99)),FIND(":",TRIM(MID(SUBSTITUTE(K251,";",REPT(" ",99)),397,99)))+1,999),FIND(":",MID(TRIM(MID(SUBSTITUTE(K251,";",REPT(" ",99)),397,99)),FIND(":",TRIM(MID(SUBSTITUTE(K251,";",REPT(" ",99)),397,99)))+1,999))+1,999))-1))))</f>
        <v/>
      </c>
    </row>
    <row r="252">
      <c r="D252" s="11">
        <f>IFERROR(VLOOKUP(C252,ItemData_Fish!$A:$B,2,FALSE),"")</f>
        <v/>
      </c>
      <c r="L252" s="11">
        <f>IF(K252="","",TEXTJOIN("; ",TRUE,IF(TRIM(MID(SUBSTITUTE(K252,";",REPT(" ",99)),1,99))="","",IFERROR(VLOOKUP(--LEFT(MID(TRIM(MID(SUBSTITUTE(K252,";",REPT(" ",99)),1,99)),FIND(":",TRIM(MID(SUBSTITUTE(K252,";",REPT(" ",99)),1,99)))+1,999),FIND(":",MID(TRIM(MID(SUBSTITUTE(K252,";",REPT(" ",99)),1,99)),FIND(":",TRIM(MID(SUBSTITUTE(K252,";",REPT(" ",99)),1,99)))+1,999))-1),_Lookup!$A:$B,2,FALSE),"?")&amp;"×"&amp;LEFT(MID(MID(TRIM(MID(SUBSTITUTE(K252,";",REPT(" ",99)),1,99)),FIND(":",TRIM(MID(SUBSTITUTE(K252,";",REPT(" ",99)),1,99)))+1,999),FIND(":",MID(TRIM(MID(SUBSTITUTE(K252,";",REPT(" ",99)),1,99)),FIND(":",TRIM(MID(SUBSTITUTE(K252,";",REPT(" ",99)),1,99)))+1,999))+1,999),FIND(":",MID(MID(TRIM(MID(SUBSTITUTE(K252,";",REPT(" ",99)),1,99)),FIND(":",TRIM(MID(SUBSTITUTE(K252,";",REPT(" ",99)),1,99)))+1,999),FIND(":",MID(TRIM(MID(SUBSTITUTE(K252,";",REPT(" ",99)),1,99)),FIND(":",TRIM(MID(SUBSTITUTE(K252,";",REPT(" ",99)),1,99)))+1,999))+1,999))-1)),IF(TRIM(MID(SUBSTITUTE(K252,";",REPT(" ",99)),100,99))="","",IFERROR(VLOOKUP(--LEFT(MID(TRIM(MID(SUBSTITUTE(K252,";",REPT(" ",99)),100,99)),FIND(":",TRIM(MID(SUBSTITUTE(K252,";",REPT(" ",99)),100,99)))+1,999),FIND(":",MID(TRIM(MID(SUBSTITUTE(K252,";",REPT(" ",99)),100,99)),FIND(":",TRIM(MID(SUBSTITUTE(K252,";",REPT(" ",99)),100,99)))+1,999))-1),_Lookup!$A:$B,2,FALSE),"?")&amp;"×"&amp;LEFT(MID(MID(TRIM(MID(SUBSTITUTE(K252,";",REPT(" ",99)),100,99)),FIND(":",TRIM(MID(SUBSTITUTE(K252,";",REPT(" ",99)),100,99)))+1,999),FIND(":",MID(TRIM(MID(SUBSTITUTE(K252,";",REPT(" ",99)),100,99)),FIND(":",TRIM(MID(SUBSTITUTE(K252,";",REPT(" ",99)),100,99)))+1,999))+1,999),FIND(":",MID(MID(TRIM(MID(SUBSTITUTE(K252,";",REPT(" ",99)),100,99)),FIND(":",TRIM(MID(SUBSTITUTE(K252,";",REPT(" ",99)),100,99)))+1,999),FIND(":",MID(TRIM(MID(SUBSTITUTE(K252,";",REPT(" ",99)),100,99)),FIND(":",TRIM(MID(SUBSTITUTE(K252,";",REPT(" ",99)),100,99)))+1,999))+1,999))-1)),IF(TRIM(MID(SUBSTITUTE(K252,";",REPT(" ",99)),199,99))="","",IFERROR(VLOOKUP(--LEFT(MID(TRIM(MID(SUBSTITUTE(K252,";",REPT(" ",99)),199,99)),FIND(":",TRIM(MID(SUBSTITUTE(K252,";",REPT(" ",99)),199,99)))+1,999),FIND(":",MID(TRIM(MID(SUBSTITUTE(K252,";",REPT(" ",99)),199,99)),FIND(":",TRIM(MID(SUBSTITUTE(K252,";",REPT(" ",99)),199,99)))+1,999))-1),_Lookup!$A:$B,2,FALSE),"?")&amp;"×"&amp;LEFT(MID(MID(TRIM(MID(SUBSTITUTE(K252,";",REPT(" ",99)),199,99)),FIND(":",TRIM(MID(SUBSTITUTE(K252,";",REPT(" ",99)),199,99)))+1,999),FIND(":",MID(TRIM(MID(SUBSTITUTE(K252,";",REPT(" ",99)),199,99)),FIND(":",TRIM(MID(SUBSTITUTE(K252,";",REPT(" ",99)),199,99)))+1,999))+1,999),FIND(":",MID(MID(TRIM(MID(SUBSTITUTE(K252,";",REPT(" ",99)),199,99)),FIND(":",TRIM(MID(SUBSTITUTE(K252,";",REPT(" ",99)),199,99)))+1,999),FIND(":",MID(TRIM(MID(SUBSTITUTE(K252,";",REPT(" ",99)),199,99)),FIND(":",TRIM(MID(SUBSTITUTE(K252,";",REPT(" ",99)),199,99)))+1,999))+1,999))-1)),IF(TRIM(MID(SUBSTITUTE(K252,";",REPT(" ",99)),298,99))="","",IFERROR(VLOOKUP(--LEFT(MID(TRIM(MID(SUBSTITUTE(K252,";",REPT(" ",99)),298,99)),FIND(":",TRIM(MID(SUBSTITUTE(K252,";",REPT(" ",99)),298,99)))+1,999),FIND(":",MID(TRIM(MID(SUBSTITUTE(K252,";",REPT(" ",99)),298,99)),FIND(":",TRIM(MID(SUBSTITUTE(K252,";",REPT(" ",99)),298,99)))+1,999))-1),_Lookup!$A:$B,2,FALSE),"?")&amp;"×"&amp;LEFT(MID(MID(TRIM(MID(SUBSTITUTE(K252,";",REPT(" ",99)),298,99)),FIND(":",TRIM(MID(SUBSTITUTE(K252,";",REPT(" ",99)),298,99)))+1,999),FIND(":",MID(TRIM(MID(SUBSTITUTE(K252,";",REPT(" ",99)),298,99)),FIND(":",TRIM(MID(SUBSTITUTE(K252,";",REPT(" ",99)),298,99)))+1,999))+1,999),FIND(":",MID(MID(TRIM(MID(SUBSTITUTE(K252,";",REPT(" ",99)),298,99)),FIND(":",TRIM(MID(SUBSTITUTE(K252,";",REPT(" ",99)),298,99)))+1,999),FIND(":",MID(TRIM(MID(SUBSTITUTE(K252,";",REPT(" ",99)),298,99)),FIND(":",TRIM(MID(SUBSTITUTE(K252,";",REPT(" ",99)),298,99)))+1,999))+1,999))-1)),IF(TRIM(MID(SUBSTITUTE(K252,";",REPT(" ",99)),397,99))="","",IFERROR(VLOOKUP(--LEFT(MID(TRIM(MID(SUBSTITUTE(K252,";",REPT(" ",99)),397,99)),FIND(":",TRIM(MID(SUBSTITUTE(K252,";",REPT(" ",99)),397,99)))+1,999),FIND(":",MID(TRIM(MID(SUBSTITUTE(K252,";",REPT(" ",99)),397,99)),FIND(":",TRIM(MID(SUBSTITUTE(K252,";",REPT(" ",99)),397,99)))+1,999))-1),_Lookup!$A:$B,2,FALSE),"?")&amp;"×"&amp;LEFT(MID(MID(TRIM(MID(SUBSTITUTE(K252,";",REPT(" ",99)),397,99)),FIND(":",TRIM(MID(SUBSTITUTE(K252,";",REPT(" ",99)),397,99)))+1,999),FIND(":",MID(TRIM(MID(SUBSTITUTE(K252,";",REPT(" ",99)),397,99)),FIND(":",TRIM(MID(SUBSTITUTE(K252,";",REPT(" ",99)),397,99)))+1,999))+1,999),FIND(":",MID(MID(TRIM(MID(SUBSTITUTE(K252,";",REPT(" ",99)),397,99)),FIND(":",TRIM(MID(SUBSTITUTE(K252,";",REPT(" ",99)),397,99)))+1,999),FIND(":",MID(TRIM(MID(SUBSTITUTE(K252,";",REPT(" ",99)),397,99)),FIND(":",TRIM(MID(SUBSTITUTE(K252,";",REPT(" ",99)),397,99)))+1,999))+1,999))-1))))</f>
        <v/>
      </c>
    </row>
    <row r="253">
      <c r="D253" s="11">
        <f>IFERROR(VLOOKUP(C253,ItemData_Fish!$A:$B,2,FALSE),"")</f>
        <v/>
      </c>
      <c r="L253" s="11">
        <f>IF(K253="","",TEXTJOIN("; ",TRUE,IF(TRIM(MID(SUBSTITUTE(K253,";",REPT(" ",99)),1,99))="","",IFERROR(VLOOKUP(--LEFT(MID(TRIM(MID(SUBSTITUTE(K253,";",REPT(" ",99)),1,99)),FIND(":",TRIM(MID(SUBSTITUTE(K253,";",REPT(" ",99)),1,99)))+1,999),FIND(":",MID(TRIM(MID(SUBSTITUTE(K253,";",REPT(" ",99)),1,99)),FIND(":",TRIM(MID(SUBSTITUTE(K253,";",REPT(" ",99)),1,99)))+1,999))-1),_Lookup!$A:$B,2,FALSE),"?")&amp;"×"&amp;LEFT(MID(MID(TRIM(MID(SUBSTITUTE(K253,";",REPT(" ",99)),1,99)),FIND(":",TRIM(MID(SUBSTITUTE(K253,";",REPT(" ",99)),1,99)))+1,999),FIND(":",MID(TRIM(MID(SUBSTITUTE(K253,";",REPT(" ",99)),1,99)),FIND(":",TRIM(MID(SUBSTITUTE(K253,";",REPT(" ",99)),1,99)))+1,999))+1,999),FIND(":",MID(MID(TRIM(MID(SUBSTITUTE(K253,";",REPT(" ",99)),1,99)),FIND(":",TRIM(MID(SUBSTITUTE(K253,";",REPT(" ",99)),1,99)))+1,999),FIND(":",MID(TRIM(MID(SUBSTITUTE(K253,";",REPT(" ",99)),1,99)),FIND(":",TRIM(MID(SUBSTITUTE(K253,";",REPT(" ",99)),1,99)))+1,999))+1,999))-1)),IF(TRIM(MID(SUBSTITUTE(K253,";",REPT(" ",99)),100,99))="","",IFERROR(VLOOKUP(--LEFT(MID(TRIM(MID(SUBSTITUTE(K253,";",REPT(" ",99)),100,99)),FIND(":",TRIM(MID(SUBSTITUTE(K253,";",REPT(" ",99)),100,99)))+1,999),FIND(":",MID(TRIM(MID(SUBSTITUTE(K253,";",REPT(" ",99)),100,99)),FIND(":",TRIM(MID(SUBSTITUTE(K253,";",REPT(" ",99)),100,99)))+1,999))-1),_Lookup!$A:$B,2,FALSE),"?")&amp;"×"&amp;LEFT(MID(MID(TRIM(MID(SUBSTITUTE(K253,";",REPT(" ",99)),100,99)),FIND(":",TRIM(MID(SUBSTITUTE(K253,";",REPT(" ",99)),100,99)))+1,999),FIND(":",MID(TRIM(MID(SUBSTITUTE(K253,";",REPT(" ",99)),100,99)),FIND(":",TRIM(MID(SUBSTITUTE(K253,";",REPT(" ",99)),100,99)))+1,999))+1,999),FIND(":",MID(MID(TRIM(MID(SUBSTITUTE(K253,";",REPT(" ",99)),100,99)),FIND(":",TRIM(MID(SUBSTITUTE(K253,";",REPT(" ",99)),100,99)))+1,999),FIND(":",MID(TRIM(MID(SUBSTITUTE(K253,";",REPT(" ",99)),100,99)),FIND(":",TRIM(MID(SUBSTITUTE(K253,";",REPT(" ",99)),100,99)))+1,999))+1,999))-1)),IF(TRIM(MID(SUBSTITUTE(K253,";",REPT(" ",99)),199,99))="","",IFERROR(VLOOKUP(--LEFT(MID(TRIM(MID(SUBSTITUTE(K253,";",REPT(" ",99)),199,99)),FIND(":",TRIM(MID(SUBSTITUTE(K253,";",REPT(" ",99)),199,99)))+1,999),FIND(":",MID(TRIM(MID(SUBSTITUTE(K253,";",REPT(" ",99)),199,99)),FIND(":",TRIM(MID(SUBSTITUTE(K253,";",REPT(" ",99)),199,99)))+1,999))-1),_Lookup!$A:$B,2,FALSE),"?")&amp;"×"&amp;LEFT(MID(MID(TRIM(MID(SUBSTITUTE(K253,";",REPT(" ",99)),199,99)),FIND(":",TRIM(MID(SUBSTITUTE(K253,";",REPT(" ",99)),199,99)))+1,999),FIND(":",MID(TRIM(MID(SUBSTITUTE(K253,";",REPT(" ",99)),199,99)),FIND(":",TRIM(MID(SUBSTITUTE(K253,";",REPT(" ",99)),199,99)))+1,999))+1,999),FIND(":",MID(MID(TRIM(MID(SUBSTITUTE(K253,";",REPT(" ",99)),199,99)),FIND(":",TRIM(MID(SUBSTITUTE(K253,";",REPT(" ",99)),199,99)))+1,999),FIND(":",MID(TRIM(MID(SUBSTITUTE(K253,";",REPT(" ",99)),199,99)),FIND(":",TRIM(MID(SUBSTITUTE(K253,";",REPT(" ",99)),199,99)))+1,999))+1,999))-1)),IF(TRIM(MID(SUBSTITUTE(K253,";",REPT(" ",99)),298,99))="","",IFERROR(VLOOKUP(--LEFT(MID(TRIM(MID(SUBSTITUTE(K253,";",REPT(" ",99)),298,99)),FIND(":",TRIM(MID(SUBSTITUTE(K253,";",REPT(" ",99)),298,99)))+1,999),FIND(":",MID(TRIM(MID(SUBSTITUTE(K253,";",REPT(" ",99)),298,99)),FIND(":",TRIM(MID(SUBSTITUTE(K253,";",REPT(" ",99)),298,99)))+1,999))-1),_Lookup!$A:$B,2,FALSE),"?")&amp;"×"&amp;LEFT(MID(MID(TRIM(MID(SUBSTITUTE(K253,";",REPT(" ",99)),298,99)),FIND(":",TRIM(MID(SUBSTITUTE(K253,";",REPT(" ",99)),298,99)))+1,999),FIND(":",MID(TRIM(MID(SUBSTITUTE(K253,";",REPT(" ",99)),298,99)),FIND(":",TRIM(MID(SUBSTITUTE(K253,";",REPT(" ",99)),298,99)))+1,999))+1,999),FIND(":",MID(MID(TRIM(MID(SUBSTITUTE(K253,";",REPT(" ",99)),298,99)),FIND(":",TRIM(MID(SUBSTITUTE(K253,";",REPT(" ",99)),298,99)))+1,999),FIND(":",MID(TRIM(MID(SUBSTITUTE(K253,";",REPT(" ",99)),298,99)),FIND(":",TRIM(MID(SUBSTITUTE(K253,";",REPT(" ",99)),298,99)))+1,999))+1,999))-1)),IF(TRIM(MID(SUBSTITUTE(K253,";",REPT(" ",99)),397,99))="","",IFERROR(VLOOKUP(--LEFT(MID(TRIM(MID(SUBSTITUTE(K253,";",REPT(" ",99)),397,99)),FIND(":",TRIM(MID(SUBSTITUTE(K253,";",REPT(" ",99)),397,99)))+1,999),FIND(":",MID(TRIM(MID(SUBSTITUTE(K253,";",REPT(" ",99)),397,99)),FIND(":",TRIM(MID(SUBSTITUTE(K253,";",REPT(" ",99)),397,99)))+1,999))-1),_Lookup!$A:$B,2,FALSE),"?")&amp;"×"&amp;LEFT(MID(MID(TRIM(MID(SUBSTITUTE(K253,";",REPT(" ",99)),397,99)),FIND(":",TRIM(MID(SUBSTITUTE(K253,";",REPT(" ",99)),397,99)))+1,999),FIND(":",MID(TRIM(MID(SUBSTITUTE(K253,";",REPT(" ",99)),397,99)),FIND(":",TRIM(MID(SUBSTITUTE(K253,";",REPT(" ",99)),397,99)))+1,999))+1,999),FIND(":",MID(MID(TRIM(MID(SUBSTITUTE(K253,";",REPT(" ",99)),397,99)),FIND(":",TRIM(MID(SUBSTITUTE(K253,";",REPT(" ",99)),397,99)))+1,999),FIND(":",MID(TRIM(MID(SUBSTITUTE(K253,";",REPT(" ",99)),397,99)),FIND(":",TRIM(MID(SUBSTITUTE(K253,";",REPT(" ",99)),397,99)))+1,999))+1,999))-1))))</f>
        <v/>
      </c>
    </row>
    <row r="254">
      <c r="D254" s="11">
        <f>IFERROR(VLOOKUP(C254,ItemData_Fish!$A:$B,2,FALSE),"")</f>
        <v/>
      </c>
      <c r="L254" s="11">
        <f>IF(K254="","",TEXTJOIN("; ",TRUE,IF(TRIM(MID(SUBSTITUTE(K254,";",REPT(" ",99)),1,99))="","",IFERROR(VLOOKUP(--LEFT(MID(TRIM(MID(SUBSTITUTE(K254,";",REPT(" ",99)),1,99)),FIND(":",TRIM(MID(SUBSTITUTE(K254,";",REPT(" ",99)),1,99)))+1,999),FIND(":",MID(TRIM(MID(SUBSTITUTE(K254,";",REPT(" ",99)),1,99)),FIND(":",TRIM(MID(SUBSTITUTE(K254,";",REPT(" ",99)),1,99)))+1,999))-1),_Lookup!$A:$B,2,FALSE),"?")&amp;"×"&amp;LEFT(MID(MID(TRIM(MID(SUBSTITUTE(K254,";",REPT(" ",99)),1,99)),FIND(":",TRIM(MID(SUBSTITUTE(K254,";",REPT(" ",99)),1,99)))+1,999),FIND(":",MID(TRIM(MID(SUBSTITUTE(K254,";",REPT(" ",99)),1,99)),FIND(":",TRIM(MID(SUBSTITUTE(K254,";",REPT(" ",99)),1,99)))+1,999))+1,999),FIND(":",MID(MID(TRIM(MID(SUBSTITUTE(K254,";",REPT(" ",99)),1,99)),FIND(":",TRIM(MID(SUBSTITUTE(K254,";",REPT(" ",99)),1,99)))+1,999),FIND(":",MID(TRIM(MID(SUBSTITUTE(K254,";",REPT(" ",99)),1,99)),FIND(":",TRIM(MID(SUBSTITUTE(K254,";",REPT(" ",99)),1,99)))+1,999))+1,999))-1)),IF(TRIM(MID(SUBSTITUTE(K254,";",REPT(" ",99)),100,99))="","",IFERROR(VLOOKUP(--LEFT(MID(TRIM(MID(SUBSTITUTE(K254,";",REPT(" ",99)),100,99)),FIND(":",TRIM(MID(SUBSTITUTE(K254,";",REPT(" ",99)),100,99)))+1,999),FIND(":",MID(TRIM(MID(SUBSTITUTE(K254,";",REPT(" ",99)),100,99)),FIND(":",TRIM(MID(SUBSTITUTE(K254,";",REPT(" ",99)),100,99)))+1,999))-1),_Lookup!$A:$B,2,FALSE),"?")&amp;"×"&amp;LEFT(MID(MID(TRIM(MID(SUBSTITUTE(K254,";",REPT(" ",99)),100,99)),FIND(":",TRIM(MID(SUBSTITUTE(K254,";",REPT(" ",99)),100,99)))+1,999),FIND(":",MID(TRIM(MID(SUBSTITUTE(K254,";",REPT(" ",99)),100,99)),FIND(":",TRIM(MID(SUBSTITUTE(K254,";",REPT(" ",99)),100,99)))+1,999))+1,999),FIND(":",MID(MID(TRIM(MID(SUBSTITUTE(K254,";",REPT(" ",99)),100,99)),FIND(":",TRIM(MID(SUBSTITUTE(K254,";",REPT(" ",99)),100,99)))+1,999),FIND(":",MID(TRIM(MID(SUBSTITUTE(K254,";",REPT(" ",99)),100,99)),FIND(":",TRIM(MID(SUBSTITUTE(K254,";",REPT(" ",99)),100,99)))+1,999))+1,999))-1)),IF(TRIM(MID(SUBSTITUTE(K254,";",REPT(" ",99)),199,99))="","",IFERROR(VLOOKUP(--LEFT(MID(TRIM(MID(SUBSTITUTE(K254,";",REPT(" ",99)),199,99)),FIND(":",TRIM(MID(SUBSTITUTE(K254,";",REPT(" ",99)),199,99)))+1,999),FIND(":",MID(TRIM(MID(SUBSTITUTE(K254,";",REPT(" ",99)),199,99)),FIND(":",TRIM(MID(SUBSTITUTE(K254,";",REPT(" ",99)),199,99)))+1,999))-1),_Lookup!$A:$B,2,FALSE),"?")&amp;"×"&amp;LEFT(MID(MID(TRIM(MID(SUBSTITUTE(K254,";",REPT(" ",99)),199,99)),FIND(":",TRIM(MID(SUBSTITUTE(K254,";",REPT(" ",99)),199,99)))+1,999),FIND(":",MID(TRIM(MID(SUBSTITUTE(K254,";",REPT(" ",99)),199,99)),FIND(":",TRIM(MID(SUBSTITUTE(K254,";",REPT(" ",99)),199,99)))+1,999))+1,999),FIND(":",MID(MID(TRIM(MID(SUBSTITUTE(K254,";",REPT(" ",99)),199,99)),FIND(":",TRIM(MID(SUBSTITUTE(K254,";",REPT(" ",99)),199,99)))+1,999),FIND(":",MID(TRIM(MID(SUBSTITUTE(K254,";",REPT(" ",99)),199,99)),FIND(":",TRIM(MID(SUBSTITUTE(K254,";",REPT(" ",99)),199,99)))+1,999))+1,999))-1)),IF(TRIM(MID(SUBSTITUTE(K254,";",REPT(" ",99)),298,99))="","",IFERROR(VLOOKUP(--LEFT(MID(TRIM(MID(SUBSTITUTE(K254,";",REPT(" ",99)),298,99)),FIND(":",TRIM(MID(SUBSTITUTE(K254,";",REPT(" ",99)),298,99)))+1,999),FIND(":",MID(TRIM(MID(SUBSTITUTE(K254,";",REPT(" ",99)),298,99)),FIND(":",TRIM(MID(SUBSTITUTE(K254,";",REPT(" ",99)),298,99)))+1,999))-1),_Lookup!$A:$B,2,FALSE),"?")&amp;"×"&amp;LEFT(MID(MID(TRIM(MID(SUBSTITUTE(K254,";",REPT(" ",99)),298,99)),FIND(":",TRIM(MID(SUBSTITUTE(K254,";",REPT(" ",99)),298,99)))+1,999),FIND(":",MID(TRIM(MID(SUBSTITUTE(K254,";",REPT(" ",99)),298,99)),FIND(":",TRIM(MID(SUBSTITUTE(K254,";",REPT(" ",99)),298,99)))+1,999))+1,999),FIND(":",MID(MID(TRIM(MID(SUBSTITUTE(K254,";",REPT(" ",99)),298,99)),FIND(":",TRIM(MID(SUBSTITUTE(K254,";",REPT(" ",99)),298,99)))+1,999),FIND(":",MID(TRIM(MID(SUBSTITUTE(K254,";",REPT(" ",99)),298,99)),FIND(":",TRIM(MID(SUBSTITUTE(K254,";",REPT(" ",99)),298,99)))+1,999))+1,999))-1)),IF(TRIM(MID(SUBSTITUTE(K254,";",REPT(" ",99)),397,99))="","",IFERROR(VLOOKUP(--LEFT(MID(TRIM(MID(SUBSTITUTE(K254,";",REPT(" ",99)),397,99)),FIND(":",TRIM(MID(SUBSTITUTE(K254,";",REPT(" ",99)),397,99)))+1,999),FIND(":",MID(TRIM(MID(SUBSTITUTE(K254,";",REPT(" ",99)),397,99)),FIND(":",TRIM(MID(SUBSTITUTE(K254,";",REPT(" ",99)),397,99)))+1,999))-1),_Lookup!$A:$B,2,FALSE),"?")&amp;"×"&amp;LEFT(MID(MID(TRIM(MID(SUBSTITUTE(K254,";",REPT(" ",99)),397,99)),FIND(":",TRIM(MID(SUBSTITUTE(K254,";",REPT(" ",99)),397,99)))+1,999),FIND(":",MID(TRIM(MID(SUBSTITUTE(K254,";",REPT(" ",99)),397,99)),FIND(":",TRIM(MID(SUBSTITUTE(K254,";",REPT(" ",99)),397,99)))+1,999))+1,999),FIND(":",MID(MID(TRIM(MID(SUBSTITUTE(K254,";",REPT(" ",99)),397,99)),FIND(":",TRIM(MID(SUBSTITUTE(K254,";",REPT(" ",99)),397,99)))+1,999),FIND(":",MID(TRIM(MID(SUBSTITUTE(K254,";",REPT(" ",99)),397,99)),FIND(":",TRIM(MID(SUBSTITUTE(K254,";",REPT(" ",99)),397,99)))+1,999))+1,999))-1))))</f>
        <v/>
      </c>
    </row>
    <row r="255">
      <c r="D255" s="11">
        <f>IFERROR(VLOOKUP(C255,ItemData_Fish!$A:$B,2,FALSE),"")</f>
        <v/>
      </c>
      <c r="L255" s="11">
        <f>IF(K255="","",TEXTJOIN("; ",TRUE,IF(TRIM(MID(SUBSTITUTE(K255,";",REPT(" ",99)),1,99))="","",IFERROR(VLOOKUP(--LEFT(MID(TRIM(MID(SUBSTITUTE(K255,";",REPT(" ",99)),1,99)),FIND(":",TRIM(MID(SUBSTITUTE(K255,";",REPT(" ",99)),1,99)))+1,999),FIND(":",MID(TRIM(MID(SUBSTITUTE(K255,";",REPT(" ",99)),1,99)),FIND(":",TRIM(MID(SUBSTITUTE(K255,";",REPT(" ",99)),1,99)))+1,999))-1),_Lookup!$A:$B,2,FALSE),"?")&amp;"×"&amp;LEFT(MID(MID(TRIM(MID(SUBSTITUTE(K255,";",REPT(" ",99)),1,99)),FIND(":",TRIM(MID(SUBSTITUTE(K255,";",REPT(" ",99)),1,99)))+1,999),FIND(":",MID(TRIM(MID(SUBSTITUTE(K255,";",REPT(" ",99)),1,99)),FIND(":",TRIM(MID(SUBSTITUTE(K255,";",REPT(" ",99)),1,99)))+1,999))+1,999),FIND(":",MID(MID(TRIM(MID(SUBSTITUTE(K255,";",REPT(" ",99)),1,99)),FIND(":",TRIM(MID(SUBSTITUTE(K255,";",REPT(" ",99)),1,99)))+1,999),FIND(":",MID(TRIM(MID(SUBSTITUTE(K255,";",REPT(" ",99)),1,99)),FIND(":",TRIM(MID(SUBSTITUTE(K255,";",REPT(" ",99)),1,99)))+1,999))+1,999))-1)),IF(TRIM(MID(SUBSTITUTE(K255,";",REPT(" ",99)),100,99))="","",IFERROR(VLOOKUP(--LEFT(MID(TRIM(MID(SUBSTITUTE(K255,";",REPT(" ",99)),100,99)),FIND(":",TRIM(MID(SUBSTITUTE(K255,";",REPT(" ",99)),100,99)))+1,999),FIND(":",MID(TRIM(MID(SUBSTITUTE(K255,";",REPT(" ",99)),100,99)),FIND(":",TRIM(MID(SUBSTITUTE(K255,";",REPT(" ",99)),100,99)))+1,999))-1),_Lookup!$A:$B,2,FALSE),"?")&amp;"×"&amp;LEFT(MID(MID(TRIM(MID(SUBSTITUTE(K255,";",REPT(" ",99)),100,99)),FIND(":",TRIM(MID(SUBSTITUTE(K255,";",REPT(" ",99)),100,99)))+1,999),FIND(":",MID(TRIM(MID(SUBSTITUTE(K255,";",REPT(" ",99)),100,99)),FIND(":",TRIM(MID(SUBSTITUTE(K255,";",REPT(" ",99)),100,99)))+1,999))+1,999),FIND(":",MID(MID(TRIM(MID(SUBSTITUTE(K255,";",REPT(" ",99)),100,99)),FIND(":",TRIM(MID(SUBSTITUTE(K255,";",REPT(" ",99)),100,99)))+1,999),FIND(":",MID(TRIM(MID(SUBSTITUTE(K255,";",REPT(" ",99)),100,99)),FIND(":",TRIM(MID(SUBSTITUTE(K255,";",REPT(" ",99)),100,99)))+1,999))+1,999))-1)),IF(TRIM(MID(SUBSTITUTE(K255,";",REPT(" ",99)),199,99))="","",IFERROR(VLOOKUP(--LEFT(MID(TRIM(MID(SUBSTITUTE(K255,";",REPT(" ",99)),199,99)),FIND(":",TRIM(MID(SUBSTITUTE(K255,";",REPT(" ",99)),199,99)))+1,999),FIND(":",MID(TRIM(MID(SUBSTITUTE(K255,";",REPT(" ",99)),199,99)),FIND(":",TRIM(MID(SUBSTITUTE(K255,";",REPT(" ",99)),199,99)))+1,999))-1),_Lookup!$A:$B,2,FALSE),"?")&amp;"×"&amp;LEFT(MID(MID(TRIM(MID(SUBSTITUTE(K255,";",REPT(" ",99)),199,99)),FIND(":",TRIM(MID(SUBSTITUTE(K255,";",REPT(" ",99)),199,99)))+1,999),FIND(":",MID(TRIM(MID(SUBSTITUTE(K255,";",REPT(" ",99)),199,99)),FIND(":",TRIM(MID(SUBSTITUTE(K255,";",REPT(" ",99)),199,99)))+1,999))+1,999),FIND(":",MID(MID(TRIM(MID(SUBSTITUTE(K255,";",REPT(" ",99)),199,99)),FIND(":",TRIM(MID(SUBSTITUTE(K255,";",REPT(" ",99)),199,99)))+1,999),FIND(":",MID(TRIM(MID(SUBSTITUTE(K255,";",REPT(" ",99)),199,99)),FIND(":",TRIM(MID(SUBSTITUTE(K255,";",REPT(" ",99)),199,99)))+1,999))+1,999))-1)),IF(TRIM(MID(SUBSTITUTE(K255,";",REPT(" ",99)),298,99))="","",IFERROR(VLOOKUP(--LEFT(MID(TRIM(MID(SUBSTITUTE(K255,";",REPT(" ",99)),298,99)),FIND(":",TRIM(MID(SUBSTITUTE(K255,";",REPT(" ",99)),298,99)))+1,999),FIND(":",MID(TRIM(MID(SUBSTITUTE(K255,";",REPT(" ",99)),298,99)),FIND(":",TRIM(MID(SUBSTITUTE(K255,";",REPT(" ",99)),298,99)))+1,999))-1),_Lookup!$A:$B,2,FALSE),"?")&amp;"×"&amp;LEFT(MID(MID(TRIM(MID(SUBSTITUTE(K255,";",REPT(" ",99)),298,99)),FIND(":",TRIM(MID(SUBSTITUTE(K255,";",REPT(" ",99)),298,99)))+1,999),FIND(":",MID(TRIM(MID(SUBSTITUTE(K255,";",REPT(" ",99)),298,99)),FIND(":",TRIM(MID(SUBSTITUTE(K255,";",REPT(" ",99)),298,99)))+1,999))+1,999),FIND(":",MID(MID(TRIM(MID(SUBSTITUTE(K255,";",REPT(" ",99)),298,99)),FIND(":",TRIM(MID(SUBSTITUTE(K255,";",REPT(" ",99)),298,99)))+1,999),FIND(":",MID(TRIM(MID(SUBSTITUTE(K255,";",REPT(" ",99)),298,99)),FIND(":",TRIM(MID(SUBSTITUTE(K255,";",REPT(" ",99)),298,99)))+1,999))+1,999))-1)),IF(TRIM(MID(SUBSTITUTE(K255,";",REPT(" ",99)),397,99))="","",IFERROR(VLOOKUP(--LEFT(MID(TRIM(MID(SUBSTITUTE(K255,";",REPT(" ",99)),397,99)),FIND(":",TRIM(MID(SUBSTITUTE(K255,";",REPT(" ",99)),397,99)))+1,999),FIND(":",MID(TRIM(MID(SUBSTITUTE(K255,";",REPT(" ",99)),397,99)),FIND(":",TRIM(MID(SUBSTITUTE(K255,";",REPT(" ",99)),397,99)))+1,999))-1),_Lookup!$A:$B,2,FALSE),"?")&amp;"×"&amp;LEFT(MID(MID(TRIM(MID(SUBSTITUTE(K255,";",REPT(" ",99)),397,99)),FIND(":",TRIM(MID(SUBSTITUTE(K255,";",REPT(" ",99)),397,99)))+1,999),FIND(":",MID(TRIM(MID(SUBSTITUTE(K255,";",REPT(" ",99)),397,99)),FIND(":",TRIM(MID(SUBSTITUTE(K255,";",REPT(" ",99)),397,99)))+1,999))+1,999),FIND(":",MID(MID(TRIM(MID(SUBSTITUTE(K255,";",REPT(" ",99)),397,99)),FIND(":",TRIM(MID(SUBSTITUTE(K255,";",REPT(" ",99)),397,99)))+1,999),FIND(":",MID(TRIM(MID(SUBSTITUTE(K255,";",REPT(" ",99)),397,99)),FIND(":",TRIM(MID(SUBSTITUTE(K255,";",REPT(" ",99)),397,99)))+1,999))+1,999))-1))))</f>
        <v/>
      </c>
    </row>
    <row r="256">
      <c r="D256" s="11">
        <f>IFERROR(VLOOKUP(C256,ItemData_Fish!$A:$B,2,FALSE),"")</f>
        <v/>
      </c>
      <c r="L256" s="11">
        <f>IF(K256="","",TEXTJOIN("; ",TRUE,IF(TRIM(MID(SUBSTITUTE(K256,";",REPT(" ",99)),1,99))="","",IFERROR(VLOOKUP(--LEFT(MID(TRIM(MID(SUBSTITUTE(K256,";",REPT(" ",99)),1,99)),FIND(":",TRIM(MID(SUBSTITUTE(K256,";",REPT(" ",99)),1,99)))+1,999),FIND(":",MID(TRIM(MID(SUBSTITUTE(K256,";",REPT(" ",99)),1,99)),FIND(":",TRIM(MID(SUBSTITUTE(K256,";",REPT(" ",99)),1,99)))+1,999))-1),_Lookup!$A:$B,2,FALSE),"?")&amp;"×"&amp;LEFT(MID(MID(TRIM(MID(SUBSTITUTE(K256,";",REPT(" ",99)),1,99)),FIND(":",TRIM(MID(SUBSTITUTE(K256,";",REPT(" ",99)),1,99)))+1,999),FIND(":",MID(TRIM(MID(SUBSTITUTE(K256,";",REPT(" ",99)),1,99)),FIND(":",TRIM(MID(SUBSTITUTE(K256,";",REPT(" ",99)),1,99)))+1,999))+1,999),FIND(":",MID(MID(TRIM(MID(SUBSTITUTE(K256,";",REPT(" ",99)),1,99)),FIND(":",TRIM(MID(SUBSTITUTE(K256,";",REPT(" ",99)),1,99)))+1,999),FIND(":",MID(TRIM(MID(SUBSTITUTE(K256,";",REPT(" ",99)),1,99)),FIND(":",TRIM(MID(SUBSTITUTE(K256,";",REPT(" ",99)),1,99)))+1,999))+1,999))-1)),IF(TRIM(MID(SUBSTITUTE(K256,";",REPT(" ",99)),100,99))="","",IFERROR(VLOOKUP(--LEFT(MID(TRIM(MID(SUBSTITUTE(K256,";",REPT(" ",99)),100,99)),FIND(":",TRIM(MID(SUBSTITUTE(K256,";",REPT(" ",99)),100,99)))+1,999),FIND(":",MID(TRIM(MID(SUBSTITUTE(K256,";",REPT(" ",99)),100,99)),FIND(":",TRIM(MID(SUBSTITUTE(K256,";",REPT(" ",99)),100,99)))+1,999))-1),_Lookup!$A:$B,2,FALSE),"?")&amp;"×"&amp;LEFT(MID(MID(TRIM(MID(SUBSTITUTE(K256,";",REPT(" ",99)),100,99)),FIND(":",TRIM(MID(SUBSTITUTE(K256,";",REPT(" ",99)),100,99)))+1,999),FIND(":",MID(TRIM(MID(SUBSTITUTE(K256,";",REPT(" ",99)),100,99)),FIND(":",TRIM(MID(SUBSTITUTE(K256,";",REPT(" ",99)),100,99)))+1,999))+1,999),FIND(":",MID(MID(TRIM(MID(SUBSTITUTE(K256,";",REPT(" ",99)),100,99)),FIND(":",TRIM(MID(SUBSTITUTE(K256,";",REPT(" ",99)),100,99)))+1,999),FIND(":",MID(TRIM(MID(SUBSTITUTE(K256,";",REPT(" ",99)),100,99)),FIND(":",TRIM(MID(SUBSTITUTE(K256,";",REPT(" ",99)),100,99)))+1,999))+1,999))-1)),IF(TRIM(MID(SUBSTITUTE(K256,";",REPT(" ",99)),199,99))="","",IFERROR(VLOOKUP(--LEFT(MID(TRIM(MID(SUBSTITUTE(K256,";",REPT(" ",99)),199,99)),FIND(":",TRIM(MID(SUBSTITUTE(K256,";",REPT(" ",99)),199,99)))+1,999),FIND(":",MID(TRIM(MID(SUBSTITUTE(K256,";",REPT(" ",99)),199,99)),FIND(":",TRIM(MID(SUBSTITUTE(K256,";",REPT(" ",99)),199,99)))+1,999))-1),_Lookup!$A:$B,2,FALSE),"?")&amp;"×"&amp;LEFT(MID(MID(TRIM(MID(SUBSTITUTE(K256,";",REPT(" ",99)),199,99)),FIND(":",TRIM(MID(SUBSTITUTE(K256,";",REPT(" ",99)),199,99)))+1,999),FIND(":",MID(TRIM(MID(SUBSTITUTE(K256,";",REPT(" ",99)),199,99)),FIND(":",TRIM(MID(SUBSTITUTE(K256,";",REPT(" ",99)),199,99)))+1,999))+1,999),FIND(":",MID(MID(TRIM(MID(SUBSTITUTE(K256,";",REPT(" ",99)),199,99)),FIND(":",TRIM(MID(SUBSTITUTE(K256,";",REPT(" ",99)),199,99)))+1,999),FIND(":",MID(TRIM(MID(SUBSTITUTE(K256,";",REPT(" ",99)),199,99)),FIND(":",TRIM(MID(SUBSTITUTE(K256,";",REPT(" ",99)),199,99)))+1,999))+1,999))-1)),IF(TRIM(MID(SUBSTITUTE(K256,";",REPT(" ",99)),298,99))="","",IFERROR(VLOOKUP(--LEFT(MID(TRIM(MID(SUBSTITUTE(K256,";",REPT(" ",99)),298,99)),FIND(":",TRIM(MID(SUBSTITUTE(K256,";",REPT(" ",99)),298,99)))+1,999),FIND(":",MID(TRIM(MID(SUBSTITUTE(K256,";",REPT(" ",99)),298,99)),FIND(":",TRIM(MID(SUBSTITUTE(K256,";",REPT(" ",99)),298,99)))+1,999))-1),_Lookup!$A:$B,2,FALSE),"?")&amp;"×"&amp;LEFT(MID(MID(TRIM(MID(SUBSTITUTE(K256,";",REPT(" ",99)),298,99)),FIND(":",TRIM(MID(SUBSTITUTE(K256,";",REPT(" ",99)),298,99)))+1,999),FIND(":",MID(TRIM(MID(SUBSTITUTE(K256,";",REPT(" ",99)),298,99)),FIND(":",TRIM(MID(SUBSTITUTE(K256,";",REPT(" ",99)),298,99)))+1,999))+1,999),FIND(":",MID(MID(TRIM(MID(SUBSTITUTE(K256,";",REPT(" ",99)),298,99)),FIND(":",TRIM(MID(SUBSTITUTE(K256,";",REPT(" ",99)),298,99)))+1,999),FIND(":",MID(TRIM(MID(SUBSTITUTE(K256,";",REPT(" ",99)),298,99)),FIND(":",TRIM(MID(SUBSTITUTE(K256,";",REPT(" ",99)),298,99)))+1,999))+1,999))-1)),IF(TRIM(MID(SUBSTITUTE(K256,";",REPT(" ",99)),397,99))="","",IFERROR(VLOOKUP(--LEFT(MID(TRIM(MID(SUBSTITUTE(K256,";",REPT(" ",99)),397,99)),FIND(":",TRIM(MID(SUBSTITUTE(K256,";",REPT(" ",99)),397,99)))+1,999),FIND(":",MID(TRIM(MID(SUBSTITUTE(K256,";",REPT(" ",99)),397,99)),FIND(":",TRIM(MID(SUBSTITUTE(K256,";",REPT(" ",99)),397,99)))+1,999))-1),_Lookup!$A:$B,2,FALSE),"?")&amp;"×"&amp;LEFT(MID(MID(TRIM(MID(SUBSTITUTE(K256,";",REPT(" ",99)),397,99)),FIND(":",TRIM(MID(SUBSTITUTE(K256,";",REPT(" ",99)),397,99)))+1,999),FIND(":",MID(TRIM(MID(SUBSTITUTE(K256,";",REPT(" ",99)),397,99)),FIND(":",TRIM(MID(SUBSTITUTE(K256,";",REPT(" ",99)),397,99)))+1,999))+1,999),FIND(":",MID(MID(TRIM(MID(SUBSTITUTE(K256,";",REPT(" ",99)),397,99)),FIND(":",TRIM(MID(SUBSTITUTE(K256,";",REPT(" ",99)),397,99)))+1,999),FIND(":",MID(TRIM(MID(SUBSTITUTE(K256,";",REPT(" ",99)),397,99)),FIND(":",TRIM(MID(SUBSTITUTE(K256,";",REPT(" ",99)),397,99)))+1,999))+1,999))-1))))</f>
        <v/>
      </c>
    </row>
    <row r="257">
      <c r="D257" s="11">
        <f>IFERROR(VLOOKUP(C257,ItemData_Fish!$A:$B,2,FALSE),"")</f>
        <v/>
      </c>
      <c r="L257" s="11">
        <f>IF(K257="","",TEXTJOIN("; ",TRUE,IF(TRIM(MID(SUBSTITUTE(K257,";",REPT(" ",99)),1,99))="","",IFERROR(VLOOKUP(--LEFT(MID(TRIM(MID(SUBSTITUTE(K257,";",REPT(" ",99)),1,99)),FIND(":",TRIM(MID(SUBSTITUTE(K257,";",REPT(" ",99)),1,99)))+1,999),FIND(":",MID(TRIM(MID(SUBSTITUTE(K257,";",REPT(" ",99)),1,99)),FIND(":",TRIM(MID(SUBSTITUTE(K257,";",REPT(" ",99)),1,99)))+1,999))-1),_Lookup!$A:$B,2,FALSE),"?")&amp;"×"&amp;LEFT(MID(MID(TRIM(MID(SUBSTITUTE(K257,";",REPT(" ",99)),1,99)),FIND(":",TRIM(MID(SUBSTITUTE(K257,";",REPT(" ",99)),1,99)))+1,999),FIND(":",MID(TRIM(MID(SUBSTITUTE(K257,";",REPT(" ",99)),1,99)),FIND(":",TRIM(MID(SUBSTITUTE(K257,";",REPT(" ",99)),1,99)))+1,999))+1,999),FIND(":",MID(MID(TRIM(MID(SUBSTITUTE(K257,";",REPT(" ",99)),1,99)),FIND(":",TRIM(MID(SUBSTITUTE(K257,";",REPT(" ",99)),1,99)))+1,999),FIND(":",MID(TRIM(MID(SUBSTITUTE(K257,";",REPT(" ",99)),1,99)),FIND(":",TRIM(MID(SUBSTITUTE(K257,";",REPT(" ",99)),1,99)))+1,999))+1,999))-1)),IF(TRIM(MID(SUBSTITUTE(K257,";",REPT(" ",99)),100,99))="","",IFERROR(VLOOKUP(--LEFT(MID(TRIM(MID(SUBSTITUTE(K257,";",REPT(" ",99)),100,99)),FIND(":",TRIM(MID(SUBSTITUTE(K257,";",REPT(" ",99)),100,99)))+1,999),FIND(":",MID(TRIM(MID(SUBSTITUTE(K257,";",REPT(" ",99)),100,99)),FIND(":",TRIM(MID(SUBSTITUTE(K257,";",REPT(" ",99)),100,99)))+1,999))-1),_Lookup!$A:$B,2,FALSE),"?")&amp;"×"&amp;LEFT(MID(MID(TRIM(MID(SUBSTITUTE(K257,";",REPT(" ",99)),100,99)),FIND(":",TRIM(MID(SUBSTITUTE(K257,";",REPT(" ",99)),100,99)))+1,999),FIND(":",MID(TRIM(MID(SUBSTITUTE(K257,";",REPT(" ",99)),100,99)),FIND(":",TRIM(MID(SUBSTITUTE(K257,";",REPT(" ",99)),100,99)))+1,999))+1,999),FIND(":",MID(MID(TRIM(MID(SUBSTITUTE(K257,";",REPT(" ",99)),100,99)),FIND(":",TRIM(MID(SUBSTITUTE(K257,";",REPT(" ",99)),100,99)))+1,999),FIND(":",MID(TRIM(MID(SUBSTITUTE(K257,";",REPT(" ",99)),100,99)),FIND(":",TRIM(MID(SUBSTITUTE(K257,";",REPT(" ",99)),100,99)))+1,999))+1,999))-1)),IF(TRIM(MID(SUBSTITUTE(K257,";",REPT(" ",99)),199,99))="","",IFERROR(VLOOKUP(--LEFT(MID(TRIM(MID(SUBSTITUTE(K257,";",REPT(" ",99)),199,99)),FIND(":",TRIM(MID(SUBSTITUTE(K257,";",REPT(" ",99)),199,99)))+1,999),FIND(":",MID(TRIM(MID(SUBSTITUTE(K257,";",REPT(" ",99)),199,99)),FIND(":",TRIM(MID(SUBSTITUTE(K257,";",REPT(" ",99)),199,99)))+1,999))-1),_Lookup!$A:$B,2,FALSE),"?")&amp;"×"&amp;LEFT(MID(MID(TRIM(MID(SUBSTITUTE(K257,";",REPT(" ",99)),199,99)),FIND(":",TRIM(MID(SUBSTITUTE(K257,";",REPT(" ",99)),199,99)))+1,999),FIND(":",MID(TRIM(MID(SUBSTITUTE(K257,";",REPT(" ",99)),199,99)),FIND(":",TRIM(MID(SUBSTITUTE(K257,";",REPT(" ",99)),199,99)))+1,999))+1,999),FIND(":",MID(MID(TRIM(MID(SUBSTITUTE(K257,";",REPT(" ",99)),199,99)),FIND(":",TRIM(MID(SUBSTITUTE(K257,";",REPT(" ",99)),199,99)))+1,999),FIND(":",MID(TRIM(MID(SUBSTITUTE(K257,";",REPT(" ",99)),199,99)),FIND(":",TRIM(MID(SUBSTITUTE(K257,";",REPT(" ",99)),199,99)))+1,999))+1,999))-1)),IF(TRIM(MID(SUBSTITUTE(K257,";",REPT(" ",99)),298,99))="","",IFERROR(VLOOKUP(--LEFT(MID(TRIM(MID(SUBSTITUTE(K257,";",REPT(" ",99)),298,99)),FIND(":",TRIM(MID(SUBSTITUTE(K257,";",REPT(" ",99)),298,99)))+1,999),FIND(":",MID(TRIM(MID(SUBSTITUTE(K257,";",REPT(" ",99)),298,99)),FIND(":",TRIM(MID(SUBSTITUTE(K257,";",REPT(" ",99)),298,99)))+1,999))-1),_Lookup!$A:$B,2,FALSE),"?")&amp;"×"&amp;LEFT(MID(MID(TRIM(MID(SUBSTITUTE(K257,";",REPT(" ",99)),298,99)),FIND(":",TRIM(MID(SUBSTITUTE(K257,";",REPT(" ",99)),298,99)))+1,999),FIND(":",MID(TRIM(MID(SUBSTITUTE(K257,";",REPT(" ",99)),298,99)),FIND(":",TRIM(MID(SUBSTITUTE(K257,";",REPT(" ",99)),298,99)))+1,999))+1,999),FIND(":",MID(MID(TRIM(MID(SUBSTITUTE(K257,";",REPT(" ",99)),298,99)),FIND(":",TRIM(MID(SUBSTITUTE(K257,";",REPT(" ",99)),298,99)))+1,999),FIND(":",MID(TRIM(MID(SUBSTITUTE(K257,";",REPT(" ",99)),298,99)),FIND(":",TRIM(MID(SUBSTITUTE(K257,";",REPT(" ",99)),298,99)))+1,999))+1,999))-1)),IF(TRIM(MID(SUBSTITUTE(K257,";",REPT(" ",99)),397,99))="","",IFERROR(VLOOKUP(--LEFT(MID(TRIM(MID(SUBSTITUTE(K257,";",REPT(" ",99)),397,99)),FIND(":",TRIM(MID(SUBSTITUTE(K257,";",REPT(" ",99)),397,99)))+1,999),FIND(":",MID(TRIM(MID(SUBSTITUTE(K257,";",REPT(" ",99)),397,99)),FIND(":",TRIM(MID(SUBSTITUTE(K257,";",REPT(" ",99)),397,99)))+1,999))-1),_Lookup!$A:$B,2,FALSE),"?")&amp;"×"&amp;LEFT(MID(MID(TRIM(MID(SUBSTITUTE(K257,";",REPT(" ",99)),397,99)),FIND(":",TRIM(MID(SUBSTITUTE(K257,";",REPT(" ",99)),397,99)))+1,999),FIND(":",MID(TRIM(MID(SUBSTITUTE(K257,";",REPT(" ",99)),397,99)),FIND(":",TRIM(MID(SUBSTITUTE(K257,";",REPT(" ",99)),397,99)))+1,999))+1,999),FIND(":",MID(MID(TRIM(MID(SUBSTITUTE(K257,";",REPT(" ",99)),397,99)),FIND(":",TRIM(MID(SUBSTITUTE(K257,";",REPT(" ",99)),397,99)))+1,999),FIND(":",MID(TRIM(MID(SUBSTITUTE(K257,";",REPT(" ",99)),397,99)),FIND(":",TRIM(MID(SUBSTITUTE(K257,";",REPT(" ",99)),397,99)))+1,999))+1,999))-1))))</f>
        <v/>
      </c>
    </row>
    <row r="258">
      <c r="D258" s="11">
        <f>IFERROR(VLOOKUP(C258,ItemData_Fish!$A:$B,2,FALSE),"")</f>
        <v/>
      </c>
      <c r="L258" s="11">
        <f>IF(K258="","",TEXTJOIN("; ",TRUE,IF(TRIM(MID(SUBSTITUTE(K258,";",REPT(" ",99)),1,99))="","",IFERROR(VLOOKUP(--LEFT(MID(TRIM(MID(SUBSTITUTE(K258,";",REPT(" ",99)),1,99)),FIND(":",TRIM(MID(SUBSTITUTE(K258,";",REPT(" ",99)),1,99)))+1,999),FIND(":",MID(TRIM(MID(SUBSTITUTE(K258,";",REPT(" ",99)),1,99)),FIND(":",TRIM(MID(SUBSTITUTE(K258,";",REPT(" ",99)),1,99)))+1,999))-1),_Lookup!$A:$B,2,FALSE),"?")&amp;"×"&amp;LEFT(MID(MID(TRIM(MID(SUBSTITUTE(K258,";",REPT(" ",99)),1,99)),FIND(":",TRIM(MID(SUBSTITUTE(K258,";",REPT(" ",99)),1,99)))+1,999),FIND(":",MID(TRIM(MID(SUBSTITUTE(K258,";",REPT(" ",99)),1,99)),FIND(":",TRIM(MID(SUBSTITUTE(K258,";",REPT(" ",99)),1,99)))+1,999))+1,999),FIND(":",MID(MID(TRIM(MID(SUBSTITUTE(K258,";",REPT(" ",99)),1,99)),FIND(":",TRIM(MID(SUBSTITUTE(K258,";",REPT(" ",99)),1,99)))+1,999),FIND(":",MID(TRIM(MID(SUBSTITUTE(K258,";",REPT(" ",99)),1,99)),FIND(":",TRIM(MID(SUBSTITUTE(K258,";",REPT(" ",99)),1,99)))+1,999))+1,999))-1)),IF(TRIM(MID(SUBSTITUTE(K258,";",REPT(" ",99)),100,99))="","",IFERROR(VLOOKUP(--LEFT(MID(TRIM(MID(SUBSTITUTE(K258,";",REPT(" ",99)),100,99)),FIND(":",TRIM(MID(SUBSTITUTE(K258,";",REPT(" ",99)),100,99)))+1,999),FIND(":",MID(TRIM(MID(SUBSTITUTE(K258,";",REPT(" ",99)),100,99)),FIND(":",TRIM(MID(SUBSTITUTE(K258,";",REPT(" ",99)),100,99)))+1,999))-1),_Lookup!$A:$B,2,FALSE),"?")&amp;"×"&amp;LEFT(MID(MID(TRIM(MID(SUBSTITUTE(K258,";",REPT(" ",99)),100,99)),FIND(":",TRIM(MID(SUBSTITUTE(K258,";",REPT(" ",99)),100,99)))+1,999),FIND(":",MID(TRIM(MID(SUBSTITUTE(K258,";",REPT(" ",99)),100,99)),FIND(":",TRIM(MID(SUBSTITUTE(K258,";",REPT(" ",99)),100,99)))+1,999))+1,999),FIND(":",MID(MID(TRIM(MID(SUBSTITUTE(K258,";",REPT(" ",99)),100,99)),FIND(":",TRIM(MID(SUBSTITUTE(K258,";",REPT(" ",99)),100,99)))+1,999),FIND(":",MID(TRIM(MID(SUBSTITUTE(K258,";",REPT(" ",99)),100,99)),FIND(":",TRIM(MID(SUBSTITUTE(K258,";",REPT(" ",99)),100,99)))+1,999))+1,999))-1)),IF(TRIM(MID(SUBSTITUTE(K258,";",REPT(" ",99)),199,99))="","",IFERROR(VLOOKUP(--LEFT(MID(TRIM(MID(SUBSTITUTE(K258,";",REPT(" ",99)),199,99)),FIND(":",TRIM(MID(SUBSTITUTE(K258,";",REPT(" ",99)),199,99)))+1,999),FIND(":",MID(TRIM(MID(SUBSTITUTE(K258,";",REPT(" ",99)),199,99)),FIND(":",TRIM(MID(SUBSTITUTE(K258,";",REPT(" ",99)),199,99)))+1,999))-1),_Lookup!$A:$B,2,FALSE),"?")&amp;"×"&amp;LEFT(MID(MID(TRIM(MID(SUBSTITUTE(K258,";",REPT(" ",99)),199,99)),FIND(":",TRIM(MID(SUBSTITUTE(K258,";",REPT(" ",99)),199,99)))+1,999),FIND(":",MID(TRIM(MID(SUBSTITUTE(K258,";",REPT(" ",99)),199,99)),FIND(":",TRIM(MID(SUBSTITUTE(K258,";",REPT(" ",99)),199,99)))+1,999))+1,999),FIND(":",MID(MID(TRIM(MID(SUBSTITUTE(K258,";",REPT(" ",99)),199,99)),FIND(":",TRIM(MID(SUBSTITUTE(K258,";",REPT(" ",99)),199,99)))+1,999),FIND(":",MID(TRIM(MID(SUBSTITUTE(K258,";",REPT(" ",99)),199,99)),FIND(":",TRIM(MID(SUBSTITUTE(K258,";",REPT(" ",99)),199,99)))+1,999))+1,999))-1)),IF(TRIM(MID(SUBSTITUTE(K258,";",REPT(" ",99)),298,99))="","",IFERROR(VLOOKUP(--LEFT(MID(TRIM(MID(SUBSTITUTE(K258,";",REPT(" ",99)),298,99)),FIND(":",TRIM(MID(SUBSTITUTE(K258,";",REPT(" ",99)),298,99)))+1,999),FIND(":",MID(TRIM(MID(SUBSTITUTE(K258,";",REPT(" ",99)),298,99)),FIND(":",TRIM(MID(SUBSTITUTE(K258,";",REPT(" ",99)),298,99)))+1,999))-1),_Lookup!$A:$B,2,FALSE),"?")&amp;"×"&amp;LEFT(MID(MID(TRIM(MID(SUBSTITUTE(K258,";",REPT(" ",99)),298,99)),FIND(":",TRIM(MID(SUBSTITUTE(K258,";",REPT(" ",99)),298,99)))+1,999),FIND(":",MID(TRIM(MID(SUBSTITUTE(K258,";",REPT(" ",99)),298,99)),FIND(":",TRIM(MID(SUBSTITUTE(K258,";",REPT(" ",99)),298,99)))+1,999))+1,999),FIND(":",MID(MID(TRIM(MID(SUBSTITUTE(K258,";",REPT(" ",99)),298,99)),FIND(":",TRIM(MID(SUBSTITUTE(K258,";",REPT(" ",99)),298,99)))+1,999),FIND(":",MID(TRIM(MID(SUBSTITUTE(K258,";",REPT(" ",99)),298,99)),FIND(":",TRIM(MID(SUBSTITUTE(K258,";",REPT(" ",99)),298,99)))+1,999))+1,999))-1)),IF(TRIM(MID(SUBSTITUTE(K258,";",REPT(" ",99)),397,99))="","",IFERROR(VLOOKUP(--LEFT(MID(TRIM(MID(SUBSTITUTE(K258,";",REPT(" ",99)),397,99)),FIND(":",TRIM(MID(SUBSTITUTE(K258,";",REPT(" ",99)),397,99)))+1,999),FIND(":",MID(TRIM(MID(SUBSTITUTE(K258,";",REPT(" ",99)),397,99)),FIND(":",TRIM(MID(SUBSTITUTE(K258,";",REPT(" ",99)),397,99)))+1,999))-1),_Lookup!$A:$B,2,FALSE),"?")&amp;"×"&amp;LEFT(MID(MID(TRIM(MID(SUBSTITUTE(K258,";",REPT(" ",99)),397,99)),FIND(":",TRIM(MID(SUBSTITUTE(K258,";",REPT(" ",99)),397,99)))+1,999),FIND(":",MID(TRIM(MID(SUBSTITUTE(K258,";",REPT(" ",99)),397,99)),FIND(":",TRIM(MID(SUBSTITUTE(K258,";",REPT(" ",99)),397,99)))+1,999))+1,999),FIND(":",MID(MID(TRIM(MID(SUBSTITUTE(K258,";",REPT(" ",99)),397,99)),FIND(":",TRIM(MID(SUBSTITUTE(K258,";",REPT(" ",99)),397,99)))+1,999),FIND(":",MID(TRIM(MID(SUBSTITUTE(K258,";",REPT(" ",99)),397,99)),FIND(":",TRIM(MID(SUBSTITUTE(K258,";",REPT(" ",99)),397,99)))+1,999))+1,999))-1))))</f>
        <v/>
      </c>
    </row>
    <row r="259">
      <c r="D259" s="11">
        <f>IFERROR(VLOOKUP(C259,ItemData_Fish!$A:$B,2,FALSE),"")</f>
        <v/>
      </c>
      <c r="L259" s="11">
        <f>IF(K259="","",TEXTJOIN("; ",TRUE,IF(TRIM(MID(SUBSTITUTE(K259,";",REPT(" ",99)),1,99))="","",IFERROR(VLOOKUP(--LEFT(MID(TRIM(MID(SUBSTITUTE(K259,";",REPT(" ",99)),1,99)),FIND(":",TRIM(MID(SUBSTITUTE(K259,";",REPT(" ",99)),1,99)))+1,999),FIND(":",MID(TRIM(MID(SUBSTITUTE(K259,";",REPT(" ",99)),1,99)),FIND(":",TRIM(MID(SUBSTITUTE(K259,";",REPT(" ",99)),1,99)))+1,999))-1),_Lookup!$A:$B,2,FALSE),"?")&amp;"×"&amp;LEFT(MID(MID(TRIM(MID(SUBSTITUTE(K259,";",REPT(" ",99)),1,99)),FIND(":",TRIM(MID(SUBSTITUTE(K259,";",REPT(" ",99)),1,99)))+1,999),FIND(":",MID(TRIM(MID(SUBSTITUTE(K259,";",REPT(" ",99)),1,99)),FIND(":",TRIM(MID(SUBSTITUTE(K259,";",REPT(" ",99)),1,99)))+1,999))+1,999),FIND(":",MID(MID(TRIM(MID(SUBSTITUTE(K259,";",REPT(" ",99)),1,99)),FIND(":",TRIM(MID(SUBSTITUTE(K259,";",REPT(" ",99)),1,99)))+1,999),FIND(":",MID(TRIM(MID(SUBSTITUTE(K259,";",REPT(" ",99)),1,99)),FIND(":",TRIM(MID(SUBSTITUTE(K259,";",REPT(" ",99)),1,99)))+1,999))+1,999))-1)),IF(TRIM(MID(SUBSTITUTE(K259,";",REPT(" ",99)),100,99))="","",IFERROR(VLOOKUP(--LEFT(MID(TRIM(MID(SUBSTITUTE(K259,";",REPT(" ",99)),100,99)),FIND(":",TRIM(MID(SUBSTITUTE(K259,";",REPT(" ",99)),100,99)))+1,999),FIND(":",MID(TRIM(MID(SUBSTITUTE(K259,";",REPT(" ",99)),100,99)),FIND(":",TRIM(MID(SUBSTITUTE(K259,";",REPT(" ",99)),100,99)))+1,999))-1),_Lookup!$A:$B,2,FALSE),"?")&amp;"×"&amp;LEFT(MID(MID(TRIM(MID(SUBSTITUTE(K259,";",REPT(" ",99)),100,99)),FIND(":",TRIM(MID(SUBSTITUTE(K259,";",REPT(" ",99)),100,99)))+1,999),FIND(":",MID(TRIM(MID(SUBSTITUTE(K259,";",REPT(" ",99)),100,99)),FIND(":",TRIM(MID(SUBSTITUTE(K259,";",REPT(" ",99)),100,99)))+1,999))+1,999),FIND(":",MID(MID(TRIM(MID(SUBSTITUTE(K259,";",REPT(" ",99)),100,99)),FIND(":",TRIM(MID(SUBSTITUTE(K259,";",REPT(" ",99)),100,99)))+1,999),FIND(":",MID(TRIM(MID(SUBSTITUTE(K259,";",REPT(" ",99)),100,99)),FIND(":",TRIM(MID(SUBSTITUTE(K259,";",REPT(" ",99)),100,99)))+1,999))+1,999))-1)),IF(TRIM(MID(SUBSTITUTE(K259,";",REPT(" ",99)),199,99))="","",IFERROR(VLOOKUP(--LEFT(MID(TRIM(MID(SUBSTITUTE(K259,";",REPT(" ",99)),199,99)),FIND(":",TRIM(MID(SUBSTITUTE(K259,";",REPT(" ",99)),199,99)))+1,999),FIND(":",MID(TRIM(MID(SUBSTITUTE(K259,";",REPT(" ",99)),199,99)),FIND(":",TRIM(MID(SUBSTITUTE(K259,";",REPT(" ",99)),199,99)))+1,999))-1),_Lookup!$A:$B,2,FALSE),"?")&amp;"×"&amp;LEFT(MID(MID(TRIM(MID(SUBSTITUTE(K259,";",REPT(" ",99)),199,99)),FIND(":",TRIM(MID(SUBSTITUTE(K259,";",REPT(" ",99)),199,99)))+1,999),FIND(":",MID(TRIM(MID(SUBSTITUTE(K259,";",REPT(" ",99)),199,99)),FIND(":",TRIM(MID(SUBSTITUTE(K259,";",REPT(" ",99)),199,99)))+1,999))+1,999),FIND(":",MID(MID(TRIM(MID(SUBSTITUTE(K259,";",REPT(" ",99)),199,99)),FIND(":",TRIM(MID(SUBSTITUTE(K259,";",REPT(" ",99)),199,99)))+1,999),FIND(":",MID(TRIM(MID(SUBSTITUTE(K259,";",REPT(" ",99)),199,99)),FIND(":",TRIM(MID(SUBSTITUTE(K259,";",REPT(" ",99)),199,99)))+1,999))+1,999))-1)),IF(TRIM(MID(SUBSTITUTE(K259,";",REPT(" ",99)),298,99))="","",IFERROR(VLOOKUP(--LEFT(MID(TRIM(MID(SUBSTITUTE(K259,";",REPT(" ",99)),298,99)),FIND(":",TRIM(MID(SUBSTITUTE(K259,";",REPT(" ",99)),298,99)))+1,999),FIND(":",MID(TRIM(MID(SUBSTITUTE(K259,";",REPT(" ",99)),298,99)),FIND(":",TRIM(MID(SUBSTITUTE(K259,";",REPT(" ",99)),298,99)))+1,999))-1),_Lookup!$A:$B,2,FALSE),"?")&amp;"×"&amp;LEFT(MID(MID(TRIM(MID(SUBSTITUTE(K259,";",REPT(" ",99)),298,99)),FIND(":",TRIM(MID(SUBSTITUTE(K259,";",REPT(" ",99)),298,99)))+1,999),FIND(":",MID(TRIM(MID(SUBSTITUTE(K259,";",REPT(" ",99)),298,99)),FIND(":",TRIM(MID(SUBSTITUTE(K259,";",REPT(" ",99)),298,99)))+1,999))+1,999),FIND(":",MID(MID(TRIM(MID(SUBSTITUTE(K259,";",REPT(" ",99)),298,99)),FIND(":",TRIM(MID(SUBSTITUTE(K259,";",REPT(" ",99)),298,99)))+1,999),FIND(":",MID(TRIM(MID(SUBSTITUTE(K259,";",REPT(" ",99)),298,99)),FIND(":",TRIM(MID(SUBSTITUTE(K259,";",REPT(" ",99)),298,99)))+1,999))+1,999))-1)),IF(TRIM(MID(SUBSTITUTE(K259,";",REPT(" ",99)),397,99))="","",IFERROR(VLOOKUP(--LEFT(MID(TRIM(MID(SUBSTITUTE(K259,";",REPT(" ",99)),397,99)),FIND(":",TRIM(MID(SUBSTITUTE(K259,";",REPT(" ",99)),397,99)))+1,999),FIND(":",MID(TRIM(MID(SUBSTITUTE(K259,";",REPT(" ",99)),397,99)),FIND(":",TRIM(MID(SUBSTITUTE(K259,";",REPT(" ",99)),397,99)))+1,999))-1),_Lookup!$A:$B,2,FALSE),"?")&amp;"×"&amp;LEFT(MID(MID(TRIM(MID(SUBSTITUTE(K259,";",REPT(" ",99)),397,99)),FIND(":",TRIM(MID(SUBSTITUTE(K259,";",REPT(" ",99)),397,99)))+1,999),FIND(":",MID(TRIM(MID(SUBSTITUTE(K259,";",REPT(" ",99)),397,99)),FIND(":",TRIM(MID(SUBSTITUTE(K259,";",REPT(" ",99)),397,99)))+1,999))+1,999),FIND(":",MID(MID(TRIM(MID(SUBSTITUTE(K259,";",REPT(" ",99)),397,99)),FIND(":",TRIM(MID(SUBSTITUTE(K259,";",REPT(" ",99)),397,99)))+1,999),FIND(":",MID(TRIM(MID(SUBSTITUTE(K259,";",REPT(" ",99)),397,99)),FIND(":",TRIM(MID(SUBSTITUTE(K259,";",REPT(" ",99)),397,99)))+1,999))+1,999))-1))))</f>
        <v/>
      </c>
    </row>
    <row r="260">
      <c r="D260" s="11">
        <f>IFERROR(VLOOKUP(C260,ItemData_Fish!$A:$B,2,FALSE),"")</f>
        <v/>
      </c>
      <c r="L260" s="11">
        <f>IF(K260="","",TEXTJOIN("; ",TRUE,IF(TRIM(MID(SUBSTITUTE(K260,";",REPT(" ",99)),1,99))="","",IFERROR(VLOOKUP(--LEFT(MID(TRIM(MID(SUBSTITUTE(K260,";",REPT(" ",99)),1,99)),FIND(":",TRIM(MID(SUBSTITUTE(K260,";",REPT(" ",99)),1,99)))+1,999),FIND(":",MID(TRIM(MID(SUBSTITUTE(K260,";",REPT(" ",99)),1,99)),FIND(":",TRIM(MID(SUBSTITUTE(K260,";",REPT(" ",99)),1,99)))+1,999))-1),_Lookup!$A:$B,2,FALSE),"?")&amp;"×"&amp;LEFT(MID(MID(TRIM(MID(SUBSTITUTE(K260,";",REPT(" ",99)),1,99)),FIND(":",TRIM(MID(SUBSTITUTE(K260,";",REPT(" ",99)),1,99)))+1,999),FIND(":",MID(TRIM(MID(SUBSTITUTE(K260,";",REPT(" ",99)),1,99)),FIND(":",TRIM(MID(SUBSTITUTE(K260,";",REPT(" ",99)),1,99)))+1,999))+1,999),FIND(":",MID(MID(TRIM(MID(SUBSTITUTE(K260,";",REPT(" ",99)),1,99)),FIND(":",TRIM(MID(SUBSTITUTE(K260,";",REPT(" ",99)),1,99)))+1,999),FIND(":",MID(TRIM(MID(SUBSTITUTE(K260,";",REPT(" ",99)),1,99)),FIND(":",TRIM(MID(SUBSTITUTE(K260,";",REPT(" ",99)),1,99)))+1,999))+1,999))-1)),IF(TRIM(MID(SUBSTITUTE(K260,";",REPT(" ",99)),100,99))="","",IFERROR(VLOOKUP(--LEFT(MID(TRIM(MID(SUBSTITUTE(K260,";",REPT(" ",99)),100,99)),FIND(":",TRIM(MID(SUBSTITUTE(K260,";",REPT(" ",99)),100,99)))+1,999),FIND(":",MID(TRIM(MID(SUBSTITUTE(K260,";",REPT(" ",99)),100,99)),FIND(":",TRIM(MID(SUBSTITUTE(K260,";",REPT(" ",99)),100,99)))+1,999))-1),_Lookup!$A:$B,2,FALSE),"?")&amp;"×"&amp;LEFT(MID(MID(TRIM(MID(SUBSTITUTE(K260,";",REPT(" ",99)),100,99)),FIND(":",TRIM(MID(SUBSTITUTE(K260,";",REPT(" ",99)),100,99)))+1,999),FIND(":",MID(TRIM(MID(SUBSTITUTE(K260,";",REPT(" ",99)),100,99)),FIND(":",TRIM(MID(SUBSTITUTE(K260,";",REPT(" ",99)),100,99)))+1,999))+1,999),FIND(":",MID(MID(TRIM(MID(SUBSTITUTE(K260,";",REPT(" ",99)),100,99)),FIND(":",TRIM(MID(SUBSTITUTE(K260,";",REPT(" ",99)),100,99)))+1,999),FIND(":",MID(TRIM(MID(SUBSTITUTE(K260,";",REPT(" ",99)),100,99)),FIND(":",TRIM(MID(SUBSTITUTE(K260,";",REPT(" ",99)),100,99)))+1,999))+1,999))-1)),IF(TRIM(MID(SUBSTITUTE(K260,";",REPT(" ",99)),199,99))="","",IFERROR(VLOOKUP(--LEFT(MID(TRIM(MID(SUBSTITUTE(K260,";",REPT(" ",99)),199,99)),FIND(":",TRIM(MID(SUBSTITUTE(K260,";",REPT(" ",99)),199,99)))+1,999),FIND(":",MID(TRIM(MID(SUBSTITUTE(K260,";",REPT(" ",99)),199,99)),FIND(":",TRIM(MID(SUBSTITUTE(K260,";",REPT(" ",99)),199,99)))+1,999))-1),_Lookup!$A:$B,2,FALSE),"?")&amp;"×"&amp;LEFT(MID(MID(TRIM(MID(SUBSTITUTE(K260,";",REPT(" ",99)),199,99)),FIND(":",TRIM(MID(SUBSTITUTE(K260,";",REPT(" ",99)),199,99)))+1,999),FIND(":",MID(TRIM(MID(SUBSTITUTE(K260,";",REPT(" ",99)),199,99)),FIND(":",TRIM(MID(SUBSTITUTE(K260,";",REPT(" ",99)),199,99)))+1,999))+1,999),FIND(":",MID(MID(TRIM(MID(SUBSTITUTE(K260,";",REPT(" ",99)),199,99)),FIND(":",TRIM(MID(SUBSTITUTE(K260,";",REPT(" ",99)),199,99)))+1,999),FIND(":",MID(TRIM(MID(SUBSTITUTE(K260,";",REPT(" ",99)),199,99)),FIND(":",TRIM(MID(SUBSTITUTE(K260,";",REPT(" ",99)),199,99)))+1,999))+1,999))-1)),IF(TRIM(MID(SUBSTITUTE(K260,";",REPT(" ",99)),298,99))="","",IFERROR(VLOOKUP(--LEFT(MID(TRIM(MID(SUBSTITUTE(K260,";",REPT(" ",99)),298,99)),FIND(":",TRIM(MID(SUBSTITUTE(K260,";",REPT(" ",99)),298,99)))+1,999),FIND(":",MID(TRIM(MID(SUBSTITUTE(K260,";",REPT(" ",99)),298,99)),FIND(":",TRIM(MID(SUBSTITUTE(K260,";",REPT(" ",99)),298,99)))+1,999))-1),_Lookup!$A:$B,2,FALSE),"?")&amp;"×"&amp;LEFT(MID(MID(TRIM(MID(SUBSTITUTE(K260,";",REPT(" ",99)),298,99)),FIND(":",TRIM(MID(SUBSTITUTE(K260,";",REPT(" ",99)),298,99)))+1,999),FIND(":",MID(TRIM(MID(SUBSTITUTE(K260,";",REPT(" ",99)),298,99)),FIND(":",TRIM(MID(SUBSTITUTE(K260,";",REPT(" ",99)),298,99)))+1,999))+1,999),FIND(":",MID(MID(TRIM(MID(SUBSTITUTE(K260,";",REPT(" ",99)),298,99)),FIND(":",TRIM(MID(SUBSTITUTE(K260,";",REPT(" ",99)),298,99)))+1,999),FIND(":",MID(TRIM(MID(SUBSTITUTE(K260,";",REPT(" ",99)),298,99)),FIND(":",TRIM(MID(SUBSTITUTE(K260,";",REPT(" ",99)),298,99)))+1,999))+1,999))-1)),IF(TRIM(MID(SUBSTITUTE(K260,";",REPT(" ",99)),397,99))="","",IFERROR(VLOOKUP(--LEFT(MID(TRIM(MID(SUBSTITUTE(K260,";",REPT(" ",99)),397,99)),FIND(":",TRIM(MID(SUBSTITUTE(K260,";",REPT(" ",99)),397,99)))+1,999),FIND(":",MID(TRIM(MID(SUBSTITUTE(K260,";",REPT(" ",99)),397,99)),FIND(":",TRIM(MID(SUBSTITUTE(K260,";",REPT(" ",99)),397,99)))+1,999))-1),_Lookup!$A:$B,2,FALSE),"?")&amp;"×"&amp;LEFT(MID(MID(TRIM(MID(SUBSTITUTE(K260,";",REPT(" ",99)),397,99)),FIND(":",TRIM(MID(SUBSTITUTE(K260,";",REPT(" ",99)),397,99)))+1,999),FIND(":",MID(TRIM(MID(SUBSTITUTE(K260,";",REPT(" ",99)),397,99)),FIND(":",TRIM(MID(SUBSTITUTE(K260,";",REPT(" ",99)),397,99)))+1,999))+1,999),FIND(":",MID(MID(TRIM(MID(SUBSTITUTE(K260,";",REPT(" ",99)),397,99)),FIND(":",TRIM(MID(SUBSTITUTE(K260,";",REPT(" ",99)),397,99)))+1,999),FIND(":",MID(TRIM(MID(SUBSTITUTE(K260,";",REPT(" ",99)),397,99)),FIND(":",TRIM(MID(SUBSTITUTE(K260,";",REPT(" ",99)),397,99)))+1,999))+1,999))-1))))</f>
        <v/>
      </c>
    </row>
    <row r="261">
      <c r="D261" s="11">
        <f>IFERROR(VLOOKUP(C261,ItemData_Fish!$A:$B,2,FALSE),"")</f>
        <v/>
      </c>
      <c r="L261" s="11">
        <f>IF(K261="","",TEXTJOIN("; ",TRUE,IF(TRIM(MID(SUBSTITUTE(K261,";",REPT(" ",99)),1,99))="","",IFERROR(VLOOKUP(--LEFT(MID(TRIM(MID(SUBSTITUTE(K261,";",REPT(" ",99)),1,99)),FIND(":",TRIM(MID(SUBSTITUTE(K261,";",REPT(" ",99)),1,99)))+1,999),FIND(":",MID(TRIM(MID(SUBSTITUTE(K261,";",REPT(" ",99)),1,99)),FIND(":",TRIM(MID(SUBSTITUTE(K261,";",REPT(" ",99)),1,99)))+1,999))-1),_Lookup!$A:$B,2,FALSE),"?")&amp;"×"&amp;LEFT(MID(MID(TRIM(MID(SUBSTITUTE(K261,";",REPT(" ",99)),1,99)),FIND(":",TRIM(MID(SUBSTITUTE(K261,";",REPT(" ",99)),1,99)))+1,999),FIND(":",MID(TRIM(MID(SUBSTITUTE(K261,";",REPT(" ",99)),1,99)),FIND(":",TRIM(MID(SUBSTITUTE(K261,";",REPT(" ",99)),1,99)))+1,999))+1,999),FIND(":",MID(MID(TRIM(MID(SUBSTITUTE(K261,";",REPT(" ",99)),1,99)),FIND(":",TRIM(MID(SUBSTITUTE(K261,";",REPT(" ",99)),1,99)))+1,999),FIND(":",MID(TRIM(MID(SUBSTITUTE(K261,";",REPT(" ",99)),1,99)),FIND(":",TRIM(MID(SUBSTITUTE(K261,";",REPT(" ",99)),1,99)))+1,999))+1,999))-1)),IF(TRIM(MID(SUBSTITUTE(K261,";",REPT(" ",99)),100,99))="","",IFERROR(VLOOKUP(--LEFT(MID(TRIM(MID(SUBSTITUTE(K261,";",REPT(" ",99)),100,99)),FIND(":",TRIM(MID(SUBSTITUTE(K261,";",REPT(" ",99)),100,99)))+1,999),FIND(":",MID(TRIM(MID(SUBSTITUTE(K261,";",REPT(" ",99)),100,99)),FIND(":",TRIM(MID(SUBSTITUTE(K261,";",REPT(" ",99)),100,99)))+1,999))-1),_Lookup!$A:$B,2,FALSE),"?")&amp;"×"&amp;LEFT(MID(MID(TRIM(MID(SUBSTITUTE(K261,";",REPT(" ",99)),100,99)),FIND(":",TRIM(MID(SUBSTITUTE(K261,";",REPT(" ",99)),100,99)))+1,999),FIND(":",MID(TRIM(MID(SUBSTITUTE(K261,";",REPT(" ",99)),100,99)),FIND(":",TRIM(MID(SUBSTITUTE(K261,";",REPT(" ",99)),100,99)))+1,999))+1,999),FIND(":",MID(MID(TRIM(MID(SUBSTITUTE(K261,";",REPT(" ",99)),100,99)),FIND(":",TRIM(MID(SUBSTITUTE(K261,";",REPT(" ",99)),100,99)))+1,999),FIND(":",MID(TRIM(MID(SUBSTITUTE(K261,";",REPT(" ",99)),100,99)),FIND(":",TRIM(MID(SUBSTITUTE(K261,";",REPT(" ",99)),100,99)))+1,999))+1,999))-1)),IF(TRIM(MID(SUBSTITUTE(K261,";",REPT(" ",99)),199,99))="","",IFERROR(VLOOKUP(--LEFT(MID(TRIM(MID(SUBSTITUTE(K261,";",REPT(" ",99)),199,99)),FIND(":",TRIM(MID(SUBSTITUTE(K261,";",REPT(" ",99)),199,99)))+1,999),FIND(":",MID(TRIM(MID(SUBSTITUTE(K261,";",REPT(" ",99)),199,99)),FIND(":",TRIM(MID(SUBSTITUTE(K261,";",REPT(" ",99)),199,99)))+1,999))-1),_Lookup!$A:$B,2,FALSE),"?")&amp;"×"&amp;LEFT(MID(MID(TRIM(MID(SUBSTITUTE(K261,";",REPT(" ",99)),199,99)),FIND(":",TRIM(MID(SUBSTITUTE(K261,";",REPT(" ",99)),199,99)))+1,999),FIND(":",MID(TRIM(MID(SUBSTITUTE(K261,";",REPT(" ",99)),199,99)),FIND(":",TRIM(MID(SUBSTITUTE(K261,";",REPT(" ",99)),199,99)))+1,999))+1,999),FIND(":",MID(MID(TRIM(MID(SUBSTITUTE(K261,";",REPT(" ",99)),199,99)),FIND(":",TRIM(MID(SUBSTITUTE(K261,";",REPT(" ",99)),199,99)))+1,999),FIND(":",MID(TRIM(MID(SUBSTITUTE(K261,";",REPT(" ",99)),199,99)),FIND(":",TRIM(MID(SUBSTITUTE(K261,";",REPT(" ",99)),199,99)))+1,999))+1,999))-1)),IF(TRIM(MID(SUBSTITUTE(K261,";",REPT(" ",99)),298,99))="","",IFERROR(VLOOKUP(--LEFT(MID(TRIM(MID(SUBSTITUTE(K261,";",REPT(" ",99)),298,99)),FIND(":",TRIM(MID(SUBSTITUTE(K261,";",REPT(" ",99)),298,99)))+1,999),FIND(":",MID(TRIM(MID(SUBSTITUTE(K261,";",REPT(" ",99)),298,99)),FIND(":",TRIM(MID(SUBSTITUTE(K261,";",REPT(" ",99)),298,99)))+1,999))-1),_Lookup!$A:$B,2,FALSE),"?")&amp;"×"&amp;LEFT(MID(MID(TRIM(MID(SUBSTITUTE(K261,";",REPT(" ",99)),298,99)),FIND(":",TRIM(MID(SUBSTITUTE(K261,";",REPT(" ",99)),298,99)))+1,999),FIND(":",MID(TRIM(MID(SUBSTITUTE(K261,";",REPT(" ",99)),298,99)),FIND(":",TRIM(MID(SUBSTITUTE(K261,";",REPT(" ",99)),298,99)))+1,999))+1,999),FIND(":",MID(MID(TRIM(MID(SUBSTITUTE(K261,";",REPT(" ",99)),298,99)),FIND(":",TRIM(MID(SUBSTITUTE(K261,";",REPT(" ",99)),298,99)))+1,999),FIND(":",MID(TRIM(MID(SUBSTITUTE(K261,";",REPT(" ",99)),298,99)),FIND(":",TRIM(MID(SUBSTITUTE(K261,";",REPT(" ",99)),298,99)))+1,999))+1,999))-1)),IF(TRIM(MID(SUBSTITUTE(K261,";",REPT(" ",99)),397,99))="","",IFERROR(VLOOKUP(--LEFT(MID(TRIM(MID(SUBSTITUTE(K261,";",REPT(" ",99)),397,99)),FIND(":",TRIM(MID(SUBSTITUTE(K261,";",REPT(" ",99)),397,99)))+1,999),FIND(":",MID(TRIM(MID(SUBSTITUTE(K261,";",REPT(" ",99)),397,99)),FIND(":",TRIM(MID(SUBSTITUTE(K261,";",REPT(" ",99)),397,99)))+1,999))-1),_Lookup!$A:$B,2,FALSE),"?")&amp;"×"&amp;LEFT(MID(MID(TRIM(MID(SUBSTITUTE(K261,";",REPT(" ",99)),397,99)),FIND(":",TRIM(MID(SUBSTITUTE(K261,";",REPT(" ",99)),397,99)))+1,999),FIND(":",MID(TRIM(MID(SUBSTITUTE(K261,";",REPT(" ",99)),397,99)),FIND(":",TRIM(MID(SUBSTITUTE(K261,";",REPT(" ",99)),397,99)))+1,999))+1,999),FIND(":",MID(MID(TRIM(MID(SUBSTITUTE(K261,";",REPT(" ",99)),397,99)),FIND(":",TRIM(MID(SUBSTITUTE(K261,";",REPT(" ",99)),397,99)))+1,999),FIND(":",MID(TRIM(MID(SUBSTITUTE(K261,";",REPT(" ",99)),397,99)),FIND(":",TRIM(MID(SUBSTITUTE(K261,";",REPT(" ",99)),397,99)))+1,999))+1,999))-1))))</f>
        <v/>
      </c>
    </row>
    <row r="262">
      <c r="D262" s="11">
        <f>IFERROR(VLOOKUP(C262,ItemData_Fish!$A:$B,2,FALSE),"")</f>
        <v/>
      </c>
      <c r="L262" s="11">
        <f>IF(K262="","",TEXTJOIN("; ",TRUE,IF(TRIM(MID(SUBSTITUTE(K262,";",REPT(" ",99)),1,99))="","",IFERROR(VLOOKUP(--LEFT(MID(TRIM(MID(SUBSTITUTE(K262,";",REPT(" ",99)),1,99)),FIND(":",TRIM(MID(SUBSTITUTE(K262,";",REPT(" ",99)),1,99)))+1,999),FIND(":",MID(TRIM(MID(SUBSTITUTE(K262,";",REPT(" ",99)),1,99)),FIND(":",TRIM(MID(SUBSTITUTE(K262,";",REPT(" ",99)),1,99)))+1,999))-1),_Lookup!$A:$B,2,FALSE),"?")&amp;"×"&amp;LEFT(MID(MID(TRIM(MID(SUBSTITUTE(K262,";",REPT(" ",99)),1,99)),FIND(":",TRIM(MID(SUBSTITUTE(K262,";",REPT(" ",99)),1,99)))+1,999),FIND(":",MID(TRIM(MID(SUBSTITUTE(K262,";",REPT(" ",99)),1,99)),FIND(":",TRIM(MID(SUBSTITUTE(K262,";",REPT(" ",99)),1,99)))+1,999))+1,999),FIND(":",MID(MID(TRIM(MID(SUBSTITUTE(K262,";",REPT(" ",99)),1,99)),FIND(":",TRIM(MID(SUBSTITUTE(K262,";",REPT(" ",99)),1,99)))+1,999),FIND(":",MID(TRIM(MID(SUBSTITUTE(K262,";",REPT(" ",99)),1,99)),FIND(":",TRIM(MID(SUBSTITUTE(K262,";",REPT(" ",99)),1,99)))+1,999))+1,999))-1)),IF(TRIM(MID(SUBSTITUTE(K262,";",REPT(" ",99)),100,99))="","",IFERROR(VLOOKUP(--LEFT(MID(TRIM(MID(SUBSTITUTE(K262,";",REPT(" ",99)),100,99)),FIND(":",TRIM(MID(SUBSTITUTE(K262,";",REPT(" ",99)),100,99)))+1,999),FIND(":",MID(TRIM(MID(SUBSTITUTE(K262,";",REPT(" ",99)),100,99)),FIND(":",TRIM(MID(SUBSTITUTE(K262,";",REPT(" ",99)),100,99)))+1,999))-1),_Lookup!$A:$B,2,FALSE),"?")&amp;"×"&amp;LEFT(MID(MID(TRIM(MID(SUBSTITUTE(K262,";",REPT(" ",99)),100,99)),FIND(":",TRIM(MID(SUBSTITUTE(K262,";",REPT(" ",99)),100,99)))+1,999),FIND(":",MID(TRIM(MID(SUBSTITUTE(K262,";",REPT(" ",99)),100,99)),FIND(":",TRIM(MID(SUBSTITUTE(K262,";",REPT(" ",99)),100,99)))+1,999))+1,999),FIND(":",MID(MID(TRIM(MID(SUBSTITUTE(K262,";",REPT(" ",99)),100,99)),FIND(":",TRIM(MID(SUBSTITUTE(K262,";",REPT(" ",99)),100,99)))+1,999),FIND(":",MID(TRIM(MID(SUBSTITUTE(K262,";",REPT(" ",99)),100,99)),FIND(":",TRIM(MID(SUBSTITUTE(K262,";",REPT(" ",99)),100,99)))+1,999))+1,999))-1)),IF(TRIM(MID(SUBSTITUTE(K262,";",REPT(" ",99)),199,99))="","",IFERROR(VLOOKUP(--LEFT(MID(TRIM(MID(SUBSTITUTE(K262,";",REPT(" ",99)),199,99)),FIND(":",TRIM(MID(SUBSTITUTE(K262,";",REPT(" ",99)),199,99)))+1,999),FIND(":",MID(TRIM(MID(SUBSTITUTE(K262,";",REPT(" ",99)),199,99)),FIND(":",TRIM(MID(SUBSTITUTE(K262,";",REPT(" ",99)),199,99)))+1,999))-1),_Lookup!$A:$B,2,FALSE),"?")&amp;"×"&amp;LEFT(MID(MID(TRIM(MID(SUBSTITUTE(K262,";",REPT(" ",99)),199,99)),FIND(":",TRIM(MID(SUBSTITUTE(K262,";",REPT(" ",99)),199,99)))+1,999),FIND(":",MID(TRIM(MID(SUBSTITUTE(K262,";",REPT(" ",99)),199,99)),FIND(":",TRIM(MID(SUBSTITUTE(K262,";",REPT(" ",99)),199,99)))+1,999))+1,999),FIND(":",MID(MID(TRIM(MID(SUBSTITUTE(K262,";",REPT(" ",99)),199,99)),FIND(":",TRIM(MID(SUBSTITUTE(K262,";",REPT(" ",99)),199,99)))+1,999),FIND(":",MID(TRIM(MID(SUBSTITUTE(K262,";",REPT(" ",99)),199,99)),FIND(":",TRIM(MID(SUBSTITUTE(K262,";",REPT(" ",99)),199,99)))+1,999))+1,999))-1)),IF(TRIM(MID(SUBSTITUTE(K262,";",REPT(" ",99)),298,99))="","",IFERROR(VLOOKUP(--LEFT(MID(TRIM(MID(SUBSTITUTE(K262,";",REPT(" ",99)),298,99)),FIND(":",TRIM(MID(SUBSTITUTE(K262,";",REPT(" ",99)),298,99)))+1,999),FIND(":",MID(TRIM(MID(SUBSTITUTE(K262,";",REPT(" ",99)),298,99)),FIND(":",TRIM(MID(SUBSTITUTE(K262,";",REPT(" ",99)),298,99)))+1,999))-1),_Lookup!$A:$B,2,FALSE),"?")&amp;"×"&amp;LEFT(MID(MID(TRIM(MID(SUBSTITUTE(K262,";",REPT(" ",99)),298,99)),FIND(":",TRIM(MID(SUBSTITUTE(K262,";",REPT(" ",99)),298,99)))+1,999),FIND(":",MID(TRIM(MID(SUBSTITUTE(K262,";",REPT(" ",99)),298,99)),FIND(":",TRIM(MID(SUBSTITUTE(K262,";",REPT(" ",99)),298,99)))+1,999))+1,999),FIND(":",MID(MID(TRIM(MID(SUBSTITUTE(K262,";",REPT(" ",99)),298,99)),FIND(":",TRIM(MID(SUBSTITUTE(K262,";",REPT(" ",99)),298,99)))+1,999),FIND(":",MID(TRIM(MID(SUBSTITUTE(K262,";",REPT(" ",99)),298,99)),FIND(":",TRIM(MID(SUBSTITUTE(K262,";",REPT(" ",99)),298,99)))+1,999))+1,999))-1)),IF(TRIM(MID(SUBSTITUTE(K262,";",REPT(" ",99)),397,99))="","",IFERROR(VLOOKUP(--LEFT(MID(TRIM(MID(SUBSTITUTE(K262,";",REPT(" ",99)),397,99)),FIND(":",TRIM(MID(SUBSTITUTE(K262,";",REPT(" ",99)),397,99)))+1,999),FIND(":",MID(TRIM(MID(SUBSTITUTE(K262,";",REPT(" ",99)),397,99)),FIND(":",TRIM(MID(SUBSTITUTE(K262,";",REPT(" ",99)),397,99)))+1,999))-1),_Lookup!$A:$B,2,FALSE),"?")&amp;"×"&amp;LEFT(MID(MID(TRIM(MID(SUBSTITUTE(K262,";",REPT(" ",99)),397,99)),FIND(":",TRIM(MID(SUBSTITUTE(K262,";",REPT(" ",99)),397,99)))+1,999),FIND(":",MID(TRIM(MID(SUBSTITUTE(K262,";",REPT(" ",99)),397,99)),FIND(":",TRIM(MID(SUBSTITUTE(K262,";",REPT(" ",99)),397,99)))+1,999))+1,999),FIND(":",MID(MID(TRIM(MID(SUBSTITUTE(K262,";",REPT(" ",99)),397,99)),FIND(":",TRIM(MID(SUBSTITUTE(K262,";",REPT(" ",99)),397,99)))+1,999),FIND(":",MID(TRIM(MID(SUBSTITUTE(K262,";",REPT(" ",99)),397,99)),FIND(":",TRIM(MID(SUBSTITUTE(K262,";",REPT(" ",99)),397,99)))+1,999))+1,999))-1))))</f>
        <v/>
      </c>
    </row>
    <row r="263">
      <c r="D263" s="11">
        <f>IFERROR(VLOOKUP(C263,ItemData_Fish!$A:$B,2,FALSE),"")</f>
        <v/>
      </c>
      <c r="L263" s="11">
        <f>IF(K263="","",TEXTJOIN("; ",TRUE,IF(TRIM(MID(SUBSTITUTE(K263,";",REPT(" ",99)),1,99))="","",IFERROR(VLOOKUP(--LEFT(MID(TRIM(MID(SUBSTITUTE(K263,";",REPT(" ",99)),1,99)),FIND(":",TRIM(MID(SUBSTITUTE(K263,";",REPT(" ",99)),1,99)))+1,999),FIND(":",MID(TRIM(MID(SUBSTITUTE(K263,";",REPT(" ",99)),1,99)),FIND(":",TRIM(MID(SUBSTITUTE(K263,";",REPT(" ",99)),1,99)))+1,999))-1),_Lookup!$A:$B,2,FALSE),"?")&amp;"×"&amp;LEFT(MID(MID(TRIM(MID(SUBSTITUTE(K263,";",REPT(" ",99)),1,99)),FIND(":",TRIM(MID(SUBSTITUTE(K263,";",REPT(" ",99)),1,99)))+1,999),FIND(":",MID(TRIM(MID(SUBSTITUTE(K263,";",REPT(" ",99)),1,99)),FIND(":",TRIM(MID(SUBSTITUTE(K263,";",REPT(" ",99)),1,99)))+1,999))+1,999),FIND(":",MID(MID(TRIM(MID(SUBSTITUTE(K263,";",REPT(" ",99)),1,99)),FIND(":",TRIM(MID(SUBSTITUTE(K263,";",REPT(" ",99)),1,99)))+1,999),FIND(":",MID(TRIM(MID(SUBSTITUTE(K263,";",REPT(" ",99)),1,99)),FIND(":",TRIM(MID(SUBSTITUTE(K263,";",REPT(" ",99)),1,99)))+1,999))+1,999))-1)),IF(TRIM(MID(SUBSTITUTE(K263,";",REPT(" ",99)),100,99))="","",IFERROR(VLOOKUP(--LEFT(MID(TRIM(MID(SUBSTITUTE(K263,";",REPT(" ",99)),100,99)),FIND(":",TRIM(MID(SUBSTITUTE(K263,";",REPT(" ",99)),100,99)))+1,999),FIND(":",MID(TRIM(MID(SUBSTITUTE(K263,";",REPT(" ",99)),100,99)),FIND(":",TRIM(MID(SUBSTITUTE(K263,";",REPT(" ",99)),100,99)))+1,999))-1),_Lookup!$A:$B,2,FALSE),"?")&amp;"×"&amp;LEFT(MID(MID(TRIM(MID(SUBSTITUTE(K263,";",REPT(" ",99)),100,99)),FIND(":",TRIM(MID(SUBSTITUTE(K263,";",REPT(" ",99)),100,99)))+1,999),FIND(":",MID(TRIM(MID(SUBSTITUTE(K263,";",REPT(" ",99)),100,99)),FIND(":",TRIM(MID(SUBSTITUTE(K263,";",REPT(" ",99)),100,99)))+1,999))+1,999),FIND(":",MID(MID(TRIM(MID(SUBSTITUTE(K263,";",REPT(" ",99)),100,99)),FIND(":",TRIM(MID(SUBSTITUTE(K263,";",REPT(" ",99)),100,99)))+1,999),FIND(":",MID(TRIM(MID(SUBSTITUTE(K263,";",REPT(" ",99)),100,99)),FIND(":",TRIM(MID(SUBSTITUTE(K263,";",REPT(" ",99)),100,99)))+1,999))+1,999))-1)),IF(TRIM(MID(SUBSTITUTE(K263,";",REPT(" ",99)),199,99))="","",IFERROR(VLOOKUP(--LEFT(MID(TRIM(MID(SUBSTITUTE(K263,";",REPT(" ",99)),199,99)),FIND(":",TRIM(MID(SUBSTITUTE(K263,";",REPT(" ",99)),199,99)))+1,999),FIND(":",MID(TRIM(MID(SUBSTITUTE(K263,";",REPT(" ",99)),199,99)),FIND(":",TRIM(MID(SUBSTITUTE(K263,";",REPT(" ",99)),199,99)))+1,999))-1),_Lookup!$A:$B,2,FALSE),"?")&amp;"×"&amp;LEFT(MID(MID(TRIM(MID(SUBSTITUTE(K263,";",REPT(" ",99)),199,99)),FIND(":",TRIM(MID(SUBSTITUTE(K263,";",REPT(" ",99)),199,99)))+1,999),FIND(":",MID(TRIM(MID(SUBSTITUTE(K263,";",REPT(" ",99)),199,99)),FIND(":",TRIM(MID(SUBSTITUTE(K263,";",REPT(" ",99)),199,99)))+1,999))+1,999),FIND(":",MID(MID(TRIM(MID(SUBSTITUTE(K263,";",REPT(" ",99)),199,99)),FIND(":",TRIM(MID(SUBSTITUTE(K263,";",REPT(" ",99)),199,99)))+1,999),FIND(":",MID(TRIM(MID(SUBSTITUTE(K263,";",REPT(" ",99)),199,99)),FIND(":",TRIM(MID(SUBSTITUTE(K263,";",REPT(" ",99)),199,99)))+1,999))+1,999))-1)),IF(TRIM(MID(SUBSTITUTE(K263,";",REPT(" ",99)),298,99))="","",IFERROR(VLOOKUP(--LEFT(MID(TRIM(MID(SUBSTITUTE(K263,";",REPT(" ",99)),298,99)),FIND(":",TRIM(MID(SUBSTITUTE(K263,";",REPT(" ",99)),298,99)))+1,999),FIND(":",MID(TRIM(MID(SUBSTITUTE(K263,";",REPT(" ",99)),298,99)),FIND(":",TRIM(MID(SUBSTITUTE(K263,";",REPT(" ",99)),298,99)))+1,999))-1),_Lookup!$A:$B,2,FALSE),"?")&amp;"×"&amp;LEFT(MID(MID(TRIM(MID(SUBSTITUTE(K263,";",REPT(" ",99)),298,99)),FIND(":",TRIM(MID(SUBSTITUTE(K263,";",REPT(" ",99)),298,99)))+1,999),FIND(":",MID(TRIM(MID(SUBSTITUTE(K263,";",REPT(" ",99)),298,99)),FIND(":",TRIM(MID(SUBSTITUTE(K263,";",REPT(" ",99)),298,99)))+1,999))+1,999),FIND(":",MID(MID(TRIM(MID(SUBSTITUTE(K263,";",REPT(" ",99)),298,99)),FIND(":",TRIM(MID(SUBSTITUTE(K263,";",REPT(" ",99)),298,99)))+1,999),FIND(":",MID(TRIM(MID(SUBSTITUTE(K263,";",REPT(" ",99)),298,99)),FIND(":",TRIM(MID(SUBSTITUTE(K263,";",REPT(" ",99)),298,99)))+1,999))+1,999))-1)),IF(TRIM(MID(SUBSTITUTE(K263,";",REPT(" ",99)),397,99))="","",IFERROR(VLOOKUP(--LEFT(MID(TRIM(MID(SUBSTITUTE(K263,";",REPT(" ",99)),397,99)),FIND(":",TRIM(MID(SUBSTITUTE(K263,";",REPT(" ",99)),397,99)))+1,999),FIND(":",MID(TRIM(MID(SUBSTITUTE(K263,";",REPT(" ",99)),397,99)),FIND(":",TRIM(MID(SUBSTITUTE(K263,";",REPT(" ",99)),397,99)))+1,999))-1),_Lookup!$A:$B,2,FALSE),"?")&amp;"×"&amp;LEFT(MID(MID(TRIM(MID(SUBSTITUTE(K263,";",REPT(" ",99)),397,99)),FIND(":",TRIM(MID(SUBSTITUTE(K263,";",REPT(" ",99)),397,99)))+1,999),FIND(":",MID(TRIM(MID(SUBSTITUTE(K263,";",REPT(" ",99)),397,99)),FIND(":",TRIM(MID(SUBSTITUTE(K263,";",REPT(" ",99)),397,99)))+1,999))+1,999),FIND(":",MID(MID(TRIM(MID(SUBSTITUTE(K263,";",REPT(" ",99)),397,99)),FIND(":",TRIM(MID(SUBSTITUTE(K263,";",REPT(" ",99)),397,99)))+1,999),FIND(":",MID(TRIM(MID(SUBSTITUTE(K263,";",REPT(" ",99)),397,99)),FIND(":",TRIM(MID(SUBSTITUTE(K263,";",REPT(" ",99)),397,99)))+1,999))+1,999))-1))))</f>
        <v/>
      </c>
    </row>
    <row r="264">
      <c r="D264" s="11">
        <f>IFERROR(VLOOKUP(C264,ItemData_Fish!$A:$B,2,FALSE),"")</f>
        <v/>
      </c>
      <c r="L264" s="11">
        <f>IF(K264="","",TEXTJOIN("; ",TRUE,IF(TRIM(MID(SUBSTITUTE(K264,";",REPT(" ",99)),1,99))="","",IFERROR(VLOOKUP(--LEFT(MID(TRIM(MID(SUBSTITUTE(K264,";",REPT(" ",99)),1,99)),FIND(":",TRIM(MID(SUBSTITUTE(K264,";",REPT(" ",99)),1,99)))+1,999),FIND(":",MID(TRIM(MID(SUBSTITUTE(K264,";",REPT(" ",99)),1,99)),FIND(":",TRIM(MID(SUBSTITUTE(K264,";",REPT(" ",99)),1,99)))+1,999))-1),_Lookup!$A:$B,2,FALSE),"?")&amp;"×"&amp;LEFT(MID(MID(TRIM(MID(SUBSTITUTE(K264,";",REPT(" ",99)),1,99)),FIND(":",TRIM(MID(SUBSTITUTE(K264,";",REPT(" ",99)),1,99)))+1,999),FIND(":",MID(TRIM(MID(SUBSTITUTE(K264,";",REPT(" ",99)),1,99)),FIND(":",TRIM(MID(SUBSTITUTE(K264,";",REPT(" ",99)),1,99)))+1,999))+1,999),FIND(":",MID(MID(TRIM(MID(SUBSTITUTE(K264,";",REPT(" ",99)),1,99)),FIND(":",TRIM(MID(SUBSTITUTE(K264,";",REPT(" ",99)),1,99)))+1,999),FIND(":",MID(TRIM(MID(SUBSTITUTE(K264,";",REPT(" ",99)),1,99)),FIND(":",TRIM(MID(SUBSTITUTE(K264,";",REPT(" ",99)),1,99)))+1,999))+1,999))-1)),IF(TRIM(MID(SUBSTITUTE(K264,";",REPT(" ",99)),100,99))="","",IFERROR(VLOOKUP(--LEFT(MID(TRIM(MID(SUBSTITUTE(K264,";",REPT(" ",99)),100,99)),FIND(":",TRIM(MID(SUBSTITUTE(K264,";",REPT(" ",99)),100,99)))+1,999),FIND(":",MID(TRIM(MID(SUBSTITUTE(K264,";",REPT(" ",99)),100,99)),FIND(":",TRIM(MID(SUBSTITUTE(K264,";",REPT(" ",99)),100,99)))+1,999))-1),_Lookup!$A:$B,2,FALSE),"?")&amp;"×"&amp;LEFT(MID(MID(TRIM(MID(SUBSTITUTE(K264,";",REPT(" ",99)),100,99)),FIND(":",TRIM(MID(SUBSTITUTE(K264,";",REPT(" ",99)),100,99)))+1,999),FIND(":",MID(TRIM(MID(SUBSTITUTE(K264,";",REPT(" ",99)),100,99)),FIND(":",TRIM(MID(SUBSTITUTE(K264,";",REPT(" ",99)),100,99)))+1,999))+1,999),FIND(":",MID(MID(TRIM(MID(SUBSTITUTE(K264,";",REPT(" ",99)),100,99)),FIND(":",TRIM(MID(SUBSTITUTE(K264,";",REPT(" ",99)),100,99)))+1,999),FIND(":",MID(TRIM(MID(SUBSTITUTE(K264,";",REPT(" ",99)),100,99)),FIND(":",TRIM(MID(SUBSTITUTE(K264,";",REPT(" ",99)),100,99)))+1,999))+1,999))-1)),IF(TRIM(MID(SUBSTITUTE(K264,";",REPT(" ",99)),199,99))="","",IFERROR(VLOOKUP(--LEFT(MID(TRIM(MID(SUBSTITUTE(K264,";",REPT(" ",99)),199,99)),FIND(":",TRIM(MID(SUBSTITUTE(K264,";",REPT(" ",99)),199,99)))+1,999),FIND(":",MID(TRIM(MID(SUBSTITUTE(K264,";",REPT(" ",99)),199,99)),FIND(":",TRIM(MID(SUBSTITUTE(K264,";",REPT(" ",99)),199,99)))+1,999))-1),_Lookup!$A:$B,2,FALSE),"?")&amp;"×"&amp;LEFT(MID(MID(TRIM(MID(SUBSTITUTE(K264,";",REPT(" ",99)),199,99)),FIND(":",TRIM(MID(SUBSTITUTE(K264,";",REPT(" ",99)),199,99)))+1,999),FIND(":",MID(TRIM(MID(SUBSTITUTE(K264,";",REPT(" ",99)),199,99)),FIND(":",TRIM(MID(SUBSTITUTE(K264,";",REPT(" ",99)),199,99)))+1,999))+1,999),FIND(":",MID(MID(TRIM(MID(SUBSTITUTE(K264,";",REPT(" ",99)),199,99)),FIND(":",TRIM(MID(SUBSTITUTE(K264,";",REPT(" ",99)),199,99)))+1,999),FIND(":",MID(TRIM(MID(SUBSTITUTE(K264,";",REPT(" ",99)),199,99)),FIND(":",TRIM(MID(SUBSTITUTE(K264,";",REPT(" ",99)),199,99)))+1,999))+1,999))-1)),IF(TRIM(MID(SUBSTITUTE(K264,";",REPT(" ",99)),298,99))="","",IFERROR(VLOOKUP(--LEFT(MID(TRIM(MID(SUBSTITUTE(K264,";",REPT(" ",99)),298,99)),FIND(":",TRIM(MID(SUBSTITUTE(K264,";",REPT(" ",99)),298,99)))+1,999),FIND(":",MID(TRIM(MID(SUBSTITUTE(K264,";",REPT(" ",99)),298,99)),FIND(":",TRIM(MID(SUBSTITUTE(K264,";",REPT(" ",99)),298,99)))+1,999))-1),_Lookup!$A:$B,2,FALSE),"?")&amp;"×"&amp;LEFT(MID(MID(TRIM(MID(SUBSTITUTE(K264,";",REPT(" ",99)),298,99)),FIND(":",TRIM(MID(SUBSTITUTE(K264,";",REPT(" ",99)),298,99)))+1,999),FIND(":",MID(TRIM(MID(SUBSTITUTE(K264,";",REPT(" ",99)),298,99)),FIND(":",TRIM(MID(SUBSTITUTE(K264,";",REPT(" ",99)),298,99)))+1,999))+1,999),FIND(":",MID(MID(TRIM(MID(SUBSTITUTE(K264,";",REPT(" ",99)),298,99)),FIND(":",TRIM(MID(SUBSTITUTE(K264,";",REPT(" ",99)),298,99)))+1,999),FIND(":",MID(TRIM(MID(SUBSTITUTE(K264,";",REPT(" ",99)),298,99)),FIND(":",TRIM(MID(SUBSTITUTE(K264,";",REPT(" ",99)),298,99)))+1,999))+1,999))-1)),IF(TRIM(MID(SUBSTITUTE(K264,";",REPT(" ",99)),397,99))="","",IFERROR(VLOOKUP(--LEFT(MID(TRIM(MID(SUBSTITUTE(K264,";",REPT(" ",99)),397,99)),FIND(":",TRIM(MID(SUBSTITUTE(K264,";",REPT(" ",99)),397,99)))+1,999),FIND(":",MID(TRIM(MID(SUBSTITUTE(K264,";",REPT(" ",99)),397,99)),FIND(":",TRIM(MID(SUBSTITUTE(K264,";",REPT(" ",99)),397,99)))+1,999))-1),_Lookup!$A:$B,2,FALSE),"?")&amp;"×"&amp;LEFT(MID(MID(TRIM(MID(SUBSTITUTE(K264,";",REPT(" ",99)),397,99)),FIND(":",TRIM(MID(SUBSTITUTE(K264,";",REPT(" ",99)),397,99)))+1,999),FIND(":",MID(TRIM(MID(SUBSTITUTE(K264,";",REPT(" ",99)),397,99)),FIND(":",TRIM(MID(SUBSTITUTE(K264,";",REPT(" ",99)),397,99)))+1,999))+1,999),FIND(":",MID(MID(TRIM(MID(SUBSTITUTE(K264,";",REPT(" ",99)),397,99)),FIND(":",TRIM(MID(SUBSTITUTE(K264,";",REPT(" ",99)),397,99)))+1,999),FIND(":",MID(TRIM(MID(SUBSTITUTE(K264,";",REPT(" ",99)),397,99)),FIND(":",TRIM(MID(SUBSTITUTE(K264,";",REPT(" ",99)),397,99)))+1,999))+1,999))-1))))</f>
        <v/>
      </c>
    </row>
    <row r="265">
      <c r="D265" s="11">
        <f>IFERROR(VLOOKUP(C265,ItemData_Fish!$A:$B,2,FALSE),"")</f>
        <v/>
      </c>
      <c r="L265" s="11">
        <f>IF(K265="","",TEXTJOIN("; ",TRUE,IF(TRIM(MID(SUBSTITUTE(K265,";",REPT(" ",99)),1,99))="","",IFERROR(VLOOKUP(--LEFT(MID(TRIM(MID(SUBSTITUTE(K265,";",REPT(" ",99)),1,99)),FIND(":",TRIM(MID(SUBSTITUTE(K265,";",REPT(" ",99)),1,99)))+1,999),FIND(":",MID(TRIM(MID(SUBSTITUTE(K265,";",REPT(" ",99)),1,99)),FIND(":",TRIM(MID(SUBSTITUTE(K265,";",REPT(" ",99)),1,99)))+1,999))-1),_Lookup!$A:$B,2,FALSE),"?")&amp;"×"&amp;LEFT(MID(MID(TRIM(MID(SUBSTITUTE(K265,";",REPT(" ",99)),1,99)),FIND(":",TRIM(MID(SUBSTITUTE(K265,";",REPT(" ",99)),1,99)))+1,999),FIND(":",MID(TRIM(MID(SUBSTITUTE(K265,";",REPT(" ",99)),1,99)),FIND(":",TRIM(MID(SUBSTITUTE(K265,";",REPT(" ",99)),1,99)))+1,999))+1,999),FIND(":",MID(MID(TRIM(MID(SUBSTITUTE(K265,";",REPT(" ",99)),1,99)),FIND(":",TRIM(MID(SUBSTITUTE(K265,";",REPT(" ",99)),1,99)))+1,999),FIND(":",MID(TRIM(MID(SUBSTITUTE(K265,";",REPT(" ",99)),1,99)),FIND(":",TRIM(MID(SUBSTITUTE(K265,";",REPT(" ",99)),1,99)))+1,999))+1,999))-1)),IF(TRIM(MID(SUBSTITUTE(K265,";",REPT(" ",99)),100,99))="","",IFERROR(VLOOKUP(--LEFT(MID(TRIM(MID(SUBSTITUTE(K265,";",REPT(" ",99)),100,99)),FIND(":",TRIM(MID(SUBSTITUTE(K265,";",REPT(" ",99)),100,99)))+1,999),FIND(":",MID(TRIM(MID(SUBSTITUTE(K265,";",REPT(" ",99)),100,99)),FIND(":",TRIM(MID(SUBSTITUTE(K265,";",REPT(" ",99)),100,99)))+1,999))-1),_Lookup!$A:$B,2,FALSE),"?")&amp;"×"&amp;LEFT(MID(MID(TRIM(MID(SUBSTITUTE(K265,";",REPT(" ",99)),100,99)),FIND(":",TRIM(MID(SUBSTITUTE(K265,";",REPT(" ",99)),100,99)))+1,999),FIND(":",MID(TRIM(MID(SUBSTITUTE(K265,";",REPT(" ",99)),100,99)),FIND(":",TRIM(MID(SUBSTITUTE(K265,";",REPT(" ",99)),100,99)))+1,999))+1,999),FIND(":",MID(MID(TRIM(MID(SUBSTITUTE(K265,";",REPT(" ",99)),100,99)),FIND(":",TRIM(MID(SUBSTITUTE(K265,";",REPT(" ",99)),100,99)))+1,999),FIND(":",MID(TRIM(MID(SUBSTITUTE(K265,";",REPT(" ",99)),100,99)),FIND(":",TRIM(MID(SUBSTITUTE(K265,";",REPT(" ",99)),100,99)))+1,999))+1,999))-1)),IF(TRIM(MID(SUBSTITUTE(K265,";",REPT(" ",99)),199,99))="","",IFERROR(VLOOKUP(--LEFT(MID(TRIM(MID(SUBSTITUTE(K265,";",REPT(" ",99)),199,99)),FIND(":",TRIM(MID(SUBSTITUTE(K265,";",REPT(" ",99)),199,99)))+1,999),FIND(":",MID(TRIM(MID(SUBSTITUTE(K265,";",REPT(" ",99)),199,99)),FIND(":",TRIM(MID(SUBSTITUTE(K265,";",REPT(" ",99)),199,99)))+1,999))-1),_Lookup!$A:$B,2,FALSE),"?")&amp;"×"&amp;LEFT(MID(MID(TRIM(MID(SUBSTITUTE(K265,";",REPT(" ",99)),199,99)),FIND(":",TRIM(MID(SUBSTITUTE(K265,";",REPT(" ",99)),199,99)))+1,999),FIND(":",MID(TRIM(MID(SUBSTITUTE(K265,";",REPT(" ",99)),199,99)),FIND(":",TRIM(MID(SUBSTITUTE(K265,";",REPT(" ",99)),199,99)))+1,999))+1,999),FIND(":",MID(MID(TRIM(MID(SUBSTITUTE(K265,";",REPT(" ",99)),199,99)),FIND(":",TRIM(MID(SUBSTITUTE(K265,";",REPT(" ",99)),199,99)))+1,999),FIND(":",MID(TRIM(MID(SUBSTITUTE(K265,";",REPT(" ",99)),199,99)),FIND(":",TRIM(MID(SUBSTITUTE(K265,";",REPT(" ",99)),199,99)))+1,999))+1,999))-1)),IF(TRIM(MID(SUBSTITUTE(K265,";",REPT(" ",99)),298,99))="","",IFERROR(VLOOKUP(--LEFT(MID(TRIM(MID(SUBSTITUTE(K265,";",REPT(" ",99)),298,99)),FIND(":",TRIM(MID(SUBSTITUTE(K265,";",REPT(" ",99)),298,99)))+1,999),FIND(":",MID(TRIM(MID(SUBSTITUTE(K265,";",REPT(" ",99)),298,99)),FIND(":",TRIM(MID(SUBSTITUTE(K265,";",REPT(" ",99)),298,99)))+1,999))-1),_Lookup!$A:$B,2,FALSE),"?")&amp;"×"&amp;LEFT(MID(MID(TRIM(MID(SUBSTITUTE(K265,";",REPT(" ",99)),298,99)),FIND(":",TRIM(MID(SUBSTITUTE(K265,";",REPT(" ",99)),298,99)))+1,999),FIND(":",MID(TRIM(MID(SUBSTITUTE(K265,";",REPT(" ",99)),298,99)),FIND(":",TRIM(MID(SUBSTITUTE(K265,";",REPT(" ",99)),298,99)))+1,999))+1,999),FIND(":",MID(MID(TRIM(MID(SUBSTITUTE(K265,";",REPT(" ",99)),298,99)),FIND(":",TRIM(MID(SUBSTITUTE(K265,";",REPT(" ",99)),298,99)))+1,999),FIND(":",MID(TRIM(MID(SUBSTITUTE(K265,";",REPT(" ",99)),298,99)),FIND(":",TRIM(MID(SUBSTITUTE(K265,";",REPT(" ",99)),298,99)))+1,999))+1,999))-1)),IF(TRIM(MID(SUBSTITUTE(K265,";",REPT(" ",99)),397,99))="","",IFERROR(VLOOKUP(--LEFT(MID(TRIM(MID(SUBSTITUTE(K265,";",REPT(" ",99)),397,99)),FIND(":",TRIM(MID(SUBSTITUTE(K265,";",REPT(" ",99)),397,99)))+1,999),FIND(":",MID(TRIM(MID(SUBSTITUTE(K265,";",REPT(" ",99)),397,99)),FIND(":",TRIM(MID(SUBSTITUTE(K265,";",REPT(" ",99)),397,99)))+1,999))-1),_Lookup!$A:$B,2,FALSE),"?")&amp;"×"&amp;LEFT(MID(MID(TRIM(MID(SUBSTITUTE(K265,";",REPT(" ",99)),397,99)),FIND(":",TRIM(MID(SUBSTITUTE(K265,";",REPT(" ",99)),397,99)))+1,999),FIND(":",MID(TRIM(MID(SUBSTITUTE(K265,";",REPT(" ",99)),397,99)),FIND(":",TRIM(MID(SUBSTITUTE(K265,";",REPT(" ",99)),397,99)))+1,999))+1,999),FIND(":",MID(MID(TRIM(MID(SUBSTITUTE(K265,";",REPT(" ",99)),397,99)),FIND(":",TRIM(MID(SUBSTITUTE(K265,";",REPT(" ",99)),397,99)))+1,999),FIND(":",MID(TRIM(MID(SUBSTITUTE(K265,";",REPT(" ",99)),397,99)),FIND(":",TRIM(MID(SUBSTITUTE(K265,";",REPT(" ",99)),397,99)))+1,999))+1,999))-1))))</f>
        <v/>
      </c>
    </row>
    <row r="266">
      <c r="D266" s="11">
        <f>IFERROR(VLOOKUP(C266,ItemData_Fish!$A:$B,2,FALSE),"")</f>
        <v/>
      </c>
      <c r="L266" s="11">
        <f>IF(K266="","",TEXTJOIN("; ",TRUE,IF(TRIM(MID(SUBSTITUTE(K266,";",REPT(" ",99)),1,99))="","",IFERROR(VLOOKUP(--LEFT(MID(TRIM(MID(SUBSTITUTE(K266,";",REPT(" ",99)),1,99)),FIND(":",TRIM(MID(SUBSTITUTE(K266,";",REPT(" ",99)),1,99)))+1,999),FIND(":",MID(TRIM(MID(SUBSTITUTE(K266,";",REPT(" ",99)),1,99)),FIND(":",TRIM(MID(SUBSTITUTE(K266,";",REPT(" ",99)),1,99)))+1,999))-1),_Lookup!$A:$B,2,FALSE),"?")&amp;"×"&amp;LEFT(MID(MID(TRIM(MID(SUBSTITUTE(K266,";",REPT(" ",99)),1,99)),FIND(":",TRIM(MID(SUBSTITUTE(K266,";",REPT(" ",99)),1,99)))+1,999),FIND(":",MID(TRIM(MID(SUBSTITUTE(K266,";",REPT(" ",99)),1,99)),FIND(":",TRIM(MID(SUBSTITUTE(K266,";",REPT(" ",99)),1,99)))+1,999))+1,999),FIND(":",MID(MID(TRIM(MID(SUBSTITUTE(K266,";",REPT(" ",99)),1,99)),FIND(":",TRIM(MID(SUBSTITUTE(K266,";",REPT(" ",99)),1,99)))+1,999),FIND(":",MID(TRIM(MID(SUBSTITUTE(K266,";",REPT(" ",99)),1,99)),FIND(":",TRIM(MID(SUBSTITUTE(K266,";",REPT(" ",99)),1,99)))+1,999))+1,999))-1)),IF(TRIM(MID(SUBSTITUTE(K266,";",REPT(" ",99)),100,99))="","",IFERROR(VLOOKUP(--LEFT(MID(TRIM(MID(SUBSTITUTE(K266,";",REPT(" ",99)),100,99)),FIND(":",TRIM(MID(SUBSTITUTE(K266,";",REPT(" ",99)),100,99)))+1,999),FIND(":",MID(TRIM(MID(SUBSTITUTE(K266,";",REPT(" ",99)),100,99)),FIND(":",TRIM(MID(SUBSTITUTE(K266,";",REPT(" ",99)),100,99)))+1,999))-1),_Lookup!$A:$B,2,FALSE),"?")&amp;"×"&amp;LEFT(MID(MID(TRIM(MID(SUBSTITUTE(K266,";",REPT(" ",99)),100,99)),FIND(":",TRIM(MID(SUBSTITUTE(K266,";",REPT(" ",99)),100,99)))+1,999),FIND(":",MID(TRIM(MID(SUBSTITUTE(K266,";",REPT(" ",99)),100,99)),FIND(":",TRIM(MID(SUBSTITUTE(K266,";",REPT(" ",99)),100,99)))+1,999))+1,999),FIND(":",MID(MID(TRIM(MID(SUBSTITUTE(K266,";",REPT(" ",99)),100,99)),FIND(":",TRIM(MID(SUBSTITUTE(K266,";",REPT(" ",99)),100,99)))+1,999),FIND(":",MID(TRIM(MID(SUBSTITUTE(K266,";",REPT(" ",99)),100,99)),FIND(":",TRIM(MID(SUBSTITUTE(K266,";",REPT(" ",99)),100,99)))+1,999))+1,999))-1)),IF(TRIM(MID(SUBSTITUTE(K266,";",REPT(" ",99)),199,99))="","",IFERROR(VLOOKUP(--LEFT(MID(TRIM(MID(SUBSTITUTE(K266,";",REPT(" ",99)),199,99)),FIND(":",TRIM(MID(SUBSTITUTE(K266,";",REPT(" ",99)),199,99)))+1,999),FIND(":",MID(TRIM(MID(SUBSTITUTE(K266,";",REPT(" ",99)),199,99)),FIND(":",TRIM(MID(SUBSTITUTE(K266,";",REPT(" ",99)),199,99)))+1,999))-1),_Lookup!$A:$B,2,FALSE),"?")&amp;"×"&amp;LEFT(MID(MID(TRIM(MID(SUBSTITUTE(K266,";",REPT(" ",99)),199,99)),FIND(":",TRIM(MID(SUBSTITUTE(K266,";",REPT(" ",99)),199,99)))+1,999),FIND(":",MID(TRIM(MID(SUBSTITUTE(K266,";",REPT(" ",99)),199,99)),FIND(":",TRIM(MID(SUBSTITUTE(K266,";",REPT(" ",99)),199,99)))+1,999))+1,999),FIND(":",MID(MID(TRIM(MID(SUBSTITUTE(K266,";",REPT(" ",99)),199,99)),FIND(":",TRIM(MID(SUBSTITUTE(K266,";",REPT(" ",99)),199,99)))+1,999),FIND(":",MID(TRIM(MID(SUBSTITUTE(K266,";",REPT(" ",99)),199,99)),FIND(":",TRIM(MID(SUBSTITUTE(K266,";",REPT(" ",99)),199,99)))+1,999))+1,999))-1)),IF(TRIM(MID(SUBSTITUTE(K266,";",REPT(" ",99)),298,99))="","",IFERROR(VLOOKUP(--LEFT(MID(TRIM(MID(SUBSTITUTE(K266,";",REPT(" ",99)),298,99)),FIND(":",TRIM(MID(SUBSTITUTE(K266,";",REPT(" ",99)),298,99)))+1,999),FIND(":",MID(TRIM(MID(SUBSTITUTE(K266,";",REPT(" ",99)),298,99)),FIND(":",TRIM(MID(SUBSTITUTE(K266,";",REPT(" ",99)),298,99)))+1,999))-1),_Lookup!$A:$B,2,FALSE),"?")&amp;"×"&amp;LEFT(MID(MID(TRIM(MID(SUBSTITUTE(K266,";",REPT(" ",99)),298,99)),FIND(":",TRIM(MID(SUBSTITUTE(K266,";",REPT(" ",99)),298,99)))+1,999),FIND(":",MID(TRIM(MID(SUBSTITUTE(K266,";",REPT(" ",99)),298,99)),FIND(":",TRIM(MID(SUBSTITUTE(K266,";",REPT(" ",99)),298,99)))+1,999))+1,999),FIND(":",MID(MID(TRIM(MID(SUBSTITUTE(K266,";",REPT(" ",99)),298,99)),FIND(":",TRIM(MID(SUBSTITUTE(K266,";",REPT(" ",99)),298,99)))+1,999),FIND(":",MID(TRIM(MID(SUBSTITUTE(K266,";",REPT(" ",99)),298,99)),FIND(":",TRIM(MID(SUBSTITUTE(K266,";",REPT(" ",99)),298,99)))+1,999))+1,999))-1)),IF(TRIM(MID(SUBSTITUTE(K266,";",REPT(" ",99)),397,99))="","",IFERROR(VLOOKUP(--LEFT(MID(TRIM(MID(SUBSTITUTE(K266,";",REPT(" ",99)),397,99)),FIND(":",TRIM(MID(SUBSTITUTE(K266,";",REPT(" ",99)),397,99)))+1,999),FIND(":",MID(TRIM(MID(SUBSTITUTE(K266,";",REPT(" ",99)),397,99)),FIND(":",TRIM(MID(SUBSTITUTE(K266,";",REPT(" ",99)),397,99)))+1,999))-1),_Lookup!$A:$B,2,FALSE),"?")&amp;"×"&amp;LEFT(MID(MID(TRIM(MID(SUBSTITUTE(K266,";",REPT(" ",99)),397,99)),FIND(":",TRIM(MID(SUBSTITUTE(K266,";",REPT(" ",99)),397,99)))+1,999),FIND(":",MID(TRIM(MID(SUBSTITUTE(K266,";",REPT(" ",99)),397,99)),FIND(":",TRIM(MID(SUBSTITUTE(K266,";",REPT(" ",99)),397,99)))+1,999))+1,999),FIND(":",MID(MID(TRIM(MID(SUBSTITUTE(K266,";",REPT(" ",99)),397,99)),FIND(":",TRIM(MID(SUBSTITUTE(K266,";",REPT(" ",99)),397,99)))+1,999),FIND(":",MID(TRIM(MID(SUBSTITUTE(K266,";",REPT(" ",99)),397,99)),FIND(":",TRIM(MID(SUBSTITUTE(K266,";",REPT(" ",99)),397,99)))+1,999))+1,999))-1))))</f>
        <v/>
      </c>
    </row>
    <row r="267">
      <c r="D267" s="11">
        <f>IFERROR(VLOOKUP(C267,ItemData_Fish!$A:$B,2,FALSE),"")</f>
        <v/>
      </c>
      <c r="L267" s="11">
        <f>IF(K267="","",TEXTJOIN("; ",TRUE,IF(TRIM(MID(SUBSTITUTE(K267,";",REPT(" ",99)),1,99))="","",IFERROR(VLOOKUP(--LEFT(MID(TRIM(MID(SUBSTITUTE(K267,";",REPT(" ",99)),1,99)),FIND(":",TRIM(MID(SUBSTITUTE(K267,";",REPT(" ",99)),1,99)))+1,999),FIND(":",MID(TRIM(MID(SUBSTITUTE(K267,";",REPT(" ",99)),1,99)),FIND(":",TRIM(MID(SUBSTITUTE(K267,";",REPT(" ",99)),1,99)))+1,999))-1),_Lookup!$A:$B,2,FALSE),"?")&amp;"×"&amp;LEFT(MID(MID(TRIM(MID(SUBSTITUTE(K267,";",REPT(" ",99)),1,99)),FIND(":",TRIM(MID(SUBSTITUTE(K267,";",REPT(" ",99)),1,99)))+1,999),FIND(":",MID(TRIM(MID(SUBSTITUTE(K267,";",REPT(" ",99)),1,99)),FIND(":",TRIM(MID(SUBSTITUTE(K267,";",REPT(" ",99)),1,99)))+1,999))+1,999),FIND(":",MID(MID(TRIM(MID(SUBSTITUTE(K267,";",REPT(" ",99)),1,99)),FIND(":",TRIM(MID(SUBSTITUTE(K267,";",REPT(" ",99)),1,99)))+1,999),FIND(":",MID(TRIM(MID(SUBSTITUTE(K267,";",REPT(" ",99)),1,99)),FIND(":",TRIM(MID(SUBSTITUTE(K267,";",REPT(" ",99)),1,99)))+1,999))+1,999))-1)),IF(TRIM(MID(SUBSTITUTE(K267,";",REPT(" ",99)),100,99))="","",IFERROR(VLOOKUP(--LEFT(MID(TRIM(MID(SUBSTITUTE(K267,";",REPT(" ",99)),100,99)),FIND(":",TRIM(MID(SUBSTITUTE(K267,";",REPT(" ",99)),100,99)))+1,999),FIND(":",MID(TRIM(MID(SUBSTITUTE(K267,";",REPT(" ",99)),100,99)),FIND(":",TRIM(MID(SUBSTITUTE(K267,";",REPT(" ",99)),100,99)))+1,999))-1),_Lookup!$A:$B,2,FALSE),"?")&amp;"×"&amp;LEFT(MID(MID(TRIM(MID(SUBSTITUTE(K267,";",REPT(" ",99)),100,99)),FIND(":",TRIM(MID(SUBSTITUTE(K267,";",REPT(" ",99)),100,99)))+1,999),FIND(":",MID(TRIM(MID(SUBSTITUTE(K267,";",REPT(" ",99)),100,99)),FIND(":",TRIM(MID(SUBSTITUTE(K267,";",REPT(" ",99)),100,99)))+1,999))+1,999),FIND(":",MID(MID(TRIM(MID(SUBSTITUTE(K267,";",REPT(" ",99)),100,99)),FIND(":",TRIM(MID(SUBSTITUTE(K267,";",REPT(" ",99)),100,99)))+1,999),FIND(":",MID(TRIM(MID(SUBSTITUTE(K267,";",REPT(" ",99)),100,99)),FIND(":",TRIM(MID(SUBSTITUTE(K267,";",REPT(" ",99)),100,99)))+1,999))+1,999))-1)),IF(TRIM(MID(SUBSTITUTE(K267,";",REPT(" ",99)),199,99))="","",IFERROR(VLOOKUP(--LEFT(MID(TRIM(MID(SUBSTITUTE(K267,";",REPT(" ",99)),199,99)),FIND(":",TRIM(MID(SUBSTITUTE(K267,";",REPT(" ",99)),199,99)))+1,999),FIND(":",MID(TRIM(MID(SUBSTITUTE(K267,";",REPT(" ",99)),199,99)),FIND(":",TRIM(MID(SUBSTITUTE(K267,";",REPT(" ",99)),199,99)))+1,999))-1),_Lookup!$A:$B,2,FALSE),"?")&amp;"×"&amp;LEFT(MID(MID(TRIM(MID(SUBSTITUTE(K267,";",REPT(" ",99)),199,99)),FIND(":",TRIM(MID(SUBSTITUTE(K267,";",REPT(" ",99)),199,99)))+1,999),FIND(":",MID(TRIM(MID(SUBSTITUTE(K267,";",REPT(" ",99)),199,99)),FIND(":",TRIM(MID(SUBSTITUTE(K267,";",REPT(" ",99)),199,99)))+1,999))+1,999),FIND(":",MID(MID(TRIM(MID(SUBSTITUTE(K267,";",REPT(" ",99)),199,99)),FIND(":",TRIM(MID(SUBSTITUTE(K267,";",REPT(" ",99)),199,99)))+1,999),FIND(":",MID(TRIM(MID(SUBSTITUTE(K267,";",REPT(" ",99)),199,99)),FIND(":",TRIM(MID(SUBSTITUTE(K267,";",REPT(" ",99)),199,99)))+1,999))+1,999))-1)),IF(TRIM(MID(SUBSTITUTE(K267,";",REPT(" ",99)),298,99))="","",IFERROR(VLOOKUP(--LEFT(MID(TRIM(MID(SUBSTITUTE(K267,";",REPT(" ",99)),298,99)),FIND(":",TRIM(MID(SUBSTITUTE(K267,";",REPT(" ",99)),298,99)))+1,999),FIND(":",MID(TRIM(MID(SUBSTITUTE(K267,";",REPT(" ",99)),298,99)),FIND(":",TRIM(MID(SUBSTITUTE(K267,";",REPT(" ",99)),298,99)))+1,999))-1),_Lookup!$A:$B,2,FALSE),"?")&amp;"×"&amp;LEFT(MID(MID(TRIM(MID(SUBSTITUTE(K267,";",REPT(" ",99)),298,99)),FIND(":",TRIM(MID(SUBSTITUTE(K267,";",REPT(" ",99)),298,99)))+1,999),FIND(":",MID(TRIM(MID(SUBSTITUTE(K267,";",REPT(" ",99)),298,99)),FIND(":",TRIM(MID(SUBSTITUTE(K267,";",REPT(" ",99)),298,99)))+1,999))+1,999),FIND(":",MID(MID(TRIM(MID(SUBSTITUTE(K267,";",REPT(" ",99)),298,99)),FIND(":",TRIM(MID(SUBSTITUTE(K267,";",REPT(" ",99)),298,99)))+1,999),FIND(":",MID(TRIM(MID(SUBSTITUTE(K267,";",REPT(" ",99)),298,99)),FIND(":",TRIM(MID(SUBSTITUTE(K267,";",REPT(" ",99)),298,99)))+1,999))+1,999))-1)),IF(TRIM(MID(SUBSTITUTE(K267,";",REPT(" ",99)),397,99))="","",IFERROR(VLOOKUP(--LEFT(MID(TRIM(MID(SUBSTITUTE(K267,";",REPT(" ",99)),397,99)),FIND(":",TRIM(MID(SUBSTITUTE(K267,";",REPT(" ",99)),397,99)))+1,999),FIND(":",MID(TRIM(MID(SUBSTITUTE(K267,";",REPT(" ",99)),397,99)),FIND(":",TRIM(MID(SUBSTITUTE(K267,";",REPT(" ",99)),397,99)))+1,999))-1),_Lookup!$A:$B,2,FALSE),"?")&amp;"×"&amp;LEFT(MID(MID(TRIM(MID(SUBSTITUTE(K267,";",REPT(" ",99)),397,99)),FIND(":",TRIM(MID(SUBSTITUTE(K267,";",REPT(" ",99)),397,99)))+1,999),FIND(":",MID(TRIM(MID(SUBSTITUTE(K267,";",REPT(" ",99)),397,99)),FIND(":",TRIM(MID(SUBSTITUTE(K267,";",REPT(" ",99)),397,99)))+1,999))+1,999),FIND(":",MID(MID(TRIM(MID(SUBSTITUTE(K267,";",REPT(" ",99)),397,99)),FIND(":",TRIM(MID(SUBSTITUTE(K267,";",REPT(" ",99)),397,99)))+1,999),FIND(":",MID(TRIM(MID(SUBSTITUTE(K267,";",REPT(" ",99)),397,99)),FIND(":",TRIM(MID(SUBSTITUTE(K267,";",REPT(" ",99)),397,99)))+1,999))+1,999))-1))))</f>
        <v/>
      </c>
    </row>
    <row r="268">
      <c r="D268" s="11">
        <f>IFERROR(VLOOKUP(C268,ItemData_Fish!$A:$B,2,FALSE),"")</f>
        <v/>
      </c>
      <c r="L268" s="11">
        <f>IF(K268="","",TEXTJOIN("; ",TRUE,IF(TRIM(MID(SUBSTITUTE(K268,";",REPT(" ",99)),1,99))="","",IFERROR(VLOOKUP(--LEFT(MID(TRIM(MID(SUBSTITUTE(K268,";",REPT(" ",99)),1,99)),FIND(":",TRIM(MID(SUBSTITUTE(K268,";",REPT(" ",99)),1,99)))+1,999),FIND(":",MID(TRIM(MID(SUBSTITUTE(K268,";",REPT(" ",99)),1,99)),FIND(":",TRIM(MID(SUBSTITUTE(K268,";",REPT(" ",99)),1,99)))+1,999))-1),_Lookup!$A:$B,2,FALSE),"?")&amp;"×"&amp;LEFT(MID(MID(TRIM(MID(SUBSTITUTE(K268,";",REPT(" ",99)),1,99)),FIND(":",TRIM(MID(SUBSTITUTE(K268,";",REPT(" ",99)),1,99)))+1,999),FIND(":",MID(TRIM(MID(SUBSTITUTE(K268,";",REPT(" ",99)),1,99)),FIND(":",TRIM(MID(SUBSTITUTE(K268,";",REPT(" ",99)),1,99)))+1,999))+1,999),FIND(":",MID(MID(TRIM(MID(SUBSTITUTE(K268,";",REPT(" ",99)),1,99)),FIND(":",TRIM(MID(SUBSTITUTE(K268,";",REPT(" ",99)),1,99)))+1,999),FIND(":",MID(TRIM(MID(SUBSTITUTE(K268,";",REPT(" ",99)),1,99)),FIND(":",TRIM(MID(SUBSTITUTE(K268,";",REPT(" ",99)),1,99)))+1,999))+1,999))-1)),IF(TRIM(MID(SUBSTITUTE(K268,";",REPT(" ",99)),100,99))="","",IFERROR(VLOOKUP(--LEFT(MID(TRIM(MID(SUBSTITUTE(K268,";",REPT(" ",99)),100,99)),FIND(":",TRIM(MID(SUBSTITUTE(K268,";",REPT(" ",99)),100,99)))+1,999),FIND(":",MID(TRIM(MID(SUBSTITUTE(K268,";",REPT(" ",99)),100,99)),FIND(":",TRIM(MID(SUBSTITUTE(K268,";",REPT(" ",99)),100,99)))+1,999))-1),_Lookup!$A:$B,2,FALSE),"?")&amp;"×"&amp;LEFT(MID(MID(TRIM(MID(SUBSTITUTE(K268,";",REPT(" ",99)),100,99)),FIND(":",TRIM(MID(SUBSTITUTE(K268,";",REPT(" ",99)),100,99)))+1,999),FIND(":",MID(TRIM(MID(SUBSTITUTE(K268,";",REPT(" ",99)),100,99)),FIND(":",TRIM(MID(SUBSTITUTE(K268,";",REPT(" ",99)),100,99)))+1,999))+1,999),FIND(":",MID(MID(TRIM(MID(SUBSTITUTE(K268,";",REPT(" ",99)),100,99)),FIND(":",TRIM(MID(SUBSTITUTE(K268,";",REPT(" ",99)),100,99)))+1,999),FIND(":",MID(TRIM(MID(SUBSTITUTE(K268,";",REPT(" ",99)),100,99)),FIND(":",TRIM(MID(SUBSTITUTE(K268,";",REPT(" ",99)),100,99)))+1,999))+1,999))-1)),IF(TRIM(MID(SUBSTITUTE(K268,";",REPT(" ",99)),199,99))="","",IFERROR(VLOOKUP(--LEFT(MID(TRIM(MID(SUBSTITUTE(K268,";",REPT(" ",99)),199,99)),FIND(":",TRIM(MID(SUBSTITUTE(K268,";",REPT(" ",99)),199,99)))+1,999),FIND(":",MID(TRIM(MID(SUBSTITUTE(K268,";",REPT(" ",99)),199,99)),FIND(":",TRIM(MID(SUBSTITUTE(K268,";",REPT(" ",99)),199,99)))+1,999))-1),_Lookup!$A:$B,2,FALSE),"?")&amp;"×"&amp;LEFT(MID(MID(TRIM(MID(SUBSTITUTE(K268,";",REPT(" ",99)),199,99)),FIND(":",TRIM(MID(SUBSTITUTE(K268,";",REPT(" ",99)),199,99)))+1,999),FIND(":",MID(TRIM(MID(SUBSTITUTE(K268,";",REPT(" ",99)),199,99)),FIND(":",TRIM(MID(SUBSTITUTE(K268,";",REPT(" ",99)),199,99)))+1,999))+1,999),FIND(":",MID(MID(TRIM(MID(SUBSTITUTE(K268,";",REPT(" ",99)),199,99)),FIND(":",TRIM(MID(SUBSTITUTE(K268,";",REPT(" ",99)),199,99)))+1,999),FIND(":",MID(TRIM(MID(SUBSTITUTE(K268,";",REPT(" ",99)),199,99)),FIND(":",TRIM(MID(SUBSTITUTE(K268,";",REPT(" ",99)),199,99)))+1,999))+1,999))-1)),IF(TRIM(MID(SUBSTITUTE(K268,";",REPT(" ",99)),298,99))="","",IFERROR(VLOOKUP(--LEFT(MID(TRIM(MID(SUBSTITUTE(K268,";",REPT(" ",99)),298,99)),FIND(":",TRIM(MID(SUBSTITUTE(K268,";",REPT(" ",99)),298,99)))+1,999),FIND(":",MID(TRIM(MID(SUBSTITUTE(K268,";",REPT(" ",99)),298,99)),FIND(":",TRIM(MID(SUBSTITUTE(K268,";",REPT(" ",99)),298,99)))+1,999))-1),_Lookup!$A:$B,2,FALSE),"?")&amp;"×"&amp;LEFT(MID(MID(TRIM(MID(SUBSTITUTE(K268,";",REPT(" ",99)),298,99)),FIND(":",TRIM(MID(SUBSTITUTE(K268,";",REPT(" ",99)),298,99)))+1,999),FIND(":",MID(TRIM(MID(SUBSTITUTE(K268,";",REPT(" ",99)),298,99)),FIND(":",TRIM(MID(SUBSTITUTE(K268,";",REPT(" ",99)),298,99)))+1,999))+1,999),FIND(":",MID(MID(TRIM(MID(SUBSTITUTE(K268,";",REPT(" ",99)),298,99)),FIND(":",TRIM(MID(SUBSTITUTE(K268,";",REPT(" ",99)),298,99)))+1,999),FIND(":",MID(TRIM(MID(SUBSTITUTE(K268,";",REPT(" ",99)),298,99)),FIND(":",TRIM(MID(SUBSTITUTE(K268,";",REPT(" ",99)),298,99)))+1,999))+1,999))-1)),IF(TRIM(MID(SUBSTITUTE(K268,";",REPT(" ",99)),397,99))="","",IFERROR(VLOOKUP(--LEFT(MID(TRIM(MID(SUBSTITUTE(K268,";",REPT(" ",99)),397,99)),FIND(":",TRIM(MID(SUBSTITUTE(K268,";",REPT(" ",99)),397,99)))+1,999),FIND(":",MID(TRIM(MID(SUBSTITUTE(K268,";",REPT(" ",99)),397,99)),FIND(":",TRIM(MID(SUBSTITUTE(K268,";",REPT(" ",99)),397,99)))+1,999))-1),_Lookup!$A:$B,2,FALSE),"?")&amp;"×"&amp;LEFT(MID(MID(TRIM(MID(SUBSTITUTE(K268,";",REPT(" ",99)),397,99)),FIND(":",TRIM(MID(SUBSTITUTE(K268,";",REPT(" ",99)),397,99)))+1,999),FIND(":",MID(TRIM(MID(SUBSTITUTE(K268,";",REPT(" ",99)),397,99)),FIND(":",TRIM(MID(SUBSTITUTE(K268,";",REPT(" ",99)),397,99)))+1,999))+1,999),FIND(":",MID(MID(TRIM(MID(SUBSTITUTE(K268,";",REPT(" ",99)),397,99)),FIND(":",TRIM(MID(SUBSTITUTE(K268,";",REPT(" ",99)),397,99)))+1,999),FIND(":",MID(TRIM(MID(SUBSTITUTE(K268,";",REPT(" ",99)),397,99)),FIND(":",TRIM(MID(SUBSTITUTE(K268,";",REPT(" ",99)),397,99)))+1,999))+1,999))-1))))</f>
        <v/>
      </c>
    </row>
    <row r="269">
      <c r="D269" s="11">
        <f>IFERROR(VLOOKUP(C269,ItemData_Fish!$A:$B,2,FALSE),"")</f>
        <v/>
      </c>
      <c r="L269" s="11">
        <f>IF(K269="","",TEXTJOIN("; ",TRUE,IF(TRIM(MID(SUBSTITUTE(K269,";",REPT(" ",99)),1,99))="","",IFERROR(VLOOKUP(--LEFT(MID(TRIM(MID(SUBSTITUTE(K269,";",REPT(" ",99)),1,99)),FIND(":",TRIM(MID(SUBSTITUTE(K269,";",REPT(" ",99)),1,99)))+1,999),FIND(":",MID(TRIM(MID(SUBSTITUTE(K269,";",REPT(" ",99)),1,99)),FIND(":",TRIM(MID(SUBSTITUTE(K269,";",REPT(" ",99)),1,99)))+1,999))-1),_Lookup!$A:$B,2,FALSE),"?")&amp;"×"&amp;LEFT(MID(MID(TRIM(MID(SUBSTITUTE(K269,";",REPT(" ",99)),1,99)),FIND(":",TRIM(MID(SUBSTITUTE(K269,";",REPT(" ",99)),1,99)))+1,999),FIND(":",MID(TRIM(MID(SUBSTITUTE(K269,";",REPT(" ",99)),1,99)),FIND(":",TRIM(MID(SUBSTITUTE(K269,";",REPT(" ",99)),1,99)))+1,999))+1,999),FIND(":",MID(MID(TRIM(MID(SUBSTITUTE(K269,";",REPT(" ",99)),1,99)),FIND(":",TRIM(MID(SUBSTITUTE(K269,";",REPT(" ",99)),1,99)))+1,999),FIND(":",MID(TRIM(MID(SUBSTITUTE(K269,";",REPT(" ",99)),1,99)),FIND(":",TRIM(MID(SUBSTITUTE(K269,";",REPT(" ",99)),1,99)))+1,999))+1,999))-1)),IF(TRIM(MID(SUBSTITUTE(K269,";",REPT(" ",99)),100,99))="","",IFERROR(VLOOKUP(--LEFT(MID(TRIM(MID(SUBSTITUTE(K269,";",REPT(" ",99)),100,99)),FIND(":",TRIM(MID(SUBSTITUTE(K269,";",REPT(" ",99)),100,99)))+1,999),FIND(":",MID(TRIM(MID(SUBSTITUTE(K269,";",REPT(" ",99)),100,99)),FIND(":",TRIM(MID(SUBSTITUTE(K269,";",REPT(" ",99)),100,99)))+1,999))-1),_Lookup!$A:$B,2,FALSE),"?")&amp;"×"&amp;LEFT(MID(MID(TRIM(MID(SUBSTITUTE(K269,";",REPT(" ",99)),100,99)),FIND(":",TRIM(MID(SUBSTITUTE(K269,";",REPT(" ",99)),100,99)))+1,999),FIND(":",MID(TRIM(MID(SUBSTITUTE(K269,";",REPT(" ",99)),100,99)),FIND(":",TRIM(MID(SUBSTITUTE(K269,";",REPT(" ",99)),100,99)))+1,999))+1,999),FIND(":",MID(MID(TRIM(MID(SUBSTITUTE(K269,";",REPT(" ",99)),100,99)),FIND(":",TRIM(MID(SUBSTITUTE(K269,";",REPT(" ",99)),100,99)))+1,999),FIND(":",MID(TRIM(MID(SUBSTITUTE(K269,";",REPT(" ",99)),100,99)),FIND(":",TRIM(MID(SUBSTITUTE(K269,";",REPT(" ",99)),100,99)))+1,999))+1,999))-1)),IF(TRIM(MID(SUBSTITUTE(K269,";",REPT(" ",99)),199,99))="","",IFERROR(VLOOKUP(--LEFT(MID(TRIM(MID(SUBSTITUTE(K269,";",REPT(" ",99)),199,99)),FIND(":",TRIM(MID(SUBSTITUTE(K269,";",REPT(" ",99)),199,99)))+1,999),FIND(":",MID(TRIM(MID(SUBSTITUTE(K269,";",REPT(" ",99)),199,99)),FIND(":",TRIM(MID(SUBSTITUTE(K269,";",REPT(" ",99)),199,99)))+1,999))-1),_Lookup!$A:$B,2,FALSE),"?")&amp;"×"&amp;LEFT(MID(MID(TRIM(MID(SUBSTITUTE(K269,";",REPT(" ",99)),199,99)),FIND(":",TRIM(MID(SUBSTITUTE(K269,";",REPT(" ",99)),199,99)))+1,999),FIND(":",MID(TRIM(MID(SUBSTITUTE(K269,";",REPT(" ",99)),199,99)),FIND(":",TRIM(MID(SUBSTITUTE(K269,";",REPT(" ",99)),199,99)))+1,999))+1,999),FIND(":",MID(MID(TRIM(MID(SUBSTITUTE(K269,";",REPT(" ",99)),199,99)),FIND(":",TRIM(MID(SUBSTITUTE(K269,";",REPT(" ",99)),199,99)))+1,999),FIND(":",MID(TRIM(MID(SUBSTITUTE(K269,";",REPT(" ",99)),199,99)),FIND(":",TRIM(MID(SUBSTITUTE(K269,";",REPT(" ",99)),199,99)))+1,999))+1,999))-1)),IF(TRIM(MID(SUBSTITUTE(K269,";",REPT(" ",99)),298,99))="","",IFERROR(VLOOKUP(--LEFT(MID(TRIM(MID(SUBSTITUTE(K269,";",REPT(" ",99)),298,99)),FIND(":",TRIM(MID(SUBSTITUTE(K269,";",REPT(" ",99)),298,99)))+1,999),FIND(":",MID(TRIM(MID(SUBSTITUTE(K269,";",REPT(" ",99)),298,99)),FIND(":",TRIM(MID(SUBSTITUTE(K269,";",REPT(" ",99)),298,99)))+1,999))-1),_Lookup!$A:$B,2,FALSE),"?")&amp;"×"&amp;LEFT(MID(MID(TRIM(MID(SUBSTITUTE(K269,";",REPT(" ",99)),298,99)),FIND(":",TRIM(MID(SUBSTITUTE(K269,";",REPT(" ",99)),298,99)))+1,999),FIND(":",MID(TRIM(MID(SUBSTITUTE(K269,";",REPT(" ",99)),298,99)),FIND(":",TRIM(MID(SUBSTITUTE(K269,";",REPT(" ",99)),298,99)))+1,999))+1,999),FIND(":",MID(MID(TRIM(MID(SUBSTITUTE(K269,";",REPT(" ",99)),298,99)),FIND(":",TRIM(MID(SUBSTITUTE(K269,";",REPT(" ",99)),298,99)))+1,999),FIND(":",MID(TRIM(MID(SUBSTITUTE(K269,";",REPT(" ",99)),298,99)),FIND(":",TRIM(MID(SUBSTITUTE(K269,";",REPT(" ",99)),298,99)))+1,999))+1,999))-1)),IF(TRIM(MID(SUBSTITUTE(K269,";",REPT(" ",99)),397,99))="","",IFERROR(VLOOKUP(--LEFT(MID(TRIM(MID(SUBSTITUTE(K269,";",REPT(" ",99)),397,99)),FIND(":",TRIM(MID(SUBSTITUTE(K269,";",REPT(" ",99)),397,99)))+1,999),FIND(":",MID(TRIM(MID(SUBSTITUTE(K269,";",REPT(" ",99)),397,99)),FIND(":",TRIM(MID(SUBSTITUTE(K269,";",REPT(" ",99)),397,99)))+1,999))-1),_Lookup!$A:$B,2,FALSE),"?")&amp;"×"&amp;LEFT(MID(MID(TRIM(MID(SUBSTITUTE(K269,";",REPT(" ",99)),397,99)),FIND(":",TRIM(MID(SUBSTITUTE(K269,";",REPT(" ",99)),397,99)))+1,999),FIND(":",MID(TRIM(MID(SUBSTITUTE(K269,";",REPT(" ",99)),397,99)),FIND(":",TRIM(MID(SUBSTITUTE(K269,";",REPT(" ",99)),397,99)))+1,999))+1,999),FIND(":",MID(MID(TRIM(MID(SUBSTITUTE(K269,";",REPT(" ",99)),397,99)),FIND(":",TRIM(MID(SUBSTITUTE(K269,";",REPT(" ",99)),397,99)))+1,999),FIND(":",MID(TRIM(MID(SUBSTITUTE(K269,";",REPT(" ",99)),397,99)),FIND(":",TRIM(MID(SUBSTITUTE(K269,";",REPT(" ",99)),397,99)))+1,999))+1,999))-1))))</f>
        <v/>
      </c>
    </row>
    <row r="270">
      <c r="D270" s="11">
        <f>IFERROR(VLOOKUP(C270,ItemData_Fish!$A:$B,2,FALSE),"")</f>
        <v/>
      </c>
      <c r="L270" s="11">
        <f>IF(K270="","",TEXTJOIN("; ",TRUE,IF(TRIM(MID(SUBSTITUTE(K270,";",REPT(" ",99)),1,99))="","",IFERROR(VLOOKUP(--LEFT(MID(TRIM(MID(SUBSTITUTE(K270,";",REPT(" ",99)),1,99)),FIND(":",TRIM(MID(SUBSTITUTE(K270,";",REPT(" ",99)),1,99)))+1,999),FIND(":",MID(TRIM(MID(SUBSTITUTE(K270,";",REPT(" ",99)),1,99)),FIND(":",TRIM(MID(SUBSTITUTE(K270,";",REPT(" ",99)),1,99)))+1,999))-1),_Lookup!$A:$B,2,FALSE),"?")&amp;"×"&amp;LEFT(MID(MID(TRIM(MID(SUBSTITUTE(K270,";",REPT(" ",99)),1,99)),FIND(":",TRIM(MID(SUBSTITUTE(K270,";",REPT(" ",99)),1,99)))+1,999),FIND(":",MID(TRIM(MID(SUBSTITUTE(K270,";",REPT(" ",99)),1,99)),FIND(":",TRIM(MID(SUBSTITUTE(K270,";",REPT(" ",99)),1,99)))+1,999))+1,999),FIND(":",MID(MID(TRIM(MID(SUBSTITUTE(K270,";",REPT(" ",99)),1,99)),FIND(":",TRIM(MID(SUBSTITUTE(K270,";",REPT(" ",99)),1,99)))+1,999),FIND(":",MID(TRIM(MID(SUBSTITUTE(K270,";",REPT(" ",99)),1,99)),FIND(":",TRIM(MID(SUBSTITUTE(K270,";",REPT(" ",99)),1,99)))+1,999))+1,999))-1)),IF(TRIM(MID(SUBSTITUTE(K270,";",REPT(" ",99)),100,99))="","",IFERROR(VLOOKUP(--LEFT(MID(TRIM(MID(SUBSTITUTE(K270,";",REPT(" ",99)),100,99)),FIND(":",TRIM(MID(SUBSTITUTE(K270,";",REPT(" ",99)),100,99)))+1,999),FIND(":",MID(TRIM(MID(SUBSTITUTE(K270,";",REPT(" ",99)),100,99)),FIND(":",TRIM(MID(SUBSTITUTE(K270,";",REPT(" ",99)),100,99)))+1,999))-1),_Lookup!$A:$B,2,FALSE),"?")&amp;"×"&amp;LEFT(MID(MID(TRIM(MID(SUBSTITUTE(K270,";",REPT(" ",99)),100,99)),FIND(":",TRIM(MID(SUBSTITUTE(K270,";",REPT(" ",99)),100,99)))+1,999),FIND(":",MID(TRIM(MID(SUBSTITUTE(K270,";",REPT(" ",99)),100,99)),FIND(":",TRIM(MID(SUBSTITUTE(K270,";",REPT(" ",99)),100,99)))+1,999))+1,999),FIND(":",MID(MID(TRIM(MID(SUBSTITUTE(K270,";",REPT(" ",99)),100,99)),FIND(":",TRIM(MID(SUBSTITUTE(K270,";",REPT(" ",99)),100,99)))+1,999),FIND(":",MID(TRIM(MID(SUBSTITUTE(K270,";",REPT(" ",99)),100,99)),FIND(":",TRIM(MID(SUBSTITUTE(K270,";",REPT(" ",99)),100,99)))+1,999))+1,999))-1)),IF(TRIM(MID(SUBSTITUTE(K270,";",REPT(" ",99)),199,99))="","",IFERROR(VLOOKUP(--LEFT(MID(TRIM(MID(SUBSTITUTE(K270,";",REPT(" ",99)),199,99)),FIND(":",TRIM(MID(SUBSTITUTE(K270,";",REPT(" ",99)),199,99)))+1,999),FIND(":",MID(TRIM(MID(SUBSTITUTE(K270,";",REPT(" ",99)),199,99)),FIND(":",TRIM(MID(SUBSTITUTE(K270,";",REPT(" ",99)),199,99)))+1,999))-1),_Lookup!$A:$B,2,FALSE),"?")&amp;"×"&amp;LEFT(MID(MID(TRIM(MID(SUBSTITUTE(K270,";",REPT(" ",99)),199,99)),FIND(":",TRIM(MID(SUBSTITUTE(K270,";",REPT(" ",99)),199,99)))+1,999),FIND(":",MID(TRIM(MID(SUBSTITUTE(K270,";",REPT(" ",99)),199,99)),FIND(":",TRIM(MID(SUBSTITUTE(K270,";",REPT(" ",99)),199,99)))+1,999))+1,999),FIND(":",MID(MID(TRIM(MID(SUBSTITUTE(K270,";",REPT(" ",99)),199,99)),FIND(":",TRIM(MID(SUBSTITUTE(K270,";",REPT(" ",99)),199,99)))+1,999),FIND(":",MID(TRIM(MID(SUBSTITUTE(K270,";",REPT(" ",99)),199,99)),FIND(":",TRIM(MID(SUBSTITUTE(K270,";",REPT(" ",99)),199,99)))+1,999))+1,999))-1)),IF(TRIM(MID(SUBSTITUTE(K270,";",REPT(" ",99)),298,99))="","",IFERROR(VLOOKUP(--LEFT(MID(TRIM(MID(SUBSTITUTE(K270,";",REPT(" ",99)),298,99)),FIND(":",TRIM(MID(SUBSTITUTE(K270,";",REPT(" ",99)),298,99)))+1,999),FIND(":",MID(TRIM(MID(SUBSTITUTE(K270,";",REPT(" ",99)),298,99)),FIND(":",TRIM(MID(SUBSTITUTE(K270,";",REPT(" ",99)),298,99)))+1,999))-1),_Lookup!$A:$B,2,FALSE),"?")&amp;"×"&amp;LEFT(MID(MID(TRIM(MID(SUBSTITUTE(K270,";",REPT(" ",99)),298,99)),FIND(":",TRIM(MID(SUBSTITUTE(K270,";",REPT(" ",99)),298,99)))+1,999),FIND(":",MID(TRIM(MID(SUBSTITUTE(K270,";",REPT(" ",99)),298,99)),FIND(":",TRIM(MID(SUBSTITUTE(K270,";",REPT(" ",99)),298,99)))+1,999))+1,999),FIND(":",MID(MID(TRIM(MID(SUBSTITUTE(K270,";",REPT(" ",99)),298,99)),FIND(":",TRIM(MID(SUBSTITUTE(K270,";",REPT(" ",99)),298,99)))+1,999),FIND(":",MID(TRIM(MID(SUBSTITUTE(K270,";",REPT(" ",99)),298,99)),FIND(":",TRIM(MID(SUBSTITUTE(K270,";",REPT(" ",99)),298,99)))+1,999))+1,999))-1)),IF(TRIM(MID(SUBSTITUTE(K270,";",REPT(" ",99)),397,99))="","",IFERROR(VLOOKUP(--LEFT(MID(TRIM(MID(SUBSTITUTE(K270,";",REPT(" ",99)),397,99)),FIND(":",TRIM(MID(SUBSTITUTE(K270,";",REPT(" ",99)),397,99)))+1,999),FIND(":",MID(TRIM(MID(SUBSTITUTE(K270,";",REPT(" ",99)),397,99)),FIND(":",TRIM(MID(SUBSTITUTE(K270,";",REPT(" ",99)),397,99)))+1,999))-1),_Lookup!$A:$B,2,FALSE),"?")&amp;"×"&amp;LEFT(MID(MID(TRIM(MID(SUBSTITUTE(K270,";",REPT(" ",99)),397,99)),FIND(":",TRIM(MID(SUBSTITUTE(K270,";",REPT(" ",99)),397,99)))+1,999),FIND(":",MID(TRIM(MID(SUBSTITUTE(K270,";",REPT(" ",99)),397,99)),FIND(":",TRIM(MID(SUBSTITUTE(K270,";",REPT(" ",99)),397,99)))+1,999))+1,999),FIND(":",MID(MID(TRIM(MID(SUBSTITUTE(K270,";",REPT(" ",99)),397,99)),FIND(":",TRIM(MID(SUBSTITUTE(K270,";",REPT(" ",99)),397,99)))+1,999),FIND(":",MID(TRIM(MID(SUBSTITUTE(K270,";",REPT(" ",99)),397,99)),FIND(":",TRIM(MID(SUBSTITUTE(K270,";",REPT(" ",99)),397,99)))+1,999))+1,999))-1))))</f>
        <v/>
      </c>
    </row>
    <row r="271">
      <c r="D271" s="11">
        <f>IFERROR(VLOOKUP(C271,ItemData_Fish!$A:$B,2,FALSE),"")</f>
        <v/>
      </c>
      <c r="L271" s="11">
        <f>IF(K271="","",TEXTJOIN("; ",TRUE,IF(TRIM(MID(SUBSTITUTE(K271,";",REPT(" ",99)),1,99))="","",IFERROR(VLOOKUP(--LEFT(MID(TRIM(MID(SUBSTITUTE(K271,";",REPT(" ",99)),1,99)),FIND(":",TRIM(MID(SUBSTITUTE(K271,";",REPT(" ",99)),1,99)))+1,999),FIND(":",MID(TRIM(MID(SUBSTITUTE(K271,";",REPT(" ",99)),1,99)),FIND(":",TRIM(MID(SUBSTITUTE(K271,";",REPT(" ",99)),1,99)))+1,999))-1),_Lookup!$A:$B,2,FALSE),"?")&amp;"×"&amp;LEFT(MID(MID(TRIM(MID(SUBSTITUTE(K271,";",REPT(" ",99)),1,99)),FIND(":",TRIM(MID(SUBSTITUTE(K271,";",REPT(" ",99)),1,99)))+1,999),FIND(":",MID(TRIM(MID(SUBSTITUTE(K271,";",REPT(" ",99)),1,99)),FIND(":",TRIM(MID(SUBSTITUTE(K271,";",REPT(" ",99)),1,99)))+1,999))+1,999),FIND(":",MID(MID(TRIM(MID(SUBSTITUTE(K271,";",REPT(" ",99)),1,99)),FIND(":",TRIM(MID(SUBSTITUTE(K271,";",REPT(" ",99)),1,99)))+1,999),FIND(":",MID(TRIM(MID(SUBSTITUTE(K271,";",REPT(" ",99)),1,99)),FIND(":",TRIM(MID(SUBSTITUTE(K271,";",REPT(" ",99)),1,99)))+1,999))+1,999))-1)),IF(TRIM(MID(SUBSTITUTE(K271,";",REPT(" ",99)),100,99))="","",IFERROR(VLOOKUP(--LEFT(MID(TRIM(MID(SUBSTITUTE(K271,";",REPT(" ",99)),100,99)),FIND(":",TRIM(MID(SUBSTITUTE(K271,";",REPT(" ",99)),100,99)))+1,999),FIND(":",MID(TRIM(MID(SUBSTITUTE(K271,";",REPT(" ",99)),100,99)),FIND(":",TRIM(MID(SUBSTITUTE(K271,";",REPT(" ",99)),100,99)))+1,999))-1),_Lookup!$A:$B,2,FALSE),"?")&amp;"×"&amp;LEFT(MID(MID(TRIM(MID(SUBSTITUTE(K271,";",REPT(" ",99)),100,99)),FIND(":",TRIM(MID(SUBSTITUTE(K271,";",REPT(" ",99)),100,99)))+1,999),FIND(":",MID(TRIM(MID(SUBSTITUTE(K271,";",REPT(" ",99)),100,99)),FIND(":",TRIM(MID(SUBSTITUTE(K271,";",REPT(" ",99)),100,99)))+1,999))+1,999),FIND(":",MID(MID(TRIM(MID(SUBSTITUTE(K271,";",REPT(" ",99)),100,99)),FIND(":",TRIM(MID(SUBSTITUTE(K271,";",REPT(" ",99)),100,99)))+1,999),FIND(":",MID(TRIM(MID(SUBSTITUTE(K271,";",REPT(" ",99)),100,99)),FIND(":",TRIM(MID(SUBSTITUTE(K271,";",REPT(" ",99)),100,99)))+1,999))+1,999))-1)),IF(TRIM(MID(SUBSTITUTE(K271,";",REPT(" ",99)),199,99))="","",IFERROR(VLOOKUP(--LEFT(MID(TRIM(MID(SUBSTITUTE(K271,";",REPT(" ",99)),199,99)),FIND(":",TRIM(MID(SUBSTITUTE(K271,";",REPT(" ",99)),199,99)))+1,999),FIND(":",MID(TRIM(MID(SUBSTITUTE(K271,";",REPT(" ",99)),199,99)),FIND(":",TRIM(MID(SUBSTITUTE(K271,";",REPT(" ",99)),199,99)))+1,999))-1),_Lookup!$A:$B,2,FALSE),"?")&amp;"×"&amp;LEFT(MID(MID(TRIM(MID(SUBSTITUTE(K271,";",REPT(" ",99)),199,99)),FIND(":",TRIM(MID(SUBSTITUTE(K271,";",REPT(" ",99)),199,99)))+1,999),FIND(":",MID(TRIM(MID(SUBSTITUTE(K271,";",REPT(" ",99)),199,99)),FIND(":",TRIM(MID(SUBSTITUTE(K271,";",REPT(" ",99)),199,99)))+1,999))+1,999),FIND(":",MID(MID(TRIM(MID(SUBSTITUTE(K271,";",REPT(" ",99)),199,99)),FIND(":",TRIM(MID(SUBSTITUTE(K271,";",REPT(" ",99)),199,99)))+1,999),FIND(":",MID(TRIM(MID(SUBSTITUTE(K271,";",REPT(" ",99)),199,99)),FIND(":",TRIM(MID(SUBSTITUTE(K271,";",REPT(" ",99)),199,99)))+1,999))+1,999))-1)),IF(TRIM(MID(SUBSTITUTE(K271,";",REPT(" ",99)),298,99))="","",IFERROR(VLOOKUP(--LEFT(MID(TRIM(MID(SUBSTITUTE(K271,";",REPT(" ",99)),298,99)),FIND(":",TRIM(MID(SUBSTITUTE(K271,";",REPT(" ",99)),298,99)))+1,999),FIND(":",MID(TRIM(MID(SUBSTITUTE(K271,";",REPT(" ",99)),298,99)),FIND(":",TRIM(MID(SUBSTITUTE(K271,";",REPT(" ",99)),298,99)))+1,999))-1),_Lookup!$A:$B,2,FALSE),"?")&amp;"×"&amp;LEFT(MID(MID(TRIM(MID(SUBSTITUTE(K271,";",REPT(" ",99)),298,99)),FIND(":",TRIM(MID(SUBSTITUTE(K271,";",REPT(" ",99)),298,99)))+1,999),FIND(":",MID(TRIM(MID(SUBSTITUTE(K271,";",REPT(" ",99)),298,99)),FIND(":",TRIM(MID(SUBSTITUTE(K271,";",REPT(" ",99)),298,99)))+1,999))+1,999),FIND(":",MID(MID(TRIM(MID(SUBSTITUTE(K271,";",REPT(" ",99)),298,99)),FIND(":",TRIM(MID(SUBSTITUTE(K271,";",REPT(" ",99)),298,99)))+1,999),FIND(":",MID(TRIM(MID(SUBSTITUTE(K271,";",REPT(" ",99)),298,99)),FIND(":",TRIM(MID(SUBSTITUTE(K271,";",REPT(" ",99)),298,99)))+1,999))+1,999))-1)),IF(TRIM(MID(SUBSTITUTE(K271,";",REPT(" ",99)),397,99))="","",IFERROR(VLOOKUP(--LEFT(MID(TRIM(MID(SUBSTITUTE(K271,";",REPT(" ",99)),397,99)),FIND(":",TRIM(MID(SUBSTITUTE(K271,";",REPT(" ",99)),397,99)))+1,999),FIND(":",MID(TRIM(MID(SUBSTITUTE(K271,";",REPT(" ",99)),397,99)),FIND(":",TRIM(MID(SUBSTITUTE(K271,";",REPT(" ",99)),397,99)))+1,999))-1),_Lookup!$A:$B,2,FALSE),"?")&amp;"×"&amp;LEFT(MID(MID(TRIM(MID(SUBSTITUTE(K271,";",REPT(" ",99)),397,99)),FIND(":",TRIM(MID(SUBSTITUTE(K271,";",REPT(" ",99)),397,99)))+1,999),FIND(":",MID(TRIM(MID(SUBSTITUTE(K271,";",REPT(" ",99)),397,99)),FIND(":",TRIM(MID(SUBSTITUTE(K271,";",REPT(" ",99)),397,99)))+1,999))+1,999),FIND(":",MID(MID(TRIM(MID(SUBSTITUTE(K271,";",REPT(" ",99)),397,99)),FIND(":",TRIM(MID(SUBSTITUTE(K271,";",REPT(" ",99)),397,99)))+1,999),FIND(":",MID(TRIM(MID(SUBSTITUTE(K271,";",REPT(" ",99)),397,99)),FIND(":",TRIM(MID(SUBSTITUTE(K271,";",REPT(" ",99)),397,99)))+1,999))+1,999))-1))))</f>
        <v/>
      </c>
    </row>
    <row r="272">
      <c r="D272" s="11">
        <f>IFERROR(VLOOKUP(C272,ItemData_Fish!$A:$B,2,FALSE),"")</f>
        <v/>
      </c>
      <c r="L272" s="11">
        <f>IF(K272="","",TEXTJOIN("; ",TRUE,IF(TRIM(MID(SUBSTITUTE(K272,";",REPT(" ",99)),1,99))="","",IFERROR(VLOOKUP(--LEFT(MID(TRIM(MID(SUBSTITUTE(K272,";",REPT(" ",99)),1,99)),FIND(":",TRIM(MID(SUBSTITUTE(K272,";",REPT(" ",99)),1,99)))+1,999),FIND(":",MID(TRIM(MID(SUBSTITUTE(K272,";",REPT(" ",99)),1,99)),FIND(":",TRIM(MID(SUBSTITUTE(K272,";",REPT(" ",99)),1,99)))+1,999))-1),_Lookup!$A:$B,2,FALSE),"?")&amp;"×"&amp;LEFT(MID(MID(TRIM(MID(SUBSTITUTE(K272,";",REPT(" ",99)),1,99)),FIND(":",TRIM(MID(SUBSTITUTE(K272,";",REPT(" ",99)),1,99)))+1,999),FIND(":",MID(TRIM(MID(SUBSTITUTE(K272,";",REPT(" ",99)),1,99)),FIND(":",TRIM(MID(SUBSTITUTE(K272,";",REPT(" ",99)),1,99)))+1,999))+1,999),FIND(":",MID(MID(TRIM(MID(SUBSTITUTE(K272,";",REPT(" ",99)),1,99)),FIND(":",TRIM(MID(SUBSTITUTE(K272,";",REPT(" ",99)),1,99)))+1,999),FIND(":",MID(TRIM(MID(SUBSTITUTE(K272,";",REPT(" ",99)),1,99)),FIND(":",TRIM(MID(SUBSTITUTE(K272,";",REPT(" ",99)),1,99)))+1,999))+1,999))-1)),IF(TRIM(MID(SUBSTITUTE(K272,";",REPT(" ",99)),100,99))="","",IFERROR(VLOOKUP(--LEFT(MID(TRIM(MID(SUBSTITUTE(K272,";",REPT(" ",99)),100,99)),FIND(":",TRIM(MID(SUBSTITUTE(K272,";",REPT(" ",99)),100,99)))+1,999),FIND(":",MID(TRIM(MID(SUBSTITUTE(K272,";",REPT(" ",99)),100,99)),FIND(":",TRIM(MID(SUBSTITUTE(K272,";",REPT(" ",99)),100,99)))+1,999))-1),_Lookup!$A:$B,2,FALSE),"?")&amp;"×"&amp;LEFT(MID(MID(TRIM(MID(SUBSTITUTE(K272,";",REPT(" ",99)),100,99)),FIND(":",TRIM(MID(SUBSTITUTE(K272,";",REPT(" ",99)),100,99)))+1,999),FIND(":",MID(TRIM(MID(SUBSTITUTE(K272,";",REPT(" ",99)),100,99)),FIND(":",TRIM(MID(SUBSTITUTE(K272,";",REPT(" ",99)),100,99)))+1,999))+1,999),FIND(":",MID(MID(TRIM(MID(SUBSTITUTE(K272,";",REPT(" ",99)),100,99)),FIND(":",TRIM(MID(SUBSTITUTE(K272,";",REPT(" ",99)),100,99)))+1,999),FIND(":",MID(TRIM(MID(SUBSTITUTE(K272,";",REPT(" ",99)),100,99)),FIND(":",TRIM(MID(SUBSTITUTE(K272,";",REPT(" ",99)),100,99)))+1,999))+1,999))-1)),IF(TRIM(MID(SUBSTITUTE(K272,";",REPT(" ",99)),199,99))="","",IFERROR(VLOOKUP(--LEFT(MID(TRIM(MID(SUBSTITUTE(K272,";",REPT(" ",99)),199,99)),FIND(":",TRIM(MID(SUBSTITUTE(K272,";",REPT(" ",99)),199,99)))+1,999),FIND(":",MID(TRIM(MID(SUBSTITUTE(K272,";",REPT(" ",99)),199,99)),FIND(":",TRIM(MID(SUBSTITUTE(K272,";",REPT(" ",99)),199,99)))+1,999))-1),_Lookup!$A:$B,2,FALSE),"?")&amp;"×"&amp;LEFT(MID(MID(TRIM(MID(SUBSTITUTE(K272,";",REPT(" ",99)),199,99)),FIND(":",TRIM(MID(SUBSTITUTE(K272,";",REPT(" ",99)),199,99)))+1,999),FIND(":",MID(TRIM(MID(SUBSTITUTE(K272,";",REPT(" ",99)),199,99)),FIND(":",TRIM(MID(SUBSTITUTE(K272,";",REPT(" ",99)),199,99)))+1,999))+1,999),FIND(":",MID(MID(TRIM(MID(SUBSTITUTE(K272,";",REPT(" ",99)),199,99)),FIND(":",TRIM(MID(SUBSTITUTE(K272,";",REPT(" ",99)),199,99)))+1,999),FIND(":",MID(TRIM(MID(SUBSTITUTE(K272,";",REPT(" ",99)),199,99)),FIND(":",TRIM(MID(SUBSTITUTE(K272,";",REPT(" ",99)),199,99)))+1,999))+1,999))-1)),IF(TRIM(MID(SUBSTITUTE(K272,";",REPT(" ",99)),298,99))="","",IFERROR(VLOOKUP(--LEFT(MID(TRIM(MID(SUBSTITUTE(K272,";",REPT(" ",99)),298,99)),FIND(":",TRIM(MID(SUBSTITUTE(K272,";",REPT(" ",99)),298,99)))+1,999),FIND(":",MID(TRIM(MID(SUBSTITUTE(K272,";",REPT(" ",99)),298,99)),FIND(":",TRIM(MID(SUBSTITUTE(K272,";",REPT(" ",99)),298,99)))+1,999))-1),_Lookup!$A:$B,2,FALSE),"?")&amp;"×"&amp;LEFT(MID(MID(TRIM(MID(SUBSTITUTE(K272,";",REPT(" ",99)),298,99)),FIND(":",TRIM(MID(SUBSTITUTE(K272,";",REPT(" ",99)),298,99)))+1,999),FIND(":",MID(TRIM(MID(SUBSTITUTE(K272,";",REPT(" ",99)),298,99)),FIND(":",TRIM(MID(SUBSTITUTE(K272,";",REPT(" ",99)),298,99)))+1,999))+1,999),FIND(":",MID(MID(TRIM(MID(SUBSTITUTE(K272,";",REPT(" ",99)),298,99)),FIND(":",TRIM(MID(SUBSTITUTE(K272,";",REPT(" ",99)),298,99)))+1,999),FIND(":",MID(TRIM(MID(SUBSTITUTE(K272,";",REPT(" ",99)),298,99)),FIND(":",TRIM(MID(SUBSTITUTE(K272,";",REPT(" ",99)),298,99)))+1,999))+1,999))-1)),IF(TRIM(MID(SUBSTITUTE(K272,";",REPT(" ",99)),397,99))="","",IFERROR(VLOOKUP(--LEFT(MID(TRIM(MID(SUBSTITUTE(K272,";",REPT(" ",99)),397,99)),FIND(":",TRIM(MID(SUBSTITUTE(K272,";",REPT(" ",99)),397,99)))+1,999),FIND(":",MID(TRIM(MID(SUBSTITUTE(K272,";",REPT(" ",99)),397,99)),FIND(":",TRIM(MID(SUBSTITUTE(K272,";",REPT(" ",99)),397,99)))+1,999))-1),_Lookup!$A:$B,2,FALSE),"?")&amp;"×"&amp;LEFT(MID(MID(TRIM(MID(SUBSTITUTE(K272,";",REPT(" ",99)),397,99)),FIND(":",TRIM(MID(SUBSTITUTE(K272,";",REPT(" ",99)),397,99)))+1,999),FIND(":",MID(TRIM(MID(SUBSTITUTE(K272,";",REPT(" ",99)),397,99)),FIND(":",TRIM(MID(SUBSTITUTE(K272,";",REPT(" ",99)),397,99)))+1,999))+1,999),FIND(":",MID(MID(TRIM(MID(SUBSTITUTE(K272,";",REPT(" ",99)),397,99)),FIND(":",TRIM(MID(SUBSTITUTE(K272,";",REPT(" ",99)),397,99)))+1,999),FIND(":",MID(TRIM(MID(SUBSTITUTE(K272,";",REPT(" ",99)),397,99)),FIND(":",TRIM(MID(SUBSTITUTE(K272,";",REPT(" ",99)),397,99)))+1,999))+1,999))-1))))</f>
        <v/>
      </c>
    </row>
    <row r="273">
      <c r="D273" s="11">
        <f>IFERROR(VLOOKUP(C273,ItemData_Fish!$A:$B,2,FALSE),"")</f>
        <v/>
      </c>
      <c r="L273" s="11">
        <f>IF(K273="","",TEXTJOIN("; ",TRUE,IF(TRIM(MID(SUBSTITUTE(K273,";",REPT(" ",99)),1,99))="","",IFERROR(VLOOKUP(--LEFT(MID(TRIM(MID(SUBSTITUTE(K273,";",REPT(" ",99)),1,99)),FIND(":",TRIM(MID(SUBSTITUTE(K273,";",REPT(" ",99)),1,99)))+1,999),FIND(":",MID(TRIM(MID(SUBSTITUTE(K273,";",REPT(" ",99)),1,99)),FIND(":",TRIM(MID(SUBSTITUTE(K273,";",REPT(" ",99)),1,99)))+1,999))-1),_Lookup!$A:$B,2,FALSE),"?")&amp;"×"&amp;LEFT(MID(MID(TRIM(MID(SUBSTITUTE(K273,";",REPT(" ",99)),1,99)),FIND(":",TRIM(MID(SUBSTITUTE(K273,";",REPT(" ",99)),1,99)))+1,999),FIND(":",MID(TRIM(MID(SUBSTITUTE(K273,";",REPT(" ",99)),1,99)),FIND(":",TRIM(MID(SUBSTITUTE(K273,";",REPT(" ",99)),1,99)))+1,999))+1,999),FIND(":",MID(MID(TRIM(MID(SUBSTITUTE(K273,";",REPT(" ",99)),1,99)),FIND(":",TRIM(MID(SUBSTITUTE(K273,";",REPT(" ",99)),1,99)))+1,999),FIND(":",MID(TRIM(MID(SUBSTITUTE(K273,";",REPT(" ",99)),1,99)),FIND(":",TRIM(MID(SUBSTITUTE(K273,";",REPT(" ",99)),1,99)))+1,999))+1,999))-1)),IF(TRIM(MID(SUBSTITUTE(K273,";",REPT(" ",99)),100,99))="","",IFERROR(VLOOKUP(--LEFT(MID(TRIM(MID(SUBSTITUTE(K273,";",REPT(" ",99)),100,99)),FIND(":",TRIM(MID(SUBSTITUTE(K273,";",REPT(" ",99)),100,99)))+1,999),FIND(":",MID(TRIM(MID(SUBSTITUTE(K273,";",REPT(" ",99)),100,99)),FIND(":",TRIM(MID(SUBSTITUTE(K273,";",REPT(" ",99)),100,99)))+1,999))-1),_Lookup!$A:$B,2,FALSE),"?")&amp;"×"&amp;LEFT(MID(MID(TRIM(MID(SUBSTITUTE(K273,";",REPT(" ",99)),100,99)),FIND(":",TRIM(MID(SUBSTITUTE(K273,";",REPT(" ",99)),100,99)))+1,999),FIND(":",MID(TRIM(MID(SUBSTITUTE(K273,";",REPT(" ",99)),100,99)),FIND(":",TRIM(MID(SUBSTITUTE(K273,";",REPT(" ",99)),100,99)))+1,999))+1,999),FIND(":",MID(MID(TRIM(MID(SUBSTITUTE(K273,";",REPT(" ",99)),100,99)),FIND(":",TRIM(MID(SUBSTITUTE(K273,";",REPT(" ",99)),100,99)))+1,999),FIND(":",MID(TRIM(MID(SUBSTITUTE(K273,";",REPT(" ",99)),100,99)),FIND(":",TRIM(MID(SUBSTITUTE(K273,";",REPT(" ",99)),100,99)))+1,999))+1,999))-1)),IF(TRIM(MID(SUBSTITUTE(K273,";",REPT(" ",99)),199,99))="","",IFERROR(VLOOKUP(--LEFT(MID(TRIM(MID(SUBSTITUTE(K273,";",REPT(" ",99)),199,99)),FIND(":",TRIM(MID(SUBSTITUTE(K273,";",REPT(" ",99)),199,99)))+1,999),FIND(":",MID(TRIM(MID(SUBSTITUTE(K273,";",REPT(" ",99)),199,99)),FIND(":",TRIM(MID(SUBSTITUTE(K273,";",REPT(" ",99)),199,99)))+1,999))-1),_Lookup!$A:$B,2,FALSE),"?")&amp;"×"&amp;LEFT(MID(MID(TRIM(MID(SUBSTITUTE(K273,";",REPT(" ",99)),199,99)),FIND(":",TRIM(MID(SUBSTITUTE(K273,";",REPT(" ",99)),199,99)))+1,999),FIND(":",MID(TRIM(MID(SUBSTITUTE(K273,";",REPT(" ",99)),199,99)),FIND(":",TRIM(MID(SUBSTITUTE(K273,";",REPT(" ",99)),199,99)))+1,999))+1,999),FIND(":",MID(MID(TRIM(MID(SUBSTITUTE(K273,";",REPT(" ",99)),199,99)),FIND(":",TRIM(MID(SUBSTITUTE(K273,";",REPT(" ",99)),199,99)))+1,999),FIND(":",MID(TRIM(MID(SUBSTITUTE(K273,";",REPT(" ",99)),199,99)),FIND(":",TRIM(MID(SUBSTITUTE(K273,";",REPT(" ",99)),199,99)))+1,999))+1,999))-1)),IF(TRIM(MID(SUBSTITUTE(K273,";",REPT(" ",99)),298,99))="","",IFERROR(VLOOKUP(--LEFT(MID(TRIM(MID(SUBSTITUTE(K273,";",REPT(" ",99)),298,99)),FIND(":",TRIM(MID(SUBSTITUTE(K273,";",REPT(" ",99)),298,99)))+1,999),FIND(":",MID(TRIM(MID(SUBSTITUTE(K273,";",REPT(" ",99)),298,99)),FIND(":",TRIM(MID(SUBSTITUTE(K273,";",REPT(" ",99)),298,99)))+1,999))-1),_Lookup!$A:$B,2,FALSE),"?")&amp;"×"&amp;LEFT(MID(MID(TRIM(MID(SUBSTITUTE(K273,";",REPT(" ",99)),298,99)),FIND(":",TRIM(MID(SUBSTITUTE(K273,";",REPT(" ",99)),298,99)))+1,999),FIND(":",MID(TRIM(MID(SUBSTITUTE(K273,";",REPT(" ",99)),298,99)),FIND(":",TRIM(MID(SUBSTITUTE(K273,";",REPT(" ",99)),298,99)))+1,999))+1,999),FIND(":",MID(MID(TRIM(MID(SUBSTITUTE(K273,";",REPT(" ",99)),298,99)),FIND(":",TRIM(MID(SUBSTITUTE(K273,";",REPT(" ",99)),298,99)))+1,999),FIND(":",MID(TRIM(MID(SUBSTITUTE(K273,";",REPT(" ",99)),298,99)),FIND(":",TRIM(MID(SUBSTITUTE(K273,";",REPT(" ",99)),298,99)))+1,999))+1,999))-1)),IF(TRIM(MID(SUBSTITUTE(K273,";",REPT(" ",99)),397,99))="","",IFERROR(VLOOKUP(--LEFT(MID(TRIM(MID(SUBSTITUTE(K273,";",REPT(" ",99)),397,99)),FIND(":",TRIM(MID(SUBSTITUTE(K273,";",REPT(" ",99)),397,99)))+1,999),FIND(":",MID(TRIM(MID(SUBSTITUTE(K273,";",REPT(" ",99)),397,99)),FIND(":",TRIM(MID(SUBSTITUTE(K273,";",REPT(" ",99)),397,99)))+1,999))-1),_Lookup!$A:$B,2,FALSE),"?")&amp;"×"&amp;LEFT(MID(MID(TRIM(MID(SUBSTITUTE(K273,";",REPT(" ",99)),397,99)),FIND(":",TRIM(MID(SUBSTITUTE(K273,";",REPT(" ",99)),397,99)))+1,999),FIND(":",MID(TRIM(MID(SUBSTITUTE(K273,";",REPT(" ",99)),397,99)),FIND(":",TRIM(MID(SUBSTITUTE(K273,";",REPT(" ",99)),397,99)))+1,999))+1,999),FIND(":",MID(MID(TRIM(MID(SUBSTITUTE(K273,";",REPT(" ",99)),397,99)),FIND(":",TRIM(MID(SUBSTITUTE(K273,";",REPT(" ",99)),397,99)))+1,999),FIND(":",MID(TRIM(MID(SUBSTITUTE(K273,";",REPT(" ",99)),397,99)),FIND(":",TRIM(MID(SUBSTITUTE(K273,";",REPT(" ",99)),397,99)))+1,999))+1,999))-1))))</f>
        <v/>
      </c>
    </row>
    <row r="274">
      <c r="D274" s="11">
        <f>IFERROR(VLOOKUP(C274,ItemData_Fish!$A:$B,2,FALSE),"")</f>
        <v/>
      </c>
      <c r="L274" s="11">
        <f>IF(K274="","",TEXTJOIN("; ",TRUE,IF(TRIM(MID(SUBSTITUTE(K274,";",REPT(" ",99)),1,99))="","",IFERROR(VLOOKUP(--LEFT(MID(TRIM(MID(SUBSTITUTE(K274,";",REPT(" ",99)),1,99)),FIND(":",TRIM(MID(SUBSTITUTE(K274,";",REPT(" ",99)),1,99)))+1,999),FIND(":",MID(TRIM(MID(SUBSTITUTE(K274,";",REPT(" ",99)),1,99)),FIND(":",TRIM(MID(SUBSTITUTE(K274,";",REPT(" ",99)),1,99)))+1,999))-1),_Lookup!$A:$B,2,FALSE),"?")&amp;"×"&amp;LEFT(MID(MID(TRIM(MID(SUBSTITUTE(K274,";",REPT(" ",99)),1,99)),FIND(":",TRIM(MID(SUBSTITUTE(K274,";",REPT(" ",99)),1,99)))+1,999),FIND(":",MID(TRIM(MID(SUBSTITUTE(K274,";",REPT(" ",99)),1,99)),FIND(":",TRIM(MID(SUBSTITUTE(K274,";",REPT(" ",99)),1,99)))+1,999))+1,999),FIND(":",MID(MID(TRIM(MID(SUBSTITUTE(K274,";",REPT(" ",99)),1,99)),FIND(":",TRIM(MID(SUBSTITUTE(K274,";",REPT(" ",99)),1,99)))+1,999),FIND(":",MID(TRIM(MID(SUBSTITUTE(K274,";",REPT(" ",99)),1,99)),FIND(":",TRIM(MID(SUBSTITUTE(K274,";",REPT(" ",99)),1,99)))+1,999))+1,999))-1)),IF(TRIM(MID(SUBSTITUTE(K274,";",REPT(" ",99)),100,99))="","",IFERROR(VLOOKUP(--LEFT(MID(TRIM(MID(SUBSTITUTE(K274,";",REPT(" ",99)),100,99)),FIND(":",TRIM(MID(SUBSTITUTE(K274,";",REPT(" ",99)),100,99)))+1,999),FIND(":",MID(TRIM(MID(SUBSTITUTE(K274,";",REPT(" ",99)),100,99)),FIND(":",TRIM(MID(SUBSTITUTE(K274,";",REPT(" ",99)),100,99)))+1,999))-1),_Lookup!$A:$B,2,FALSE),"?")&amp;"×"&amp;LEFT(MID(MID(TRIM(MID(SUBSTITUTE(K274,";",REPT(" ",99)),100,99)),FIND(":",TRIM(MID(SUBSTITUTE(K274,";",REPT(" ",99)),100,99)))+1,999),FIND(":",MID(TRIM(MID(SUBSTITUTE(K274,";",REPT(" ",99)),100,99)),FIND(":",TRIM(MID(SUBSTITUTE(K274,";",REPT(" ",99)),100,99)))+1,999))+1,999),FIND(":",MID(MID(TRIM(MID(SUBSTITUTE(K274,";",REPT(" ",99)),100,99)),FIND(":",TRIM(MID(SUBSTITUTE(K274,";",REPT(" ",99)),100,99)))+1,999),FIND(":",MID(TRIM(MID(SUBSTITUTE(K274,";",REPT(" ",99)),100,99)),FIND(":",TRIM(MID(SUBSTITUTE(K274,";",REPT(" ",99)),100,99)))+1,999))+1,999))-1)),IF(TRIM(MID(SUBSTITUTE(K274,";",REPT(" ",99)),199,99))="","",IFERROR(VLOOKUP(--LEFT(MID(TRIM(MID(SUBSTITUTE(K274,";",REPT(" ",99)),199,99)),FIND(":",TRIM(MID(SUBSTITUTE(K274,";",REPT(" ",99)),199,99)))+1,999),FIND(":",MID(TRIM(MID(SUBSTITUTE(K274,";",REPT(" ",99)),199,99)),FIND(":",TRIM(MID(SUBSTITUTE(K274,";",REPT(" ",99)),199,99)))+1,999))-1),_Lookup!$A:$B,2,FALSE),"?")&amp;"×"&amp;LEFT(MID(MID(TRIM(MID(SUBSTITUTE(K274,";",REPT(" ",99)),199,99)),FIND(":",TRIM(MID(SUBSTITUTE(K274,";",REPT(" ",99)),199,99)))+1,999),FIND(":",MID(TRIM(MID(SUBSTITUTE(K274,";",REPT(" ",99)),199,99)),FIND(":",TRIM(MID(SUBSTITUTE(K274,";",REPT(" ",99)),199,99)))+1,999))+1,999),FIND(":",MID(MID(TRIM(MID(SUBSTITUTE(K274,";",REPT(" ",99)),199,99)),FIND(":",TRIM(MID(SUBSTITUTE(K274,";",REPT(" ",99)),199,99)))+1,999),FIND(":",MID(TRIM(MID(SUBSTITUTE(K274,";",REPT(" ",99)),199,99)),FIND(":",TRIM(MID(SUBSTITUTE(K274,";",REPT(" ",99)),199,99)))+1,999))+1,999))-1)),IF(TRIM(MID(SUBSTITUTE(K274,";",REPT(" ",99)),298,99))="","",IFERROR(VLOOKUP(--LEFT(MID(TRIM(MID(SUBSTITUTE(K274,";",REPT(" ",99)),298,99)),FIND(":",TRIM(MID(SUBSTITUTE(K274,";",REPT(" ",99)),298,99)))+1,999),FIND(":",MID(TRIM(MID(SUBSTITUTE(K274,";",REPT(" ",99)),298,99)),FIND(":",TRIM(MID(SUBSTITUTE(K274,";",REPT(" ",99)),298,99)))+1,999))-1),_Lookup!$A:$B,2,FALSE),"?")&amp;"×"&amp;LEFT(MID(MID(TRIM(MID(SUBSTITUTE(K274,";",REPT(" ",99)),298,99)),FIND(":",TRIM(MID(SUBSTITUTE(K274,";",REPT(" ",99)),298,99)))+1,999),FIND(":",MID(TRIM(MID(SUBSTITUTE(K274,";",REPT(" ",99)),298,99)),FIND(":",TRIM(MID(SUBSTITUTE(K274,";",REPT(" ",99)),298,99)))+1,999))+1,999),FIND(":",MID(MID(TRIM(MID(SUBSTITUTE(K274,";",REPT(" ",99)),298,99)),FIND(":",TRIM(MID(SUBSTITUTE(K274,";",REPT(" ",99)),298,99)))+1,999),FIND(":",MID(TRIM(MID(SUBSTITUTE(K274,";",REPT(" ",99)),298,99)),FIND(":",TRIM(MID(SUBSTITUTE(K274,";",REPT(" ",99)),298,99)))+1,999))+1,999))-1)),IF(TRIM(MID(SUBSTITUTE(K274,";",REPT(" ",99)),397,99))="","",IFERROR(VLOOKUP(--LEFT(MID(TRIM(MID(SUBSTITUTE(K274,";",REPT(" ",99)),397,99)),FIND(":",TRIM(MID(SUBSTITUTE(K274,";",REPT(" ",99)),397,99)))+1,999),FIND(":",MID(TRIM(MID(SUBSTITUTE(K274,";",REPT(" ",99)),397,99)),FIND(":",TRIM(MID(SUBSTITUTE(K274,";",REPT(" ",99)),397,99)))+1,999))-1),_Lookup!$A:$B,2,FALSE),"?")&amp;"×"&amp;LEFT(MID(MID(TRIM(MID(SUBSTITUTE(K274,";",REPT(" ",99)),397,99)),FIND(":",TRIM(MID(SUBSTITUTE(K274,";",REPT(" ",99)),397,99)))+1,999),FIND(":",MID(TRIM(MID(SUBSTITUTE(K274,";",REPT(" ",99)),397,99)),FIND(":",TRIM(MID(SUBSTITUTE(K274,";",REPT(" ",99)),397,99)))+1,999))+1,999),FIND(":",MID(MID(TRIM(MID(SUBSTITUTE(K274,";",REPT(" ",99)),397,99)),FIND(":",TRIM(MID(SUBSTITUTE(K274,";",REPT(" ",99)),397,99)))+1,999),FIND(":",MID(TRIM(MID(SUBSTITUTE(K274,";",REPT(" ",99)),397,99)),FIND(":",TRIM(MID(SUBSTITUTE(K274,";",REPT(" ",99)),397,99)))+1,999))+1,999))-1))))</f>
        <v/>
      </c>
    </row>
    <row r="275">
      <c r="D275" s="11">
        <f>IFERROR(VLOOKUP(C275,ItemData_Fish!$A:$B,2,FALSE),"")</f>
        <v/>
      </c>
      <c r="L275" s="11">
        <f>IF(K275="","",TEXTJOIN("; ",TRUE,IF(TRIM(MID(SUBSTITUTE(K275,";",REPT(" ",99)),1,99))="","",IFERROR(VLOOKUP(--LEFT(MID(TRIM(MID(SUBSTITUTE(K275,";",REPT(" ",99)),1,99)),FIND(":",TRIM(MID(SUBSTITUTE(K275,";",REPT(" ",99)),1,99)))+1,999),FIND(":",MID(TRIM(MID(SUBSTITUTE(K275,";",REPT(" ",99)),1,99)),FIND(":",TRIM(MID(SUBSTITUTE(K275,";",REPT(" ",99)),1,99)))+1,999))-1),_Lookup!$A:$B,2,FALSE),"?")&amp;"×"&amp;LEFT(MID(MID(TRIM(MID(SUBSTITUTE(K275,";",REPT(" ",99)),1,99)),FIND(":",TRIM(MID(SUBSTITUTE(K275,";",REPT(" ",99)),1,99)))+1,999),FIND(":",MID(TRIM(MID(SUBSTITUTE(K275,";",REPT(" ",99)),1,99)),FIND(":",TRIM(MID(SUBSTITUTE(K275,";",REPT(" ",99)),1,99)))+1,999))+1,999),FIND(":",MID(MID(TRIM(MID(SUBSTITUTE(K275,";",REPT(" ",99)),1,99)),FIND(":",TRIM(MID(SUBSTITUTE(K275,";",REPT(" ",99)),1,99)))+1,999),FIND(":",MID(TRIM(MID(SUBSTITUTE(K275,";",REPT(" ",99)),1,99)),FIND(":",TRIM(MID(SUBSTITUTE(K275,";",REPT(" ",99)),1,99)))+1,999))+1,999))-1)),IF(TRIM(MID(SUBSTITUTE(K275,";",REPT(" ",99)),100,99))="","",IFERROR(VLOOKUP(--LEFT(MID(TRIM(MID(SUBSTITUTE(K275,";",REPT(" ",99)),100,99)),FIND(":",TRIM(MID(SUBSTITUTE(K275,";",REPT(" ",99)),100,99)))+1,999),FIND(":",MID(TRIM(MID(SUBSTITUTE(K275,";",REPT(" ",99)),100,99)),FIND(":",TRIM(MID(SUBSTITUTE(K275,";",REPT(" ",99)),100,99)))+1,999))-1),_Lookup!$A:$B,2,FALSE),"?")&amp;"×"&amp;LEFT(MID(MID(TRIM(MID(SUBSTITUTE(K275,";",REPT(" ",99)),100,99)),FIND(":",TRIM(MID(SUBSTITUTE(K275,";",REPT(" ",99)),100,99)))+1,999),FIND(":",MID(TRIM(MID(SUBSTITUTE(K275,";",REPT(" ",99)),100,99)),FIND(":",TRIM(MID(SUBSTITUTE(K275,";",REPT(" ",99)),100,99)))+1,999))+1,999),FIND(":",MID(MID(TRIM(MID(SUBSTITUTE(K275,";",REPT(" ",99)),100,99)),FIND(":",TRIM(MID(SUBSTITUTE(K275,";",REPT(" ",99)),100,99)))+1,999),FIND(":",MID(TRIM(MID(SUBSTITUTE(K275,";",REPT(" ",99)),100,99)),FIND(":",TRIM(MID(SUBSTITUTE(K275,";",REPT(" ",99)),100,99)))+1,999))+1,999))-1)),IF(TRIM(MID(SUBSTITUTE(K275,";",REPT(" ",99)),199,99))="","",IFERROR(VLOOKUP(--LEFT(MID(TRIM(MID(SUBSTITUTE(K275,";",REPT(" ",99)),199,99)),FIND(":",TRIM(MID(SUBSTITUTE(K275,";",REPT(" ",99)),199,99)))+1,999),FIND(":",MID(TRIM(MID(SUBSTITUTE(K275,";",REPT(" ",99)),199,99)),FIND(":",TRIM(MID(SUBSTITUTE(K275,";",REPT(" ",99)),199,99)))+1,999))-1),_Lookup!$A:$B,2,FALSE),"?")&amp;"×"&amp;LEFT(MID(MID(TRIM(MID(SUBSTITUTE(K275,";",REPT(" ",99)),199,99)),FIND(":",TRIM(MID(SUBSTITUTE(K275,";",REPT(" ",99)),199,99)))+1,999),FIND(":",MID(TRIM(MID(SUBSTITUTE(K275,";",REPT(" ",99)),199,99)),FIND(":",TRIM(MID(SUBSTITUTE(K275,";",REPT(" ",99)),199,99)))+1,999))+1,999),FIND(":",MID(MID(TRIM(MID(SUBSTITUTE(K275,";",REPT(" ",99)),199,99)),FIND(":",TRIM(MID(SUBSTITUTE(K275,";",REPT(" ",99)),199,99)))+1,999),FIND(":",MID(TRIM(MID(SUBSTITUTE(K275,";",REPT(" ",99)),199,99)),FIND(":",TRIM(MID(SUBSTITUTE(K275,";",REPT(" ",99)),199,99)))+1,999))+1,999))-1)),IF(TRIM(MID(SUBSTITUTE(K275,";",REPT(" ",99)),298,99))="","",IFERROR(VLOOKUP(--LEFT(MID(TRIM(MID(SUBSTITUTE(K275,";",REPT(" ",99)),298,99)),FIND(":",TRIM(MID(SUBSTITUTE(K275,";",REPT(" ",99)),298,99)))+1,999),FIND(":",MID(TRIM(MID(SUBSTITUTE(K275,";",REPT(" ",99)),298,99)),FIND(":",TRIM(MID(SUBSTITUTE(K275,";",REPT(" ",99)),298,99)))+1,999))-1),_Lookup!$A:$B,2,FALSE),"?")&amp;"×"&amp;LEFT(MID(MID(TRIM(MID(SUBSTITUTE(K275,";",REPT(" ",99)),298,99)),FIND(":",TRIM(MID(SUBSTITUTE(K275,";",REPT(" ",99)),298,99)))+1,999),FIND(":",MID(TRIM(MID(SUBSTITUTE(K275,";",REPT(" ",99)),298,99)),FIND(":",TRIM(MID(SUBSTITUTE(K275,";",REPT(" ",99)),298,99)))+1,999))+1,999),FIND(":",MID(MID(TRIM(MID(SUBSTITUTE(K275,";",REPT(" ",99)),298,99)),FIND(":",TRIM(MID(SUBSTITUTE(K275,";",REPT(" ",99)),298,99)))+1,999),FIND(":",MID(TRIM(MID(SUBSTITUTE(K275,";",REPT(" ",99)),298,99)),FIND(":",TRIM(MID(SUBSTITUTE(K275,";",REPT(" ",99)),298,99)))+1,999))+1,999))-1)),IF(TRIM(MID(SUBSTITUTE(K275,";",REPT(" ",99)),397,99))="","",IFERROR(VLOOKUP(--LEFT(MID(TRIM(MID(SUBSTITUTE(K275,";",REPT(" ",99)),397,99)),FIND(":",TRIM(MID(SUBSTITUTE(K275,";",REPT(" ",99)),397,99)))+1,999),FIND(":",MID(TRIM(MID(SUBSTITUTE(K275,";",REPT(" ",99)),397,99)),FIND(":",TRIM(MID(SUBSTITUTE(K275,";",REPT(" ",99)),397,99)))+1,999))-1),_Lookup!$A:$B,2,FALSE),"?")&amp;"×"&amp;LEFT(MID(MID(TRIM(MID(SUBSTITUTE(K275,";",REPT(" ",99)),397,99)),FIND(":",TRIM(MID(SUBSTITUTE(K275,";",REPT(" ",99)),397,99)))+1,999),FIND(":",MID(TRIM(MID(SUBSTITUTE(K275,";",REPT(" ",99)),397,99)),FIND(":",TRIM(MID(SUBSTITUTE(K275,";",REPT(" ",99)),397,99)))+1,999))+1,999),FIND(":",MID(MID(TRIM(MID(SUBSTITUTE(K275,";",REPT(" ",99)),397,99)),FIND(":",TRIM(MID(SUBSTITUTE(K275,";",REPT(" ",99)),397,99)))+1,999),FIND(":",MID(TRIM(MID(SUBSTITUTE(K275,";",REPT(" ",99)),397,99)),FIND(":",TRIM(MID(SUBSTITUTE(K275,";",REPT(" ",99)),397,99)))+1,999))+1,999))-1))))</f>
        <v/>
      </c>
    </row>
    <row r="276">
      <c r="D276" s="11">
        <f>IFERROR(VLOOKUP(C276,ItemData_Fish!$A:$B,2,FALSE),"")</f>
        <v/>
      </c>
      <c r="L276" s="11">
        <f>IF(K276="","",TEXTJOIN("; ",TRUE,IF(TRIM(MID(SUBSTITUTE(K276,";",REPT(" ",99)),1,99))="","",IFERROR(VLOOKUP(--LEFT(MID(TRIM(MID(SUBSTITUTE(K276,";",REPT(" ",99)),1,99)),FIND(":",TRIM(MID(SUBSTITUTE(K276,";",REPT(" ",99)),1,99)))+1,999),FIND(":",MID(TRIM(MID(SUBSTITUTE(K276,";",REPT(" ",99)),1,99)),FIND(":",TRIM(MID(SUBSTITUTE(K276,";",REPT(" ",99)),1,99)))+1,999))-1),_Lookup!$A:$B,2,FALSE),"?")&amp;"×"&amp;LEFT(MID(MID(TRIM(MID(SUBSTITUTE(K276,";",REPT(" ",99)),1,99)),FIND(":",TRIM(MID(SUBSTITUTE(K276,";",REPT(" ",99)),1,99)))+1,999),FIND(":",MID(TRIM(MID(SUBSTITUTE(K276,";",REPT(" ",99)),1,99)),FIND(":",TRIM(MID(SUBSTITUTE(K276,";",REPT(" ",99)),1,99)))+1,999))+1,999),FIND(":",MID(MID(TRIM(MID(SUBSTITUTE(K276,";",REPT(" ",99)),1,99)),FIND(":",TRIM(MID(SUBSTITUTE(K276,";",REPT(" ",99)),1,99)))+1,999),FIND(":",MID(TRIM(MID(SUBSTITUTE(K276,";",REPT(" ",99)),1,99)),FIND(":",TRIM(MID(SUBSTITUTE(K276,";",REPT(" ",99)),1,99)))+1,999))+1,999))-1)),IF(TRIM(MID(SUBSTITUTE(K276,";",REPT(" ",99)),100,99))="","",IFERROR(VLOOKUP(--LEFT(MID(TRIM(MID(SUBSTITUTE(K276,";",REPT(" ",99)),100,99)),FIND(":",TRIM(MID(SUBSTITUTE(K276,";",REPT(" ",99)),100,99)))+1,999),FIND(":",MID(TRIM(MID(SUBSTITUTE(K276,";",REPT(" ",99)),100,99)),FIND(":",TRIM(MID(SUBSTITUTE(K276,";",REPT(" ",99)),100,99)))+1,999))-1),_Lookup!$A:$B,2,FALSE),"?")&amp;"×"&amp;LEFT(MID(MID(TRIM(MID(SUBSTITUTE(K276,";",REPT(" ",99)),100,99)),FIND(":",TRIM(MID(SUBSTITUTE(K276,";",REPT(" ",99)),100,99)))+1,999),FIND(":",MID(TRIM(MID(SUBSTITUTE(K276,";",REPT(" ",99)),100,99)),FIND(":",TRIM(MID(SUBSTITUTE(K276,";",REPT(" ",99)),100,99)))+1,999))+1,999),FIND(":",MID(MID(TRIM(MID(SUBSTITUTE(K276,";",REPT(" ",99)),100,99)),FIND(":",TRIM(MID(SUBSTITUTE(K276,";",REPT(" ",99)),100,99)))+1,999),FIND(":",MID(TRIM(MID(SUBSTITUTE(K276,";",REPT(" ",99)),100,99)),FIND(":",TRIM(MID(SUBSTITUTE(K276,";",REPT(" ",99)),100,99)))+1,999))+1,999))-1)),IF(TRIM(MID(SUBSTITUTE(K276,";",REPT(" ",99)),199,99))="","",IFERROR(VLOOKUP(--LEFT(MID(TRIM(MID(SUBSTITUTE(K276,";",REPT(" ",99)),199,99)),FIND(":",TRIM(MID(SUBSTITUTE(K276,";",REPT(" ",99)),199,99)))+1,999),FIND(":",MID(TRIM(MID(SUBSTITUTE(K276,";",REPT(" ",99)),199,99)),FIND(":",TRIM(MID(SUBSTITUTE(K276,";",REPT(" ",99)),199,99)))+1,999))-1),_Lookup!$A:$B,2,FALSE),"?")&amp;"×"&amp;LEFT(MID(MID(TRIM(MID(SUBSTITUTE(K276,";",REPT(" ",99)),199,99)),FIND(":",TRIM(MID(SUBSTITUTE(K276,";",REPT(" ",99)),199,99)))+1,999),FIND(":",MID(TRIM(MID(SUBSTITUTE(K276,";",REPT(" ",99)),199,99)),FIND(":",TRIM(MID(SUBSTITUTE(K276,";",REPT(" ",99)),199,99)))+1,999))+1,999),FIND(":",MID(MID(TRIM(MID(SUBSTITUTE(K276,";",REPT(" ",99)),199,99)),FIND(":",TRIM(MID(SUBSTITUTE(K276,";",REPT(" ",99)),199,99)))+1,999),FIND(":",MID(TRIM(MID(SUBSTITUTE(K276,";",REPT(" ",99)),199,99)),FIND(":",TRIM(MID(SUBSTITUTE(K276,";",REPT(" ",99)),199,99)))+1,999))+1,999))-1)),IF(TRIM(MID(SUBSTITUTE(K276,";",REPT(" ",99)),298,99))="","",IFERROR(VLOOKUP(--LEFT(MID(TRIM(MID(SUBSTITUTE(K276,";",REPT(" ",99)),298,99)),FIND(":",TRIM(MID(SUBSTITUTE(K276,";",REPT(" ",99)),298,99)))+1,999),FIND(":",MID(TRIM(MID(SUBSTITUTE(K276,";",REPT(" ",99)),298,99)),FIND(":",TRIM(MID(SUBSTITUTE(K276,";",REPT(" ",99)),298,99)))+1,999))-1),_Lookup!$A:$B,2,FALSE),"?")&amp;"×"&amp;LEFT(MID(MID(TRIM(MID(SUBSTITUTE(K276,";",REPT(" ",99)),298,99)),FIND(":",TRIM(MID(SUBSTITUTE(K276,";",REPT(" ",99)),298,99)))+1,999),FIND(":",MID(TRIM(MID(SUBSTITUTE(K276,";",REPT(" ",99)),298,99)),FIND(":",TRIM(MID(SUBSTITUTE(K276,";",REPT(" ",99)),298,99)))+1,999))+1,999),FIND(":",MID(MID(TRIM(MID(SUBSTITUTE(K276,";",REPT(" ",99)),298,99)),FIND(":",TRIM(MID(SUBSTITUTE(K276,";",REPT(" ",99)),298,99)))+1,999),FIND(":",MID(TRIM(MID(SUBSTITUTE(K276,";",REPT(" ",99)),298,99)),FIND(":",TRIM(MID(SUBSTITUTE(K276,";",REPT(" ",99)),298,99)))+1,999))+1,999))-1)),IF(TRIM(MID(SUBSTITUTE(K276,";",REPT(" ",99)),397,99))="","",IFERROR(VLOOKUP(--LEFT(MID(TRIM(MID(SUBSTITUTE(K276,";",REPT(" ",99)),397,99)),FIND(":",TRIM(MID(SUBSTITUTE(K276,";",REPT(" ",99)),397,99)))+1,999),FIND(":",MID(TRIM(MID(SUBSTITUTE(K276,";",REPT(" ",99)),397,99)),FIND(":",TRIM(MID(SUBSTITUTE(K276,";",REPT(" ",99)),397,99)))+1,999))-1),_Lookup!$A:$B,2,FALSE),"?")&amp;"×"&amp;LEFT(MID(MID(TRIM(MID(SUBSTITUTE(K276,";",REPT(" ",99)),397,99)),FIND(":",TRIM(MID(SUBSTITUTE(K276,";",REPT(" ",99)),397,99)))+1,999),FIND(":",MID(TRIM(MID(SUBSTITUTE(K276,";",REPT(" ",99)),397,99)),FIND(":",TRIM(MID(SUBSTITUTE(K276,";",REPT(" ",99)),397,99)))+1,999))+1,999),FIND(":",MID(MID(TRIM(MID(SUBSTITUTE(K276,";",REPT(" ",99)),397,99)),FIND(":",TRIM(MID(SUBSTITUTE(K276,";",REPT(" ",99)),397,99)))+1,999),FIND(":",MID(TRIM(MID(SUBSTITUTE(K276,";",REPT(" ",99)),397,99)),FIND(":",TRIM(MID(SUBSTITUTE(K276,";",REPT(" ",99)),397,99)))+1,999))+1,999))-1))))</f>
        <v/>
      </c>
    </row>
    <row r="277">
      <c r="D277" s="11">
        <f>IFERROR(VLOOKUP(C277,ItemData_Fish!$A:$B,2,FALSE),"")</f>
        <v/>
      </c>
      <c r="L277" s="11">
        <f>IF(K277="","",TEXTJOIN("; ",TRUE,IF(TRIM(MID(SUBSTITUTE(K277,";",REPT(" ",99)),1,99))="","",IFERROR(VLOOKUP(--LEFT(MID(TRIM(MID(SUBSTITUTE(K277,";",REPT(" ",99)),1,99)),FIND(":",TRIM(MID(SUBSTITUTE(K277,";",REPT(" ",99)),1,99)))+1,999),FIND(":",MID(TRIM(MID(SUBSTITUTE(K277,";",REPT(" ",99)),1,99)),FIND(":",TRIM(MID(SUBSTITUTE(K277,";",REPT(" ",99)),1,99)))+1,999))-1),_Lookup!$A:$B,2,FALSE),"?")&amp;"×"&amp;LEFT(MID(MID(TRIM(MID(SUBSTITUTE(K277,";",REPT(" ",99)),1,99)),FIND(":",TRIM(MID(SUBSTITUTE(K277,";",REPT(" ",99)),1,99)))+1,999),FIND(":",MID(TRIM(MID(SUBSTITUTE(K277,";",REPT(" ",99)),1,99)),FIND(":",TRIM(MID(SUBSTITUTE(K277,";",REPT(" ",99)),1,99)))+1,999))+1,999),FIND(":",MID(MID(TRIM(MID(SUBSTITUTE(K277,";",REPT(" ",99)),1,99)),FIND(":",TRIM(MID(SUBSTITUTE(K277,";",REPT(" ",99)),1,99)))+1,999),FIND(":",MID(TRIM(MID(SUBSTITUTE(K277,";",REPT(" ",99)),1,99)),FIND(":",TRIM(MID(SUBSTITUTE(K277,";",REPT(" ",99)),1,99)))+1,999))+1,999))-1)),IF(TRIM(MID(SUBSTITUTE(K277,";",REPT(" ",99)),100,99))="","",IFERROR(VLOOKUP(--LEFT(MID(TRIM(MID(SUBSTITUTE(K277,";",REPT(" ",99)),100,99)),FIND(":",TRIM(MID(SUBSTITUTE(K277,";",REPT(" ",99)),100,99)))+1,999),FIND(":",MID(TRIM(MID(SUBSTITUTE(K277,";",REPT(" ",99)),100,99)),FIND(":",TRIM(MID(SUBSTITUTE(K277,";",REPT(" ",99)),100,99)))+1,999))-1),_Lookup!$A:$B,2,FALSE),"?")&amp;"×"&amp;LEFT(MID(MID(TRIM(MID(SUBSTITUTE(K277,";",REPT(" ",99)),100,99)),FIND(":",TRIM(MID(SUBSTITUTE(K277,";",REPT(" ",99)),100,99)))+1,999),FIND(":",MID(TRIM(MID(SUBSTITUTE(K277,";",REPT(" ",99)),100,99)),FIND(":",TRIM(MID(SUBSTITUTE(K277,";",REPT(" ",99)),100,99)))+1,999))+1,999),FIND(":",MID(MID(TRIM(MID(SUBSTITUTE(K277,";",REPT(" ",99)),100,99)),FIND(":",TRIM(MID(SUBSTITUTE(K277,";",REPT(" ",99)),100,99)))+1,999),FIND(":",MID(TRIM(MID(SUBSTITUTE(K277,";",REPT(" ",99)),100,99)),FIND(":",TRIM(MID(SUBSTITUTE(K277,";",REPT(" ",99)),100,99)))+1,999))+1,999))-1)),IF(TRIM(MID(SUBSTITUTE(K277,";",REPT(" ",99)),199,99))="","",IFERROR(VLOOKUP(--LEFT(MID(TRIM(MID(SUBSTITUTE(K277,";",REPT(" ",99)),199,99)),FIND(":",TRIM(MID(SUBSTITUTE(K277,";",REPT(" ",99)),199,99)))+1,999),FIND(":",MID(TRIM(MID(SUBSTITUTE(K277,";",REPT(" ",99)),199,99)),FIND(":",TRIM(MID(SUBSTITUTE(K277,";",REPT(" ",99)),199,99)))+1,999))-1),_Lookup!$A:$B,2,FALSE),"?")&amp;"×"&amp;LEFT(MID(MID(TRIM(MID(SUBSTITUTE(K277,";",REPT(" ",99)),199,99)),FIND(":",TRIM(MID(SUBSTITUTE(K277,";",REPT(" ",99)),199,99)))+1,999),FIND(":",MID(TRIM(MID(SUBSTITUTE(K277,";",REPT(" ",99)),199,99)),FIND(":",TRIM(MID(SUBSTITUTE(K277,";",REPT(" ",99)),199,99)))+1,999))+1,999),FIND(":",MID(MID(TRIM(MID(SUBSTITUTE(K277,";",REPT(" ",99)),199,99)),FIND(":",TRIM(MID(SUBSTITUTE(K277,";",REPT(" ",99)),199,99)))+1,999),FIND(":",MID(TRIM(MID(SUBSTITUTE(K277,";",REPT(" ",99)),199,99)),FIND(":",TRIM(MID(SUBSTITUTE(K277,";",REPT(" ",99)),199,99)))+1,999))+1,999))-1)),IF(TRIM(MID(SUBSTITUTE(K277,";",REPT(" ",99)),298,99))="","",IFERROR(VLOOKUP(--LEFT(MID(TRIM(MID(SUBSTITUTE(K277,";",REPT(" ",99)),298,99)),FIND(":",TRIM(MID(SUBSTITUTE(K277,";",REPT(" ",99)),298,99)))+1,999),FIND(":",MID(TRIM(MID(SUBSTITUTE(K277,";",REPT(" ",99)),298,99)),FIND(":",TRIM(MID(SUBSTITUTE(K277,";",REPT(" ",99)),298,99)))+1,999))-1),_Lookup!$A:$B,2,FALSE),"?")&amp;"×"&amp;LEFT(MID(MID(TRIM(MID(SUBSTITUTE(K277,";",REPT(" ",99)),298,99)),FIND(":",TRIM(MID(SUBSTITUTE(K277,";",REPT(" ",99)),298,99)))+1,999),FIND(":",MID(TRIM(MID(SUBSTITUTE(K277,";",REPT(" ",99)),298,99)),FIND(":",TRIM(MID(SUBSTITUTE(K277,";",REPT(" ",99)),298,99)))+1,999))+1,999),FIND(":",MID(MID(TRIM(MID(SUBSTITUTE(K277,";",REPT(" ",99)),298,99)),FIND(":",TRIM(MID(SUBSTITUTE(K277,";",REPT(" ",99)),298,99)))+1,999),FIND(":",MID(TRIM(MID(SUBSTITUTE(K277,";",REPT(" ",99)),298,99)),FIND(":",TRIM(MID(SUBSTITUTE(K277,";",REPT(" ",99)),298,99)))+1,999))+1,999))-1)),IF(TRIM(MID(SUBSTITUTE(K277,";",REPT(" ",99)),397,99))="","",IFERROR(VLOOKUP(--LEFT(MID(TRIM(MID(SUBSTITUTE(K277,";",REPT(" ",99)),397,99)),FIND(":",TRIM(MID(SUBSTITUTE(K277,";",REPT(" ",99)),397,99)))+1,999),FIND(":",MID(TRIM(MID(SUBSTITUTE(K277,";",REPT(" ",99)),397,99)),FIND(":",TRIM(MID(SUBSTITUTE(K277,";",REPT(" ",99)),397,99)))+1,999))-1),_Lookup!$A:$B,2,FALSE),"?")&amp;"×"&amp;LEFT(MID(MID(TRIM(MID(SUBSTITUTE(K277,";",REPT(" ",99)),397,99)),FIND(":",TRIM(MID(SUBSTITUTE(K277,";",REPT(" ",99)),397,99)))+1,999),FIND(":",MID(TRIM(MID(SUBSTITUTE(K277,";",REPT(" ",99)),397,99)),FIND(":",TRIM(MID(SUBSTITUTE(K277,";",REPT(" ",99)),397,99)))+1,999))+1,999),FIND(":",MID(MID(TRIM(MID(SUBSTITUTE(K277,";",REPT(" ",99)),397,99)),FIND(":",TRIM(MID(SUBSTITUTE(K277,";",REPT(" ",99)),397,99)))+1,999),FIND(":",MID(TRIM(MID(SUBSTITUTE(K277,";",REPT(" ",99)),397,99)),FIND(":",TRIM(MID(SUBSTITUTE(K277,";",REPT(" ",99)),397,99)))+1,999))+1,999))-1))))</f>
        <v/>
      </c>
    </row>
    <row r="278">
      <c r="D278" s="11">
        <f>IFERROR(VLOOKUP(C278,ItemData_Fish!$A:$B,2,FALSE),"")</f>
        <v/>
      </c>
      <c r="L278" s="11">
        <f>IF(K278="","",TEXTJOIN("; ",TRUE,IF(TRIM(MID(SUBSTITUTE(K278,";",REPT(" ",99)),1,99))="","",IFERROR(VLOOKUP(--LEFT(MID(TRIM(MID(SUBSTITUTE(K278,";",REPT(" ",99)),1,99)),FIND(":",TRIM(MID(SUBSTITUTE(K278,";",REPT(" ",99)),1,99)))+1,999),FIND(":",MID(TRIM(MID(SUBSTITUTE(K278,";",REPT(" ",99)),1,99)),FIND(":",TRIM(MID(SUBSTITUTE(K278,";",REPT(" ",99)),1,99)))+1,999))-1),_Lookup!$A:$B,2,FALSE),"?")&amp;"×"&amp;LEFT(MID(MID(TRIM(MID(SUBSTITUTE(K278,";",REPT(" ",99)),1,99)),FIND(":",TRIM(MID(SUBSTITUTE(K278,";",REPT(" ",99)),1,99)))+1,999),FIND(":",MID(TRIM(MID(SUBSTITUTE(K278,";",REPT(" ",99)),1,99)),FIND(":",TRIM(MID(SUBSTITUTE(K278,";",REPT(" ",99)),1,99)))+1,999))+1,999),FIND(":",MID(MID(TRIM(MID(SUBSTITUTE(K278,";",REPT(" ",99)),1,99)),FIND(":",TRIM(MID(SUBSTITUTE(K278,";",REPT(" ",99)),1,99)))+1,999),FIND(":",MID(TRIM(MID(SUBSTITUTE(K278,";",REPT(" ",99)),1,99)),FIND(":",TRIM(MID(SUBSTITUTE(K278,";",REPT(" ",99)),1,99)))+1,999))+1,999))-1)),IF(TRIM(MID(SUBSTITUTE(K278,";",REPT(" ",99)),100,99))="","",IFERROR(VLOOKUP(--LEFT(MID(TRIM(MID(SUBSTITUTE(K278,";",REPT(" ",99)),100,99)),FIND(":",TRIM(MID(SUBSTITUTE(K278,";",REPT(" ",99)),100,99)))+1,999),FIND(":",MID(TRIM(MID(SUBSTITUTE(K278,";",REPT(" ",99)),100,99)),FIND(":",TRIM(MID(SUBSTITUTE(K278,";",REPT(" ",99)),100,99)))+1,999))-1),_Lookup!$A:$B,2,FALSE),"?")&amp;"×"&amp;LEFT(MID(MID(TRIM(MID(SUBSTITUTE(K278,";",REPT(" ",99)),100,99)),FIND(":",TRIM(MID(SUBSTITUTE(K278,";",REPT(" ",99)),100,99)))+1,999),FIND(":",MID(TRIM(MID(SUBSTITUTE(K278,";",REPT(" ",99)),100,99)),FIND(":",TRIM(MID(SUBSTITUTE(K278,";",REPT(" ",99)),100,99)))+1,999))+1,999),FIND(":",MID(MID(TRIM(MID(SUBSTITUTE(K278,";",REPT(" ",99)),100,99)),FIND(":",TRIM(MID(SUBSTITUTE(K278,";",REPT(" ",99)),100,99)))+1,999),FIND(":",MID(TRIM(MID(SUBSTITUTE(K278,";",REPT(" ",99)),100,99)),FIND(":",TRIM(MID(SUBSTITUTE(K278,";",REPT(" ",99)),100,99)))+1,999))+1,999))-1)),IF(TRIM(MID(SUBSTITUTE(K278,";",REPT(" ",99)),199,99))="","",IFERROR(VLOOKUP(--LEFT(MID(TRIM(MID(SUBSTITUTE(K278,";",REPT(" ",99)),199,99)),FIND(":",TRIM(MID(SUBSTITUTE(K278,";",REPT(" ",99)),199,99)))+1,999),FIND(":",MID(TRIM(MID(SUBSTITUTE(K278,";",REPT(" ",99)),199,99)),FIND(":",TRIM(MID(SUBSTITUTE(K278,";",REPT(" ",99)),199,99)))+1,999))-1),_Lookup!$A:$B,2,FALSE),"?")&amp;"×"&amp;LEFT(MID(MID(TRIM(MID(SUBSTITUTE(K278,";",REPT(" ",99)),199,99)),FIND(":",TRIM(MID(SUBSTITUTE(K278,";",REPT(" ",99)),199,99)))+1,999),FIND(":",MID(TRIM(MID(SUBSTITUTE(K278,";",REPT(" ",99)),199,99)),FIND(":",TRIM(MID(SUBSTITUTE(K278,";",REPT(" ",99)),199,99)))+1,999))+1,999),FIND(":",MID(MID(TRIM(MID(SUBSTITUTE(K278,";",REPT(" ",99)),199,99)),FIND(":",TRIM(MID(SUBSTITUTE(K278,";",REPT(" ",99)),199,99)))+1,999),FIND(":",MID(TRIM(MID(SUBSTITUTE(K278,";",REPT(" ",99)),199,99)),FIND(":",TRIM(MID(SUBSTITUTE(K278,";",REPT(" ",99)),199,99)))+1,999))+1,999))-1)),IF(TRIM(MID(SUBSTITUTE(K278,";",REPT(" ",99)),298,99))="","",IFERROR(VLOOKUP(--LEFT(MID(TRIM(MID(SUBSTITUTE(K278,";",REPT(" ",99)),298,99)),FIND(":",TRIM(MID(SUBSTITUTE(K278,";",REPT(" ",99)),298,99)))+1,999),FIND(":",MID(TRIM(MID(SUBSTITUTE(K278,";",REPT(" ",99)),298,99)),FIND(":",TRIM(MID(SUBSTITUTE(K278,";",REPT(" ",99)),298,99)))+1,999))-1),_Lookup!$A:$B,2,FALSE),"?")&amp;"×"&amp;LEFT(MID(MID(TRIM(MID(SUBSTITUTE(K278,";",REPT(" ",99)),298,99)),FIND(":",TRIM(MID(SUBSTITUTE(K278,";",REPT(" ",99)),298,99)))+1,999),FIND(":",MID(TRIM(MID(SUBSTITUTE(K278,";",REPT(" ",99)),298,99)),FIND(":",TRIM(MID(SUBSTITUTE(K278,";",REPT(" ",99)),298,99)))+1,999))+1,999),FIND(":",MID(MID(TRIM(MID(SUBSTITUTE(K278,";",REPT(" ",99)),298,99)),FIND(":",TRIM(MID(SUBSTITUTE(K278,";",REPT(" ",99)),298,99)))+1,999),FIND(":",MID(TRIM(MID(SUBSTITUTE(K278,";",REPT(" ",99)),298,99)),FIND(":",TRIM(MID(SUBSTITUTE(K278,";",REPT(" ",99)),298,99)))+1,999))+1,999))-1)),IF(TRIM(MID(SUBSTITUTE(K278,";",REPT(" ",99)),397,99))="","",IFERROR(VLOOKUP(--LEFT(MID(TRIM(MID(SUBSTITUTE(K278,";",REPT(" ",99)),397,99)),FIND(":",TRIM(MID(SUBSTITUTE(K278,";",REPT(" ",99)),397,99)))+1,999),FIND(":",MID(TRIM(MID(SUBSTITUTE(K278,";",REPT(" ",99)),397,99)),FIND(":",TRIM(MID(SUBSTITUTE(K278,";",REPT(" ",99)),397,99)))+1,999))-1),_Lookup!$A:$B,2,FALSE),"?")&amp;"×"&amp;LEFT(MID(MID(TRIM(MID(SUBSTITUTE(K278,";",REPT(" ",99)),397,99)),FIND(":",TRIM(MID(SUBSTITUTE(K278,";",REPT(" ",99)),397,99)))+1,999),FIND(":",MID(TRIM(MID(SUBSTITUTE(K278,";",REPT(" ",99)),397,99)),FIND(":",TRIM(MID(SUBSTITUTE(K278,";",REPT(" ",99)),397,99)))+1,999))+1,999),FIND(":",MID(MID(TRIM(MID(SUBSTITUTE(K278,";",REPT(" ",99)),397,99)),FIND(":",TRIM(MID(SUBSTITUTE(K278,";",REPT(" ",99)),397,99)))+1,999),FIND(":",MID(TRIM(MID(SUBSTITUTE(K278,";",REPT(" ",99)),397,99)),FIND(":",TRIM(MID(SUBSTITUTE(K278,";",REPT(" ",99)),397,99)))+1,999))+1,999))-1))))</f>
        <v/>
      </c>
    </row>
    <row r="279">
      <c r="D279" s="11">
        <f>IFERROR(VLOOKUP(C279,ItemData_Fish!$A:$B,2,FALSE),"")</f>
        <v/>
      </c>
      <c r="L279" s="11">
        <f>IF(K279="","",TEXTJOIN("; ",TRUE,IF(TRIM(MID(SUBSTITUTE(K279,";",REPT(" ",99)),1,99))="","",IFERROR(VLOOKUP(--LEFT(MID(TRIM(MID(SUBSTITUTE(K279,";",REPT(" ",99)),1,99)),FIND(":",TRIM(MID(SUBSTITUTE(K279,";",REPT(" ",99)),1,99)))+1,999),FIND(":",MID(TRIM(MID(SUBSTITUTE(K279,";",REPT(" ",99)),1,99)),FIND(":",TRIM(MID(SUBSTITUTE(K279,";",REPT(" ",99)),1,99)))+1,999))-1),_Lookup!$A:$B,2,FALSE),"?")&amp;"×"&amp;LEFT(MID(MID(TRIM(MID(SUBSTITUTE(K279,";",REPT(" ",99)),1,99)),FIND(":",TRIM(MID(SUBSTITUTE(K279,";",REPT(" ",99)),1,99)))+1,999),FIND(":",MID(TRIM(MID(SUBSTITUTE(K279,";",REPT(" ",99)),1,99)),FIND(":",TRIM(MID(SUBSTITUTE(K279,";",REPT(" ",99)),1,99)))+1,999))+1,999),FIND(":",MID(MID(TRIM(MID(SUBSTITUTE(K279,";",REPT(" ",99)),1,99)),FIND(":",TRIM(MID(SUBSTITUTE(K279,";",REPT(" ",99)),1,99)))+1,999),FIND(":",MID(TRIM(MID(SUBSTITUTE(K279,";",REPT(" ",99)),1,99)),FIND(":",TRIM(MID(SUBSTITUTE(K279,";",REPT(" ",99)),1,99)))+1,999))+1,999))-1)),IF(TRIM(MID(SUBSTITUTE(K279,";",REPT(" ",99)),100,99))="","",IFERROR(VLOOKUP(--LEFT(MID(TRIM(MID(SUBSTITUTE(K279,";",REPT(" ",99)),100,99)),FIND(":",TRIM(MID(SUBSTITUTE(K279,";",REPT(" ",99)),100,99)))+1,999),FIND(":",MID(TRIM(MID(SUBSTITUTE(K279,";",REPT(" ",99)),100,99)),FIND(":",TRIM(MID(SUBSTITUTE(K279,";",REPT(" ",99)),100,99)))+1,999))-1),_Lookup!$A:$B,2,FALSE),"?")&amp;"×"&amp;LEFT(MID(MID(TRIM(MID(SUBSTITUTE(K279,";",REPT(" ",99)),100,99)),FIND(":",TRIM(MID(SUBSTITUTE(K279,";",REPT(" ",99)),100,99)))+1,999),FIND(":",MID(TRIM(MID(SUBSTITUTE(K279,";",REPT(" ",99)),100,99)),FIND(":",TRIM(MID(SUBSTITUTE(K279,";",REPT(" ",99)),100,99)))+1,999))+1,999),FIND(":",MID(MID(TRIM(MID(SUBSTITUTE(K279,";",REPT(" ",99)),100,99)),FIND(":",TRIM(MID(SUBSTITUTE(K279,";",REPT(" ",99)),100,99)))+1,999),FIND(":",MID(TRIM(MID(SUBSTITUTE(K279,";",REPT(" ",99)),100,99)),FIND(":",TRIM(MID(SUBSTITUTE(K279,";",REPT(" ",99)),100,99)))+1,999))+1,999))-1)),IF(TRIM(MID(SUBSTITUTE(K279,";",REPT(" ",99)),199,99))="","",IFERROR(VLOOKUP(--LEFT(MID(TRIM(MID(SUBSTITUTE(K279,";",REPT(" ",99)),199,99)),FIND(":",TRIM(MID(SUBSTITUTE(K279,";",REPT(" ",99)),199,99)))+1,999),FIND(":",MID(TRIM(MID(SUBSTITUTE(K279,";",REPT(" ",99)),199,99)),FIND(":",TRIM(MID(SUBSTITUTE(K279,";",REPT(" ",99)),199,99)))+1,999))-1),_Lookup!$A:$B,2,FALSE),"?")&amp;"×"&amp;LEFT(MID(MID(TRIM(MID(SUBSTITUTE(K279,";",REPT(" ",99)),199,99)),FIND(":",TRIM(MID(SUBSTITUTE(K279,";",REPT(" ",99)),199,99)))+1,999),FIND(":",MID(TRIM(MID(SUBSTITUTE(K279,";",REPT(" ",99)),199,99)),FIND(":",TRIM(MID(SUBSTITUTE(K279,";",REPT(" ",99)),199,99)))+1,999))+1,999),FIND(":",MID(MID(TRIM(MID(SUBSTITUTE(K279,";",REPT(" ",99)),199,99)),FIND(":",TRIM(MID(SUBSTITUTE(K279,";",REPT(" ",99)),199,99)))+1,999),FIND(":",MID(TRIM(MID(SUBSTITUTE(K279,";",REPT(" ",99)),199,99)),FIND(":",TRIM(MID(SUBSTITUTE(K279,";",REPT(" ",99)),199,99)))+1,999))+1,999))-1)),IF(TRIM(MID(SUBSTITUTE(K279,";",REPT(" ",99)),298,99))="","",IFERROR(VLOOKUP(--LEFT(MID(TRIM(MID(SUBSTITUTE(K279,";",REPT(" ",99)),298,99)),FIND(":",TRIM(MID(SUBSTITUTE(K279,";",REPT(" ",99)),298,99)))+1,999),FIND(":",MID(TRIM(MID(SUBSTITUTE(K279,";",REPT(" ",99)),298,99)),FIND(":",TRIM(MID(SUBSTITUTE(K279,";",REPT(" ",99)),298,99)))+1,999))-1),_Lookup!$A:$B,2,FALSE),"?")&amp;"×"&amp;LEFT(MID(MID(TRIM(MID(SUBSTITUTE(K279,";",REPT(" ",99)),298,99)),FIND(":",TRIM(MID(SUBSTITUTE(K279,";",REPT(" ",99)),298,99)))+1,999),FIND(":",MID(TRIM(MID(SUBSTITUTE(K279,";",REPT(" ",99)),298,99)),FIND(":",TRIM(MID(SUBSTITUTE(K279,";",REPT(" ",99)),298,99)))+1,999))+1,999),FIND(":",MID(MID(TRIM(MID(SUBSTITUTE(K279,";",REPT(" ",99)),298,99)),FIND(":",TRIM(MID(SUBSTITUTE(K279,";",REPT(" ",99)),298,99)))+1,999),FIND(":",MID(TRIM(MID(SUBSTITUTE(K279,";",REPT(" ",99)),298,99)),FIND(":",TRIM(MID(SUBSTITUTE(K279,";",REPT(" ",99)),298,99)))+1,999))+1,999))-1)),IF(TRIM(MID(SUBSTITUTE(K279,";",REPT(" ",99)),397,99))="","",IFERROR(VLOOKUP(--LEFT(MID(TRIM(MID(SUBSTITUTE(K279,";",REPT(" ",99)),397,99)),FIND(":",TRIM(MID(SUBSTITUTE(K279,";",REPT(" ",99)),397,99)))+1,999),FIND(":",MID(TRIM(MID(SUBSTITUTE(K279,";",REPT(" ",99)),397,99)),FIND(":",TRIM(MID(SUBSTITUTE(K279,";",REPT(" ",99)),397,99)))+1,999))-1),_Lookup!$A:$B,2,FALSE),"?")&amp;"×"&amp;LEFT(MID(MID(TRIM(MID(SUBSTITUTE(K279,";",REPT(" ",99)),397,99)),FIND(":",TRIM(MID(SUBSTITUTE(K279,";",REPT(" ",99)),397,99)))+1,999),FIND(":",MID(TRIM(MID(SUBSTITUTE(K279,";",REPT(" ",99)),397,99)),FIND(":",TRIM(MID(SUBSTITUTE(K279,";",REPT(" ",99)),397,99)))+1,999))+1,999),FIND(":",MID(MID(TRIM(MID(SUBSTITUTE(K279,";",REPT(" ",99)),397,99)),FIND(":",TRIM(MID(SUBSTITUTE(K279,";",REPT(" ",99)),397,99)))+1,999),FIND(":",MID(TRIM(MID(SUBSTITUTE(K279,";",REPT(" ",99)),397,99)),FIND(":",TRIM(MID(SUBSTITUTE(K279,";",REPT(" ",99)),397,99)))+1,999))+1,999))-1))))</f>
        <v/>
      </c>
    </row>
    <row r="280">
      <c r="D280" s="11">
        <f>IFERROR(VLOOKUP(C280,ItemData_Fish!$A:$B,2,FALSE),"")</f>
        <v/>
      </c>
      <c r="L280" s="11">
        <f>IF(K280="","",TEXTJOIN("; ",TRUE,IF(TRIM(MID(SUBSTITUTE(K280,";",REPT(" ",99)),1,99))="","",IFERROR(VLOOKUP(--LEFT(MID(TRIM(MID(SUBSTITUTE(K280,";",REPT(" ",99)),1,99)),FIND(":",TRIM(MID(SUBSTITUTE(K280,";",REPT(" ",99)),1,99)))+1,999),FIND(":",MID(TRIM(MID(SUBSTITUTE(K280,";",REPT(" ",99)),1,99)),FIND(":",TRIM(MID(SUBSTITUTE(K280,";",REPT(" ",99)),1,99)))+1,999))-1),_Lookup!$A:$B,2,FALSE),"?")&amp;"×"&amp;LEFT(MID(MID(TRIM(MID(SUBSTITUTE(K280,";",REPT(" ",99)),1,99)),FIND(":",TRIM(MID(SUBSTITUTE(K280,";",REPT(" ",99)),1,99)))+1,999),FIND(":",MID(TRIM(MID(SUBSTITUTE(K280,";",REPT(" ",99)),1,99)),FIND(":",TRIM(MID(SUBSTITUTE(K280,";",REPT(" ",99)),1,99)))+1,999))+1,999),FIND(":",MID(MID(TRIM(MID(SUBSTITUTE(K280,";",REPT(" ",99)),1,99)),FIND(":",TRIM(MID(SUBSTITUTE(K280,";",REPT(" ",99)),1,99)))+1,999),FIND(":",MID(TRIM(MID(SUBSTITUTE(K280,";",REPT(" ",99)),1,99)),FIND(":",TRIM(MID(SUBSTITUTE(K280,";",REPT(" ",99)),1,99)))+1,999))+1,999))-1)),IF(TRIM(MID(SUBSTITUTE(K280,";",REPT(" ",99)),100,99))="","",IFERROR(VLOOKUP(--LEFT(MID(TRIM(MID(SUBSTITUTE(K280,";",REPT(" ",99)),100,99)),FIND(":",TRIM(MID(SUBSTITUTE(K280,";",REPT(" ",99)),100,99)))+1,999),FIND(":",MID(TRIM(MID(SUBSTITUTE(K280,";",REPT(" ",99)),100,99)),FIND(":",TRIM(MID(SUBSTITUTE(K280,";",REPT(" ",99)),100,99)))+1,999))-1),_Lookup!$A:$B,2,FALSE),"?")&amp;"×"&amp;LEFT(MID(MID(TRIM(MID(SUBSTITUTE(K280,";",REPT(" ",99)),100,99)),FIND(":",TRIM(MID(SUBSTITUTE(K280,";",REPT(" ",99)),100,99)))+1,999),FIND(":",MID(TRIM(MID(SUBSTITUTE(K280,";",REPT(" ",99)),100,99)),FIND(":",TRIM(MID(SUBSTITUTE(K280,";",REPT(" ",99)),100,99)))+1,999))+1,999),FIND(":",MID(MID(TRIM(MID(SUBSTITUTE(K280,";",REPT(" ",99)),100,99)),FIND(":",TRIM(MID(SUBSTITUTE(K280,";",REPT(" ",99)),100,99)))+1,999),FIND(":",MID(TRIM(MID(SUBSTITUTE(K280,";",REPT(" ",99)),100,99)),FIND(":",TRIM(MID(SUBSTITUTE(K280,";",REPT(" ",99)),100,99)))+1,999))+1,999))-1)),IF(TRIM(MID(SUBSTITUTE(K280,";",REPT(" ",99)),199,99))="","",IFERROR(VLOOKUP(--LEFT(MID(TRIM(MID(SUBSTITUTE(K280,";",REPT(" ",99)),199,99)),FIND(":",TRIM(MID(SUBSTITUTE(K280,";",REPT(" ",99)),199,99)))+1,999),FIND(":",MID(TRIM(MID(SUBSTITUTE(K280,";",REPT(" ",99)),199,99)),FIND(":",TRIM(MID(SUBSTITUTE(K280,";",REPT(" ",99)),199,99)))+1,999))-1),_Lookup!$A:$B,2,FALSE),"?")&amp;"×"&amp;LEFT(MID(MID(TRIM(MID(SUBSTITUTE(K280,";",REPT(" ",99)),199,99)),FIND(":",TRIM(MID(SUBSTITUTE(K280,";",REPT(" ",99)),199,99)))+1,999),FIND(":",MID(TRIM(MID(SUBSTITUTE(K280,";",REPT(" ",99)),199,99)),FIND(":",TRIM(MID(SUBSTITUTE(K280,";",REPT(" ",99)),199,99)))+1,999))+1,999),FIND(":",MID(MID(TRIM(MID(SUBSTITUTE(K280,";",REPT(" ",99)),199,99)),FIND(":",TRIM(MID(SUBSTITUTE(K280,";",REPT(" ",99)),199,99)))+1,999),FIND(":",MID(TRIM(MID(SUBSTITUTE(K280,";",REPT(" ",99)),199,99)),FIND(":",TRIM(MID(SUBSTITUTE(K280,";",REPT(" ",99)),199,99)))+1,999))+1,999))-1)),IF(TRIM(MID(SUBSTITUTE(K280,";",REPT(" ",99)),298,99))="","",IFERROR(VLOOKUP(--LEFT(MID(TRIM(MID(SUBSTITUTE(K280,";",REPT(" ",99)),298,99)),FIND(":",TRIM(MID(SUBSTITUTE(K280,";",REPT(" ",99)),298,99)))+1,999),FIND(":",MID(TRIM(MID(SUBSTITUTE(K280,";",REPT(" ",99)),298,99)),FIND(":",TRIM(MID(SUBSTITUTE(K280,";",REPT(" ",99)),298,99)))+1,999))-1),_Lookup!$A:$B,2,FALSE),"?")&amp;"×"&amp;LEFT(MID(MID(TRIM(MID(SUBSTITUTE(K280,";",REPT(" ",99)),298,99)),FIND(":",TRIM(MID(SUBSTITUTE(K280,";",REPT(" ",99)),298,99)))+1,999),FIND(":",MID(TRIM(MID(SUBSTITUTE(K280,";",REPT(" ",99)),298,99)),FIND(":",TRIM(MID(SUBSTITUTE(K280,";",REPT(" ",99)),298,99)))+1,999))+1,999),FIND(":",MID(MID(TRIM(MID(SUBSTITUTE(K280,";",REPT(" ",99)),298,99)),FIND(":",TRIM(MID(SUBSTITUTE(K280,";",REPT(" ",99)),298,99)))+1,999),FIND(":",MID(TRIM(MID(SUBSTITUTE(K280,";",REPT(" ",99)),298,99)),FIND(":",TRIM(MID(SUBSTITUTE(K280,";",REPT(" ",99)),298,99)))+1,999))+1,999))-1)),IF(TRIM(MID(SUBSTITUTE(K280,";",REPT(" ",99)),397,99))="","",IFERROR(VLOOKUP(--LEFT(MID(TRIM(MID(SUBSTITUTE(K280,";",REPT(" ",99)),397,99)),FIND(":",TRIM(MID(SUBSTITUTE(K280,";",REPT(" ",99)),397,99)))+1,999),FIND(":",MID(TRIM(MID(SUBSTITUTE(K280,";",REPT(" ",99)),397,99)),FIND(":",TRIM(MID(SUBSTITUTE(K280,";",REPT(" ",99)),397,99)))+1,999))-1),_Lookup!$A:$B,2,FALSE),"?")&amp;"×"&amp;LEFT(MID(MID(TRIM(MID(SUBSTITUTE(K280,";",REPT(" ",99)),397,99)),FIND(":",TRIM(MID(SUBSTITUTE(K280,";",REPT(" ",99)),397,99)))+1,999),FIND(":",MID(TRIM(MID(SUBSTITUTE(K280,";",REPT(" ",99)),397,99)),FIND(":",TRIM(MID(SUBSTITUTE(K280,";",REPT(" ",99)),397,99)))+1,999))+1,999),FIND(":",MID(MID(TRIM(MID(SUBSTITUTE(K280,";",REPT(" ",99)),397,99)),FIND(":",TRIM(MID(SUBSTITUTE(K280,";",REPT(" ",99)),397,99)))+1,999),FIND(":",MID(TRIM(MID(SUBSTITUTE(K280,";",REPT(" ",99)),397,99)),FIND(":",TRIM(MID(SUBSTITUTE(K280,";",REPT(" ",99)),397,99)))+1,999))+1,999))-1))))</f>
        <v/>
      </c>
    </row>
    <row r="281">
      <c r="D281" s="11">
        <f>IFERROR(VLOOKUP(C281,ItemData_Fish!$A:$B,2,FALSE),"")</f>
        <v/>
      </c>
      <c r="L281" s="11">
        <f>IF(K281="","",TEXTJOIN("; ",TRUE,IF(TRIM(MID(SUBSTITUTE(K281,";",REPT(" ",99)),1,99))="","",IFERROR(VLOOKUP(--LEFT(MID(TRIM(MID(SUBSTITUTE(K281,";",REPT(" ",99)),1,99)),FIND(":",TRIM(MID(SUBSTITUTE(K281,";",REPT(" ",99)),1,99)))+1,999),FIND(":",MID(TRIM(MID(SUBSTITUTE(K281,";",REPT(" ",99)),1,99)),FIND(":",TRIM(MID(SUBSTITUTE(K281,";",REPT(" ",99)),1,99)))+1,999))-1),_Lookup!$A:$B,2,FALSE),"?")&amp;"×"&amp;LEFT(MID(MID(TRIM(MID(SUBSTITUTE(K281,";",REPT(" ",99)),1,99)),FIND(":",TRIM(MID(SUBSTITUTE(K281,";",REPT(" ",99)),1,99)))+1,999),FIND(":",MID(TRIM(MID(SUBSTITUTE(K281,";",REPT(" ",99)),1,99)),FIND(":",TRIM(MID(SUBSTITUTE(K281,";",REPT(" ",99)),1,99)))+1,999))+1,999),FIND(":",MID(MID(TRIM(MID(SUBSTITUTE(K281,";",REPT(" ",99)),1,99)),FIND(":",TRIM(MID(SUBSTITUTE(K281,";",REPT(" ",99)),1,99)))+1,999),FIND(":",MID(TRIM(MID(SUBSTITUTE(K281,";",REPT(" ",99)),1,99)),FIND(":",TRIM(MID(SUBSTITUTE(K281,";",REPT(" ",99)),1,99)))+1,999))+1,999))-1)),IF(TRIM(MID(SUBSTITUTE(K281,";",REPT(" ",99)),100,99))="","",IFERROR(VLOOKUP(--LEFT(MID(TRIM(MID(SUBSTITUTE(K281,";",REPT(" ",99)),100,99)),FIND(":",TRIM(MID(SUBSTITUTE(K281,";",REPT(" ",99)),100,99)))+1,999),FIND(":",MID(TRIM(MID(SUBSTITUTE(K281,";",REPT(" ",99)),100,99)),FIND(":",TRIM(MID(SUBSTITUTE(K281,";",REPT(" ",99)),100,99)))+1,999))-1),_Lookup!$A:$B,2,FALSE),"?")&amp;"×"&amp;LEFT(MID(MID(TRIM(MID(SUBSTITUTE(K281,";",REPT(" ",99)),100,99)),FIND(":",TRIM(MID(SUBSTITUTE(K281,";",REPT(" ",99)),100,99)))+1,999),FIND(":",MID(TRIM(MID(SUBSTITUTE(K281,";",REPT(" ",99)),100,99)),FIND(":",TRIM(MID(SUBSTITUTE(K281,";",REPT(" ",99)),100,99)))+1,999))+1,999),FIND(":",MID(MID(TRIM(MID(SUBSTITUTE(K281,";",REPT(" ",99)),100,99)),FIND(":",TRIM(MID(SUBSTITUTE(K281,";",REPT(" ",99)),100,99)))+1,999),FIND(":",MID(TRIM(MID(SUBSTITUTE(K281,";",REPT(" ",99)),100,99)),FIND(":",TRIM(MID(SUBSTITUTE(K281,";",REPT(" ",99)),100,99)))+1,999))+1,999))-1)),IF(TRIM(MID(SUBSTITUTE(K281,";",REPT(" ",99)),199,99))="","",IFERROR(VLOOKUP(--LEFT(MID(TRIM(MID(SUBSTITUTE(K281,";",REPT(" ",99)),199,99)),FIND(":",TRIM(MID(SUBSTITUTE(K281,";",REPT(" ",99)),199,99)))+1,999),FIND(":",MID(TRIM(MID(SUBSTITUTE(K281,";",REPT(" ",99)),199,99)),FIND(":",TRIM(MID(SUBSTITUTE(K281,";",REPT(" ",99)),199,99)))+1,999))-1),_Lookup!$A:$B,2,FALSE),"?")&amp;"×"&amp;LEFT(MID(MID(TRIM(MID(SUBSTITUTE(K281,";",REPT(" ",99)),199,99)),FIND(":",TRIM(MID(SUBSTITUTE(K281,";",REPT(" ",99)),199,99)))+1,999),FIND(":",MID(TRIM(MID(SUBSTITUTE(K281,";",REPT(" ",99)),199,99)),FIND(":",TRIM(MID(SUBSTITUTE(K281,";",REPT(" ",99)),199,99)))+1,999))+1,999),FIND(":",MID(MID(TRIM(MID(SUBSTITUTE(K281,";",REPT(" ",99)),199,99)),FIND(":",TRIM(MID(SUBSTITUTE(K281,";",REPT(" ",99)),199,99)))+1,999),FIND(":",MID(TRIM(MID(SUBSTITUTE(K281,";",REPT(" ",99)),199,99)),FIND(":",TRIM(MID(SUBSTITUTE(K281,";",REPT(" ",99)),199,99)))+1,999))+1,999))-1)),IF(TRIM(MID(SUBSTITUTE(K281,";",REPT(" ",99)),298,99))="","",IFERROR(VLOOKUP(--LEFT(MID(TRIM(MID(SUBSTITUTE(K281,";",REPT(" ",99)),298,99)),FIND(":",TRIM(MID(SUBSTITUTE(K281,";",REPT(" ",99)),298,99)))+1,999),FIND(":",MID(TRIM(MID(SUBSTITUTE(K281,";",REPT(" ",99)),298,99)),FIND(":",TRIM(MID(SUBSTITUTE(K281,";",REPT(" ",99)),298,99)))+1,999))-1),_Lookup!$A:$B,2,FALSE),"?")&amp;"×"&amp;LEFT(MID(MID(TRIM(MID(SUBSTITUTE(K281,";",REPT(" ",99)),298,99)),FIND(":",TRIM(MID(SUBSTITUTE(K281,";",REPT(" ",99)),298,99)))+1,999),FIND(":",MID(TRIM(MID(SUBSTITUTE(K281,";",REPT(" ",99)),298,99)),FIND(":",TRIM(MID(SUBSTITUTE(K281,";",REPT(" ",99)),298,99)))+1,999))+1,999),FIND(":",MID(MID(TRIM(MID(SUBSTITUTE(K281,";",REPT(" ",99)),298,99)),FIND(":",TRIM(MID(SUBSTITUTE(K281,";",REPT(" ",99)),298,99)))+1,999),FIND(":",MID(TRIM(MID(SUBSTITUTE(K281,";",REPT(" ",99)),298,99)),FIND(":",TRIM(MID(SUBSTITUTE(K281,";",REPT(" ",99)),298,99)))+1,999))+1,999))-1)),IF(TRIM(MID(SUBSTITUTE(K281,";",REPT(" ",99)),397,99))="","",IFERROR(VLOOKUP(--LEFT(MID(TRIM(MID(SUBSTITUTE(K281,";",REPT(" ",99)),397,99)),FIND(":",TRIM(MID(SUBSTITUTE(K281,";",REPT(" ",99)),397,99)))+1,999),FIND(":",MID(TRIM(MID(SUBSTITUTE(K281,";",REPT(" ",99)),397,99)),FIND(":",TRIM(MID(SUBSTITUTE(K281,";",REPT(" ",99)),397,99)))+1,999))-1),_Lookup!$A:$B,2,FALSE),"?")&amp;"×"&amp;LEFT(MID(MID(TRIM(MID(SUBSTITUTE(K281,";",REPT(" ",99)),397,99)),FIND(":",TRIM(MID(SUBSTITUTE(K281,";",REPT(" ",99)),397,99)))+1,999),FIND(":",MID(TRIM(MID(SUBSTITUTE(K281,";",REPT(" ",99)),397,99)),FIND(":",TRIM(MID(SUBSTITUTE(K281,";",REPT(" ",99)),397,99)))+1,999))+1,999),FIND(":",MID(MID(TRIM(MID(SUBSTITUTE(K281,";",REPT(" ",99)),397,99)),FIND(":",TRIM(MID(SUBSTITUTE(K281,";",REPT(" ",99)),397,99)))+1,999),FIND(":",MID(TRIM(MID(SUBSTITUTE(K281,";",REPT(" ",99)),397,99)),FIND(":",TRIM(MID(SUBSTITUTE(K281,";",REPT(" ",99)),397,99)))+1,999))+1,999))-1))))</f>
        <v/>
      </c>
    </row>
    <row r="282">
      <c r="D282" s="11">
        <f>IFERROR(VLOOKUP(C282,ItemData_Fish!$A:$B,2,FALSE),"")</f>
        <v/>
      </c>
      <c r="L282" s="11">
        <f>IF(K282="","",TEXTJOIN("; ",TRUE,IF(TRIM(MID(SUBSTITUTE(K282,";",REPT(" ",99)),1,99))="","",IFERROR(VLOOKUP(--LEFT(MID(TRIM(MID(SUBSTITUTE(K282,";",REPT(" ",99)),1,99)),FIND(":",TRIM(MID(SUBSTITUTE(K282,";",REPT(" ",99)),1,99)))+1,999),FIND(":",MID(TRIM(MID(SUBSTITUTE(K282,";",REPT(" ",99)),1,99)),FIND(":",TRIM(MID(SUBSTITUTE(K282,";",REPT(" ",99)),1,99)))+1,999))-1),_Lookup!$A:$B,2,FALSE),"?")&amp;"×"&amp;LEFT(MID(MID(TRIM(MID(SUBSTITUTE(K282,";",REPT(" ",99)),1,99)),FIND(":",TRIM(MID(SUBSTITUTE(K282,";",REPT(" ",99)),1,99)))+1,999),FIND(":",MID(TRIM(MID(SUBSTITUTE(K282,";",REPT(" ",99)),1,99)),FIND(":",TRIM(MID(SUBSTITUTE(K282,";",REPT(" ",99)),1,99)))+1,999))+1,999),FIND(":",MID(MID(TRIM(MID(SUBSTITUTE(K282,";",REPT(" ",99)),1,99)),FIND(":",TRIM(MID(SUBSTITUTE(K282,";",REPT(" ",99)),1,99)))+1,999),FIND(":",MID(TRIM(MID(SUBSTITUTE(K282,";",REPT(" ",99)),1,99)),FIND(":",TRIM(MID(SUBSTITUTE(K282,";",REPT(" ",99)),1,99)))+1,999))+1,999))-1)),IF(TRIM(MID(SUBSTITUTE(K282,";",REPT(" ",99)),100,99))="","",IFERROR(VLOOKUP(--LEFT(MID(TRIM(MID(SUBSTITUTE(K282,";",REPT(" ",99)),100,99)),FIND(":",TRIM(MID(SUBSTITUTE(K282,";",REPT(" ",99)),100,99)))+1,999),FIND(":",MID(TRIM(MID(SUBSTITUTE(K282,";",REPT(" ",99)),100,99)),FIND(":",TRIM(MID(SUBSTITUTE(K282,";",REPT(" ",99)),100,99)))+1,999))-1),_Lookup!$A:$B,2,FALSE),"?")&amp;"×"&amp;LEFT(MID(MID(TRIM(MID(SUBSTITUTE(K282,";",REPT(" ",99)),100,99)),FIND(":",TRIM(MID(SUBSTITUTE(K282,";",REPT(" ",99)),100,99)))+1,999),FIND(":",MID(TRIM(MID(SUBSTITUTE(K282,";",REPT(" ",99)),100,99)),FIND(":",TRIM(MID(SUBSTITUTE(K282,";",REPT(" ",99)),100,99)))+1,999))+1,999),FIND(":",MID(MID(TRIM(MID(SUBSTITUTE(K282,";",REPT(" ",99)),100,99)),FIND(":",TRIM(MID(SUBSTITUTE(K282,";",REPT(" ",99)),100,99)))+1,999),FIND(":",MID(TRIM(MID(SUBSTITUTE(K282,";",REPT(" ",99)),100,99)),FIND(":",TRIM(MID(SUBSTITUTE(K282,";",REPT(" ",99)),100,99)))+1,999))+1,999))-1)),IF(TRIM(MID(SUBSTITUTE(K282,";",REPT(" ",99)),199,99))="","",IFERROR(VLOOKUP(--LEFT(MID(TRIM(MID(SUBSTITUTE(K282,";",REPT(" ",99)),199,99)),FIND(":",TRIM(MID(SUBSTITUTE(K282,";",REPT(" ",99)),199,99)))+1,999),FIND(":",MID(TRIM(MID(SUBSTITUTE(K282,";",REPT(" ",99)),199,99)),FIND(":",TRIM(MID(SUBSTITUTE(K282,";",REPT(" ",99)),199,99)))+1,999))-1),_Lookup!$A:$B,2,FALSE),"?")&amp;"×"&amp;LEFT(MID(MID(TRIM(MID(SUBSTITUTE(K282,";",REPT(" ",99)),199,99)),FIND(":",TRIM(MID(SUBSTITUTE(K282,";",REPT(" ",99)),199,99)))+1,999),FIND(":",MID(TRIM(MID(SUBSTITUTE(K282,";",REPT(" ",99)),199,99)),FIND(":",TRIM(MID(SUBSTITUTE(K282,";",REPT(" ",99)),199,99)))+1,999))+1,999),FIND(":",MID(MID(TRIM(MID(SUBSTITUTE(K282,";",REPT(" ",99)),199,99)),FIND(":",TRIM(MID(SUBSTITUTE(K282,";",REPT(" ",99)),199,99)))+1,999),FIND(":",MID(TRIM(MID(SUBSTITUTE(K282,";",REPT(" ",99)),199,99)),FIND(":",TRIM(MID(SUBSTITUTE(K282,";",REPT(" ",99)),199,99)))+1,999))+1,999))-1)),IF(TRIM(MID(SUBSTITUTE(K282,";",REPT(" ",99)),298,99))="","",IFERROR(VLOOKUP(--LEFT(MID(TRIM(MID(SUBSTITUTE(K282,";",REPT(" ",99)),298,99)),FIND(":",TRIM(MID(SUBSTITUTE(K282,";",REPT(" ",99)),298,99)))+1,999),FIND(":",MID(TRIM(MID(SUBSTITUTE(K282,";",REPT(" ",99)),298,99)),FIND(":",TRIM(MID(SUBSTITUTE(K282,";",REPT(" ",99)),298,99)))+1,999))-1),_Lookup!$A:$B,2,FALSE),"?")&amp;"×"&amp;LEFT(MID(MID(TRIM(MID(SUBSTITUTE(K282,";",REPT(" ",99)),298,99)),FIND(":",TRIM(MID(SUBSTITUTE(K282,";",REPT(" ",99)),298,99)))+1,999),FIND(":",MID(TRIM(MID(SUBSTITUTE(K282,";",REPT(" ",99)),298,99)),FIND(":",TRIM(MID(SUBSTITUTE(K282,";",REPT(" ",99)),298,99)))+1,999))+1,999),FIND(":",MID(MID(TRIM(MID(SUBSTITUTE(K282,";",REPT(" ",99)),298,99)),FIND(":",TRIM(MID(SUBSTITUTE(K282,";",REPT(" ",99)),298,99)))+1,999),FIND(":",MID(TRIM(MID(SUBSTITUTE(K282,";",REPT(" ",99)),298,99)),FIND(":",TRIM(MID(SUBSTITUTE(K282,";",REPT(" ",99)),298,99)))+1,999))+1,999))-1)),IF(TRIM(MID(SUBSTITUTE(K282,";",REPT(" ",99)),397,99))="","",IFERROR(VLOOKUP(--LEFT(MID(TRIM(MID(SUBSTITUTE(K282,";",REPT(" ",99)),397,99)),FIND(":",TRIM(MID(SUBSTITUTE(K282,";",REPT(" ",99)),397,99)))+1,999),FIND(":",MID(TRIM(MID(SUBSTITUTE(K282,";",REPT(" ",99)),397,99)),FIND(":",TRIM(MID(SUBSTITUTE(K282,";",REPT(" ",99)),397,99)))+1,999))-1),_Lookup!$A:$B,2,FALSE),"?")&amp;"×"&amp;LEFT(MID(MID(TRIM(MID(SUBSTITUTE(K282,";",REPT(" ",99)),397,99)),FIND(":",TRIM(MID(SUBSTITUTE(K282,";",REPT(" ",99)),397,99)))+1,999),FIND(":",MID(TRIM(MID(SUBSTITUTE(K282,";",REPT(" ",99)),397,99)),FIND(":",TRIM(MID(SUBSTITUTE(K282,";",REPT(" ",99)),397,99)))+1,999))+1,999),FIND(":",MID(MID(TRIM(MID(SUBSTITUTE(K282,";",REPT(" ",99)),397,99)),FIND(":",TRIM(MID(SUBSTITUTE(K282,";",REPT(" ",99)),397,99)))+1,999),FIND(":",MID(TRIM(MID(SUBSTITUTE(K282,";",REPT(" ",99)),397,99)),FIND(":",TRIM(MID(SUBSTITUTE(K282,";",REPT(" ",99)),397,99)))+1,999))+1,999))-1))))</f>
        <v/>
      </c>
    </row>
    <row r="283">
      <c r="D283" s="11">
        <f>IFERROR(VLOOKUP(C283,ItemData_Fish!$A:$B,2,FALSE),"")</f>
        <v/>
      </c>
      <c r="L283" s="11">
        <f>IF(K283="","",TEXTJOIN("; ",TRUE,IF(TRIM(MID(SUBSTITUTE(K283,";",REPT(" ",99)),1,99))="","",IFERROR(VLOOKUP(--LEFT(MID(TRIM(MID(SUBSTITUTE(K283,";",REPT(" ",99)),1,99)),FIND(":",TRIM(MID(SUBSTITUTE(K283,";",REPT(" ",99)),1,99)))+1,999),FIND(":",MID(TRIM(MID(SUBSTITUTE(K283,";",REPT(" ",99)),1,99)),FIND(":",TRIM(MID(SUBSTITUTE(K283,";",REPT(" ",99)),1,99)))+1,999))-1),_Lookup!$A:$B,2,FALSE),"?")&amp;"×"&amp;LEFT(MID(MID(TRIM(MID(SUBSTITUTE(K283,";",REPT(" ",99)),1,99)),FIND(":",TRIM(MID(SUBSTITUTE(K283,";",REPT(" ",99)),1,99)))+1,999),FIND(":",MID(TRIM(MID(SUBSTITUTE(K283,";",REPT(" ",99)),1,99)),FIND(":",TRIM(MID(SUBSTITUTE(K283,";",REPT(" ",99)),1,99)))+1,999))+1,999),FIND(":",MID(MID(TRIM(MID(SUBSTITUTE(K283,";",REPT(" ",99)),1,99)),FIND(":",TRIM(MID(SUBSTITUTE(K283,";",REPT(" ",99)),1,99)))+1,999),FIND(":",MID(TRIM(MID(SUBSTITUTE(K283,";",REPT(" ",99)),1,99)),FIND(":",TRIM(MID(SUBSTITUTE(K283,";",REPT(" ",99)),1,99)))+1,999))+1,999))-1)),IF(TRIM(MID(SUBSTITUTE(K283,";",REPT(" ",99)),100,99))="","",IFERROR(VLOOKUP(--LEFT(MID(TRIM(MID(SUBSTITUTE(K283,";",REPT(" ",99)),100,99)),FIND(":",TRIM(MID(SUBSTITUTE(K283,";",REPT(" ",99)),100,99)))+1,999),FIND(":",MID(TRIM(MID(SUBSTITUTE(K283,";",REPT(" ",99)),100,99)),FIND(":",TRIM(MID(SUBSTITUTE(K283,";",REPT(" ",99)),100,99)))+1,999))-1),_Lookup!$A:$B,2,FALSE),"?")&amp;"×"&amp;LEFT(MID(MID(TRIM(MID(SUBSTITUTE(K283,";",REPT(" ",99)),100,99)),FIND(":",TRIM(MID(SUBSTITUTE(K283,";",REPT(" ",99)),100,99)))+1,999),FIND(":",MID(TRIM(MID(SUBSTITUTE(K283,";",REPT(" ",99)),100,99)),FIND(":",TRIM(MID(SUBSTITUTE(K283,";",REPT(" ",99)),100,99)))+1,999))+1,999),FIND(":",MID(MID(TRIM(MID(SUBSTITUTE(K283,";",REPT(" ",99)),100,99)),FIND(":",TRIM(MID(SUBSTITUTE(K283,";",REPT(" ",99)),100,99)))+1,999),FIND(":",MID(TRIM(MID(SUBSTITUTE(K283,";",REPT(" ",99)),100,99)),FIND(":",TRIM(MID(SUBSTITUTE(K283,";",REPT(" ",99)),100,99)))+1,999))+1,999))-1)),IF(TRIM(MID(SUBSTITUTE(K283,";",REPT(" ",99)),199,99))="","",IFERROR(VLOOKUP(--LEFT(MID(TRIM(MID(SUBSTITUTE(K283,";",REPT(" ",99)),199,99)),FIND(":",TRIM(MID(SUBSTITUTE(K283,";",REPT(" ",99)),199,99)))+1,999),FIND(":",MID(TRIM(MID(SUBSTITUTE(K283,";",REPT(" ",99)),199,99)),FIND(":",TRIM(MID(SUBSTITUTE(K283,";",REPT(" ",99)),199,99)))+1,999))-1),_Lookup!$A:$B,2,FALSE),"?")&amp;"×"&amp;LEFT(MID(MID(TRIM(MID(SUBSTITUTE(K283,";",REPT(" ",99)),199,99)),FIND(":",TRIM(MID(SUBSTITUTE(K283,";",REPT(" ",99)),199,99)))+1,999),FIND(":",MID(TRIM(MID(SUBSTITUTE(K283,";",REPT(" ",99)),199,99)),FIND(":",TRIM(MID(SUBSTITUTE(K283,";",REPT(" ",99)),199,99)))+1,999))+1,999),FIND(":",MID(MID(TRIM(MID(SUBSTITUTE(K283,";",REPT(" ",99)),199,99)),FIND(":",TRIM(MID(SUBSTITUTE(K283,";",REPT(" ",99)),199,99)))+1,999),FIND(":",MID(TRIM(MID(SUBSTITUTE(K283,";",REPT(" ",99)),199,99)),FIND(":",TRIM(MID(SUBSTITUTE(K283,";",REPT(" ",99)),199,99)))+1,999))+1,999))-1)),IF(TRIM(MID(SUBSTITUTE(K283,";",REPT(" ",99)),298,99))="","",IFERROR(VLOOKUP(--LEFT(MID(TRIM(MID(SUBSTITUTE(K283,";",REPT(" ",99)),298,99)),FIND(":",TRIM(MID(SUBSTITUTE(K283,";",REPT(" ",99)),298,99)))+1,999),FIND(":",MID(TRIM(MID(SUBSTITUTE(K283,";",REPT(" ",99)),298,99)),FIND(":",TRIM(MID(SUBSTITUTE(K283,";",REPT(" ",99)),298,99)))+1,999))-1),_Lookup!$A:$B,2,FALSE),"?")&amp;"×"&amp;LEFT(MID(MID(TRIM(MID(SUBSTITUTE(K283,";",REPT(" ",99)),298,99)),FIND(":",TRIM(MID(SUBSTITUTE(K283,";",REPT(" ",99)),298,99)))+1,999),FIND(":",MID(TRIM(MID(SUBSTITUTE(K283,";",REPT(" ",99)),298,99)),FIND(":",TRIM(MID(SUBSTITUTE(K283,";",REPT(" ",99)),298,99)))+1,999))+1,999),FIND(":",MID(MID(TRIM(MID(SUBSTITUTE(K283,";",REPT(" ",99)),298,99)),FIND(":",TRIM(MID(SUBSTITUTE(K283,";",REPT(" ",99)),298,99)))+1,999),FIND(":",MID(TRIM(MID(SUBSTITUTE(K283,";",REPT(" ",99)),298,99)),FIND(":",TRIM(MID(SUBSTITUTE(K283,";",REPT(" ",99)),298,99)))+1,999))+1,999))-1)),IF(TRIM(MID(SUBSTITUTE(K283,";",REPT(" ",99)),397,99))="","",IFERROR(VLOOKUP(--LEFT(MID(TRIM(MID(SUBSTITUTE(K283,";",REPT(" ",99)),397,99)),FIND(":",TRIM(MID(SUBSTITUTE(K283,";",REPT(" ",99)),397,99)))+1,999),FIND(":",MID(TRIM(MID(SUBSTITUTE(K283,";",REPT(" ",99)),397,99)),FIND(":",TRIM(MID(SUBSTITUTE(K283,";",REPT(" ",99)),397,99)))+1,999))-1),_Lookup!$A:$B,2,FALSE),"?")&amp;"×"&amp;LEFT(MID(MID(TRIM(MID(SUBSTITUTE(K283,";",REPT(" ",99)),397,99)),FIND(":",TRIM(MID(SUBSTITUTE(K283,";",REPT(" ",99)),397,99)))+1,999),FIND(":",MID(TRIM(MID(SUBSTITUTE(K283,";",REPT(" ",99)),397,99)),FIND(":",TRIM(MID(SUBSTITUTE(K283,";",REPT(" ",99)),397,99)))+1,999))+1,999),FIND(":",MID(MID(TRIM(MID(SUBSTITUTE(K283,";",REPT(" ",99)),397,99)),FIND(":",TRIM(MID(SUBSTITUTE(K283,";",REPT(" ",99)),397,99)))+1,999),FIND(":",MID(TRIM(MID(SUBSTITUTE(K283,";",REPT(" ",99)),397,99)),FIND(":",TRIM(MID(SUBSTITUTE(K283,";",REPT(" ",99)),397,99)))+1,999))+1,999))-1))))</f>
        <v/>
      </c>
    </row>
    <row r="284">
      <c r="D284" s="11">
        <f>IFERROR(VLOOKUP(C284,ItemData_Fish!$A:$B,2,FALSE),"")</f>
        <v/>
      </c>
      <c r="L284" s="11">
        <f>IF(K284="","",TEXTJOIN("; ",TRUE,IF(TRIM(MID(SUBSTITUTE(K284,";",REPT(" ",99)),1,99))="","",IFERROR(VLOOKUP(--LEFT(MID(TRIM(MID(SUBSTITUTE(K284,";",REPT(" ",99)),1,99)),FIND(":",TRIM(MID(SUBSTITUTE(K284,";",REPT(" ",99)),1,99)))+1,999),FIND(":",MID(TRIM(MID(SUBSTITUTE(K284,";",REPT(" ",99)),1,99)),FIND(":",TRIM(MID(SUBSTITUTE(K284,";",REPT(" ",99)),1,99)))+1,999))-1),_Lookup!$A:$B,2,FALSE),"?")&amp;"×"&amp;LEFT(MID(MID(TRIM(MID(SUBSTITUTE(K284,";",REPT(" ",99)),1,99)),FIND(":",TRIM(MID(SUBSTITUTE(K284,";",REPT(" ",99)),1,99)))+1,999),FIND(":",MID(TRIM(MID(SUBSTITUTE(K284,";",REPT(" ",99)),1,99)),FIND(":",TRIM(MID(SUBSTITUTE(K284,";",REPT(" ",99)),1,99)))+1,999))+1,999),FIND(":",MID(MID(TRIM(MID(SUBSTITUTE(K284,";",REPT(" ",99)),1,99)),FIND(":",TRIM(MID(SUBSTITUTE(K284,";",REPT(" ",99)),1,99)))+1,999),FIND(":",MID(TRIM(MID(SUBSTITUTE(K284,";",REPT(" ",99)),1,99)),FIND(":",TRIM(MID(SUBSTITUTE(K284,";",REPT(" ",99)),1,99)))+1,999))+1,999))-1)),IF(TRIM(MID(SUBSTITUTE(K284,";",REPT(" ",99)),100,99))="","",IFERROR(VLOOKUP(--LEFT(MID(TRIM(MID(SUBSTITUTE(K284,";",REPT(" ",99)),100,99)),FIND(":",TRIM(MID(SUBSTITUTE(K284,";",REPT(" ",99)),100,99)))+1,999),FIND(":",MID(TRIM(MID(SUBSTITUTE(K284,";",REPT(" ",99)),100,99)),FIND(":",TRIM(MID(SUBSTITUTE(K284,";",REPT(" ",99)),100,99)))+1,999))-1),_Lookup!$A:$B,2,FALSE),"?")&amp;"×"&amp;LEFT(MID(MID(TRIM(MID(SUBSTITUTE(K284,";",REPT(" ",99)),100,99)),FIND(":",TRIM(MID(SUBSTITUTE(K284,";",REPT(" ",99)),100,99)))+1,999),FIND(":",MID(TRIM(MID(SUBSTITUTE(K284,";",REPT(" ",99)),100,99)),FIND(":",TRIM(MID(SUBSTITUTE(K284,";",REPT(" ",99)),100,99)))+1,999))+1,999),FIND(":",MID(MID(TRIM(MID(SUBSTITUTE(K284,";",REPT(" ",99)),100,99)),FIND(":",TRIM(MID(SUBSTITUTE(K284,";",REPT(" ",99)),100,99)))+1,999),FIND(":",MID(TRIM(MID(SUBSTITUTE(K284,";",REPT(" ",99)),100,99)),FIND(":",TRIM(MID(SUBSTITUTE(K284,";",REPT(" ",99)),100,99)))+1,999))+1,999))-1)),IF(TRIM(MID(SUBSTITUTE(K284,";",REPT(" ",99)),199,99))="","",IFERROR(VLOOKUP(--LEFT(MID(TRIM(MID(SUBSTITUTE(K284,";",REPT(" ",99)),199,99)),FIND(":",TRIM(MID(SUBSTITUTE(K284,";",REPT(" ",99)),199,99)))+1,999),FIND(":",MID(TRIM(MID(SUBSTITUTE(K284,";",REPT(" ",99)),199,99)),FIND(":",TRIM(MID(SUBSTITUTE(K284,";",REPT(" ",99)),199,99)))+1,999))-1),_Lookup!$A:$B,2,FALSE),"?")&amp;"×"&amp;LEFT(MID(MID(TRIM(MID(SUBSTITUTE(K284,";",REPT(" ",99)),199,99)),FIND(":",TRIM(MID(SUBSTITUTE(K284,";",REPT(" ",99)),199,99)))+1,999),FIND(":",MID(TRIM(MID(SUBSTITUTE(K284,";",REPT(" ",99)),199,99)),FIND(":",TRIM(MID(SUBSTITUTE(K284,";",REPT(" ",99)),199,99)))+1,999))+1,999),FIND(":",MID(MID(TRIM(MID(SUBSTITUTE(K284,";",REPT(" ",99)),199,99)),FIND(":",TRIM(MID(SUBSTITUTE(K284,";",REPT(" ",99)),199,99)))+1,999),FIND(":",MID(TRIM(MID(SUBSTITUTE(K284,";",REPT(" ",99)),199,99)),FIND(":",TRIM(MID(SUBSTITUTE(K284,";",REPT(" ",99)),199,99)))+1,999))+1,999))-1)),IF(TRIM(MID(SUBSTITUTE(K284,";",REPT(" ",99)),298,99))="","",IFERROR(VLOOKUP(--LEFT(MID(TRIM(MID(SUBSTITUTE(K284,";",REPT(" ",99)),298,99)),FIND(":",TRIM(MID(SUBSTITUTE(K284,";",REPT(" ",99)),298,99)))+1,999),FIND(":",MID(TRIM(MID(SUBSTITUTE(K284,";",REPT(" ",99)),298,99)),FIND(":",TRIM(MID(SUBSTITUTE(K284,";",REPT(" ",99)),298,99)))+1,999))-1),_Lookup!$A:$B,2,FALSE),"?")&amp;"×"&amp;LEFT(MID(MID(TRIM(MID(SUBSTITUTE(K284,";",REPT(" ",99)),298,99)),FIND(":",TRIM(MID(SUBSTITUTE(K284,";",REPT(" ",99)),298,99)))+1,999),FIND(":",MID(TRIM(MID(SUBSTITUTE(K284,";",REPT(" ",99)),298,99)),FIND(":",TRIM(MID(SUBSTITUTE(K284,";",REPT(" ",99)),298,99)))+1,999))+1,999),FIND(":",MID(MID(TRIM(MID(SUBSTITUTE(K284,";",REPT(" ",99)),298,99)),FIND(":",TRIM(MID(SUBSTITUTE(K284,";",REPT(" ",99)),298,99)))+1,999),FIND(":",MID(TRIM(MID(SUBSTITUTE(K284,";",REPT(" ",99)),298,99)),FIND(":",TRIM(MID(SUBSTITUTE(K284,";",REPT(" ",99)),298,99)))+1,999))+1,999))-1)),IF(TRIM(MID(SUBSTITUTE(K284,";",REPT(" ",99)),397,99))="","",IFERROR(VLOOKUP(--LEFT(MID(TRIM(MID(SUBSTITUTE(K284,";",REPT(" ",99)),397,99)),FIND(":",TRIM(MID(SUBSTITUTE(K284,";",REPT(" ",99)),397,99)))+1,999),FIND(":",MID(TRIM(MID(SUBSTITUTE(K284,";",REPT(" ",99)),397,99)),FIND(":",TRIM(MID(SUBSTITUTE(K284,";",REPT(" ",99)),397,99)))+1,999))-1),_Lookup!$A:$B,2,FALSE),"?")&amp;"×"&amp;LEFT(MID(MID(TRIM(MID(SUBSTITUTE(K284,";",REPT(" ",99)),397,99)),FIND(":",TRIM(MID(SUBSTITUTE(K284,";",REPT(" ",99)),397,99)))+1,999),FIND(":",MID(TRIM(MID(SUBSTITUTE(K284,";",REPT(" ",99)),397,99)),FIND(":",TRIM(MID(SUBSTITUTE(K284,";",REPT(" ",99)),397,99)))+1,999))+1,999),FIND(":",MID(MID(TRIM(MID(SUBSTITUTE(K284,";",REPT(" ",99)),397,99)),FIND(":",TRIM(MID(SUBSTITUTE(K284,";",REPT(" ",99)),397,99)))+1,999),FIND(":",MID(TRIM(MID(SUBSTITUTE(K284,";",REPT(" ",99)),397,99)),FIND(":",TRIM(MID(SUBSTITUTE(K284,";",REPT(" ",99)),397,99)))+1,999))+1,999))-1))))</f>
        <v/>
      </c>
    </row>
    <row r="285">
      <c r="D285" s="11">
        <f>IFERROR(VLOOKUP(C285,ItemData_Fish!$A:$B,2,FALSE),"")</f>
        <v/>
      </c>
      <c r="L285" s="11">
        <f>IF(K285="","",TEXTJOIN("; ",TRUE,IF(TRIM(MID(SUBSTITUTE(K285,";",REPT(" ",99)),1,99))="","",IFERROR(VLOOKUP(--LEFT(MID(TRIM(MID(SUBSTITUTE(K285,";",REPT(" ",99)),1,99)),FIND(":",TRIM(MID(SUBSTITUTE(K285,";",REPT(" ",99)),1,99)))+1,999),FIND(":",MID(TRIM(MID(SUBSTITUTE(K285,";",REPT(" ",99)),1,99)),FIND(":",TRIM(MID(SUBSTITUTE(K285,";",REPT(" ",99)),1,99)))+1,999))-1),_Lookup!$A:$B,2,FALSE),"?")&amp;"×"&amp;LEFT(MID(MID(TRIM(MID(SUBSTITUTE(K285,";",REPT(" ",99)),1,99)),FIND(":",TRIM(MID(SUBSTITUTE(K285,";",REPT(" ",99)),1,99)))+1,999),FIND(":",MID(TRIM(MID(SUBSTITUTE(K285,";",REPT(" ",99)),1,99)),FIND(":",TRIM(MID(SUBSTITUTE(K285,";",REPT(" ",99)),1,99)))+1,999))+1,999),FIND(":",MID(MID(TRIM(MID(SUBSTITUTE(K285,";",REPT(" ",99)),1,99)),FIND(":",TRIM(MID(SUBSTITUTE(K285,";",REPT(" ",99)),1,99)))+1,999),FIND(":",MID(TRIM(MID(SUBSTITUTE(K285,";",REPT(" ",99)),1,99)),FIND(":",TRIM(MID(SUBSTITUTE(K285,";",REPT(" ",99)),1,99)))+1,999))+1,999))-1)),IF(TRIM(MID(SUBSTITUTE(K285,";",REPT(" ",99)),100,99))="","",IFERROR(VLOOKUP(--LEFT(MID(TRIM(MID(SUBSTITUTE(K285,";",REPT(" ",99)),100,99)),FIND(":",TRIM(MID(SUBSTITUTE(K285,";",REPT(" ",99)),100,99)))+1,999),FIND(":",MID(TRIM(MID(SUBSTITUTE(K285,";",REPT(" ",99)),100,99)),FIND(":",TRIM(MID(SUBSTITUTE(K285,";",REPT(" ",99)),100,99)))+1,999))-1),_Lookup!$A:$B,2,FALSE),"?")&amp;"×"&amp;LEFT(MID(MID(TRIM(MID(SUBSTITUTE(K285,";",REPT(" ",99)),100,99)),FIND(":",TRIM(MID(SUBSTITUTE(K285,";",REPT(" ",99)),100,99)))+1,999),FIND(":",MID(TRIM(MID(SUBSTITUTE(K285,";",REPT(" ",99)),100,99)),FIND(":",TRIM(MID(SUBSTITUTE(K285,";",REPT(" ",99)),100,99)))+1,999))+1,999),FIND(":",MID(MID(TRIM(MID(SUBSTITUTE(K285,";",REPT(" ",99)),100,99)),FIND(":",TRIM(MID(SUBSTITUTE(K285,";",REPT(" ",99)),100,99)))+1,999),FIND(":",MID(TRIM(MID(SUBSTITUTE(K285,";",REPT(" ",99)),100,99)),FIND(":",TRIM(MID(SUBSTITUTE(K285,";",REPT(" ",99)),100,99)))+1,999))+1,999))-1)),IF(TRIM(MID(SUBSTITUTE(K285,";",REPT(" ",99)),199,99))="","",IFERROR(VLOOKUP(--LEFT(MID(TRIM(MID(SUBSTITUTE(K285,";",REPT(" ",99)),199,99)),FIND(":",TRIM(MID(SUBSTITUTE(K285,";",REPT(" ",99)),199,99)))+1,999),FIND(":",MID(TRIM(MID(SUBSTITUTE(K285,";",REPT(" ",99)),199,99)),FIND(":",TRIM(MID(SUBSTITUTE(K285,";",REPT(" ",99)),199,99)))+1,999))-1),_Lookup!$A:$B,2,FALSE),"?")&amp;"×"&amp;LEFT(MID(MID(TRIM(MID(SUBSTITUTE(K285,";",REPT(" ",99)),199,99)),FIND(":",TRIM(MID(SUBSTITUTE(K285,";",REPT(" ",99)),199,99)))+1,999),FIND(":",MID(TRIM(MID(SUBSTITUTE(K285,";",REPT(" ",99)),199,99)),FIND(":",TRIM(MID(SUBSTITUTE(K285,";",REPT(" ",99)),199,99)))+1,999))+1,999),FIND(":",MID(MID(TRIM(MID(SUBSTITUTE(K285,";",REPT(" ",99)),199,99)),FIND(":",TRIM(MID(SUBSTITUTE(K285,";",REPT(" ",99)),199,99)))+1,999),FIND(":",MID(TRIM(MID(SUBSTITUTE(K285,";",REPT(" ",99)),199,99)),FIND(":",TRIM(MID(SUBSTITUTE(K285,";",REPT(" ",99)),199,99)))+1,999))+1,999))-1)),IF(TRIM(MID(SUBSTITUTE(K285,";",REPT(" ",99)),298,99))="","",IFERROR(VLOOKUP(--LEFT(MID(TRIM(MID(SUBSTITUTE(K285,";",REPT(" ",99)),298,99)),FIND(":",TRIM(MID(SUBSTITUTE(K285,";",REPT(" ",99)),298,99)))+1,999),FIND(":",MID(TRIM(MID(SUBSTITUTE(K285,";",REPT(" ",99)),298,99)),FIND(":",TRIM(MID(SUBSTITUTE(K285,";",REPT(" ",99)),298,99)))+1,999))-1),_Lookup!$A:$B,2,FALSE),"?")&amp;"×"&amp;LEFT(MID(MID(TRIM(MID(SUBSTITUTE(K285,";",REPT(" ",99)),298,99)),FIND(":",TRIM(MID(SUBSTITUTE(K285,";",REPT(" ",99)),298,99)))+1,999),FIND(":",MID(TRIM(MID(SUBSTITUTE(K285,";",REPT(" ",99)),298,99)),FIND(":",TRIM(MID(SUBSTITUTE(K285,";",REPT(" ",99)),298,99)))+1,999))+1,999),FIND(":",MID(MID(TRIM(MID(SUBSTITUTE(K285,";",REPT(" ",99)),298,99)),FIND(":",TRIM(MID(SUBSTITUTE(K285,";",REPT(" ",99)),298,99)))+1,999),FIND(":",MID(TRIM(MID(SUBSTITUTE(K285,";",REPT(" ",99)),298,99)),FIND(":",TRIM(MID(SUBSTITUTE(K285,";",REPT(" ",99)),298,99)))+1,999))+1,999))-1)),IF(TRIM(MID(SUBSTITUTE(K285,";",REPT(" ",99)),397,99))="","",IFERROR(VLOOKUP(--LEFT(MID(TRIM(MID(SUBSTITUTE(K285,";",REPT(" ",99)),397,99)),FIND(":",TRIM(MID(SUBSTITUTE(K285,";",REPT(" ",99)),397,99)))+1,999),FIND(":",MID(TRIM(MID(SUBSTITUTE(K285,";",REPT(" ",99)),397,99)),FIND(":",TRIM(MID(SUBSTITUTE(K285,";",REPT(" ",99)),397,99)))+1,999))-1),_Lookup!$A:$B,2,FALSE),"?")&amp;"×"&amp;LEFT(MID(MID(TRIM(MID(SUBSTITUTE(K285,";",REPT(" ",99)),397,99)),FIND(":",TRIM(MID(SUBSTITUTE(K285,";",REPT(" ",99)),397,99)))+1,999),FIND(":",MID(TRIM(MID(SUBSTITUTE(K285,";",REPT(" ",99)),397,99)),FIND(":",TRIM(MID(SUBSTITUTE(K285,";",REPT(" ",99)),397,99)))+1,999))+1,999),FIND(":",MID(MID(TRIM(MID(SUBSTITUTE(K285,";",REPT(" ",99)),397,99)),FIND(":",TRIM(MID(SUBSTITUTE(K285,";",REPT(" ",99)),397,99)))+1,999),FIND(":",MID(TRIM(MID(SUBSTITUTE(K285,";",REPT(" ",99)),397,99)),FIND(":",TRIM(MID(SUBSTITUTE(K285,";",REPT(" ",99)),397,99)))+1,999))+1,999))-1))))</f>
        <v/>
      </c>
    </row>
    <row r="286">
      <c r="D286" s="11">
        <f>IFERROR(VLOOKUP(C286,ItemData_Fish!$A:$B,2,FALSE),"")</f>
        <v/>
      </c>
      <c r="L286" s="11">
        <f>IF(K286="","",TEXTJOIN("; ",TRUE,IF(TRIM(MID(SUBSTITUTE(K286,";",REPT(" ",99)),1,99))="","",IFERROR(VLOOKUP(--LEFT(MID(TRIM(MID(SUBSTITUTE(K286,";",REPT(" ",99)),1,99)),FIND(":",TRIM(MID(SUBSTITUTE(K286,";",REPT(" ",99)),1,99)))+1,999),FIND(":",MID(TRIM(MID(SUBSTITUTE(K286,";",REPT(" ",99)),1,99)),FIND(":",TRIM(MID(SUBSTITUTE(K286,";",REPT(" ",99)),1,99)))+1,999))-1),_Lookup!$A:$B,2,FALSE),"?")&amp;"×"&amp;LEFT(MID(MID(TRIM(MID(SUBSTITUTE(K286,";",REPT(" ",99)),1,99)),FIND(":",TRIM(MID(SUBSTITUTE(K286,";",REPT(" ",99)),1,99)))+1,999),FIND(":",MID(TRIM(MID(SUBSTITUTE(K286,";",REPT(" ",99)),1,99)),FIND(":",TRIM(MID(SUBSTITUTE(K286,";",REPT(" ",99)),1,99)))+1,999))+1,999),FIND(":",MID(MID(TRIM(MID(SUBSTITUTE(K286,";",REPT(" ",99)),1,99)),FIND(":",TRIM(MID(SUBSTITUTE(K286,";",REPT(" ",99)),1,99)))+1,999),FIND(":",MID(TRIM(MID(SUBSTITUTE(K286,";",REPT(" ",99)),1,99)),FIND(":",TRIM(MID(SUBSTITUTE(K286,";",REPT(" ",99)),1,99)))+1,999))+1,999))-1)),IF(TRIM(MID(SUBSTITUTE(K286,";",REPT(" ",99)),100,99))="","",IFERROR(VLOOKUP(--LEFT(MID(TRIM(MID(SUBSTITUTE(K286,";",REPT(" ",99)),100,99)),FIND(":",TRIM(MID(SUBSTITUTE(K286,";",REPT(" ",99)),100,99)))+1,999),FIND(":",MID(TRIM(MID(SUBSTITUTE(K286,";",REPT(" ",99)),100,99)),FIND(":",TRIM(MID(SUBSTITUTE(K286,";",REPT(" ",99)),100,99)))+1,999))-1),_Lookup!$A:$B,2,FALSE),"?")&amp;"×"&amp;LEFT(MID(MID(TRIM(MID(SUBSTITUTE(K286,";",REPT(" ",99)),100,99)),FIND(":",TRIM(MID(SUBSTITUTE(K286,";",REPT(" ",99)),100,99)))+1,999),FIND(":",MID(TRIM(MID(SUBSTITUTE(K286,";",REPT(" ",99)),100,99)),FIND(":",TRIM(MID(SUBSTITUTE(K286,";",REPT(" ",99)),100,99)))+1,999))+1,999),FIND(":",MID(MID(TRIM(MID(SUBSTITUTE(K286,";",REPT(" ",99)),100,99)),FIND(":",TRIM(MID(SUBSTITUTE(K286,";",REPT(" ",99)),100,99)))+1,999),FIND(":",MID(TRIM(MID(SUBSTITUTE(K286,";",REPT(" ",99)),100,99)),FIND(":",TRIM(MID(SUBSTITUTE(K286,";",REPT(" ",99)),100,99)))+1,999))+1,999))-1)),IF(TRIM(MID(SUBSTITUTE(K286,";",REPT(" ",99)),199,99))="","",IFERROR(VLOOKUP(--LEFT(MID(TRIM(MID(SUBSTITUTE(K286,";",REPT(" ",99)),199,99)),FIND(":",TRIM(MID(SUBSTITUTE(K286,";",REPT(" ",99)),199,99)))+1,999),FIND(":",MID(TRIM(MID(SUBSTITUTE(K286,";",REPT(" ",99)),199,99)),FIND(":",TRIM(MID(SUBSTITUTE(K286,";",REPT(" ",99)),199,99)))+1,999))-1),_Lookup!$A:$B,2,FALSE),"?")&amp;"×"&amp;LEFT(MID(MID(TRIM(MID(SUBSTITUTE(K286,";",REPT(" ",99)),199,99)),FIND(":",TRIM(MID(SUBSTITUTE(K286,";",REPT(" ",99)),199,99)))+1,999),FIND(":",MID(TRIM(MID(SUBSTITUTE(K286,";",REPT(" ",99)),199,99)),FIND(":",TRIM(MID(SUBSTITUTE(K286,";",REPT(" ",99)),199,99)))+1,999))+1,999),FIND(":",MID(MID(TRIM(MID(SUBSTITUTE(K286,";",REPT(" ",99)),199,99)),FIND(":",TRIM(MID(SUBSTITUTE(K286,";",REPT(" ",99)),199,99)))+1,999),FIND(":",MID(TRIM(MID(SUBSTITUTE(K286,";",REPT(" ",99)),199,99)),FIND(":",TRIM(MID(SUBSTITUTE(K286,";",REPT(" ",99)),199,99)))+1,999))+1,999))-1)),IF(TRIM(MID(SUBSTITUTE(K286,";",REPT(" ",99)),298,99))="","",IFERROR(VLOOKUP(--LEFT(MID(TRIM(MID(SUBSTITUTE(K286,";",REPT(" ",99)),298,99)),FIND(":",TRIM(MID(SUBSTITUTE(K286,";",REPT(" ",99)),298,99)))+1,999),FIND(":",MID(TRIM(MID(SUBSTITUTE(K286,";",REPT(" ",99)),298,99)),FIND(":",TRIM(MID(SUBSTITUTE(K286,";",REPT(" ",99)),298,99)))+1,999))-1),_Lookup!$A:$B,2,FALSE),"?")&amp;"×"&amp;LEFT(MID(MID(TRIM(MID(SUBSTITUTE(K286,";",REPT(" ",99)),298,99)),FIND(":",TRIM(MID(SUBSTITUTE(K286,";",REPT(" ",99)),298,99)))+1,999),FIND(":",MID(TRIM(MID(SUBSTITUTE(K286,";",REPT(" ",99)),298,99)),FIND(":",TRIM(MID(SUBSTITUTE(K286,";",REPT(" ",99)),298,99)))+1,999))+1,999),FIND(":",MID(MID(TRIM(MID(SUBSTITUTE(K286,";",REPT(" ",99)),298,99)),FIND(":",TRIM(MID(SUBSTITUTE(K286,";",REPT(" ",99)),298,99)))+1,999),FIND(":",MID(TRIM(MID(SUBSTITUTE(K286,";",REPT(" ",99)),298,99)),FIND(":",TRIM(MID(SUBSTITUTE(K286,";",REPT(" ",99)),298,99)))+1,999))+1,999))-1)),IF(TRIM(MID(SUBSTITUTE(K286,";",REPT(" ",99)),397,99))="","",IFERROR(VLOOKUP(--LEFT(MID(TRIM(MID(SUBSTITUTE(K286,";",REPT(" ",99)),397,99)),FIND(":",TRIM(MID(SUBSTITUTE(K286,";",REPT(" ",99)),397,99)))+1,999),FIND(":",MID(TRIM(MID(SUBSTITUTE(K286,";",REPT(" ",99)),397,99)),FIND(":",TRIM(MID(SUBSTITUTE(K286,";",REPT(" ",99)),397,99)))+1,999))-1),_Lookup!$A:$B,2,FALSE),"?")&amp;"×"&amp;LEFT(MID(MID(TRIM(MID(SUBSTITUTE(K286,";",REPT(" ",99)),397,99)),FIND(":",TRIM(MID(SUBSTITUTE(K286,";",REPT(" ",99)),397,99)))+1,999),FIND(":",MID(TRIM(MID(SUBSTITUTE(K286,";",REPT(" ",99)),397,99)),FIND(":",TRIM(MID(SUBSTITUTE(K286,";",REPT(" ",99)),397,99)))+1,999))+1,999),FIND(":",MID(MID(TRIM(MID(SUBSTITUTE(K286,";",REPT(" ",99)),397,99)),FIND(":",TRIM(MID(SUBSTITUTE(K286,";",REPT(" ",99)),397,99)))+1,999),FIND(":",MID(TRIM(MID(SUBSTITUTE(K286,";",REPT(" ",99)),397,99)),FIND(":",TRIM(MID(SUBSTITUTE(K286,";",REPT(" ",99)),397,99)))+1,999))+1,999))-1))))</f>
        <v/>
      </c>
    </row>
    <row r="287">
      <c r="D287" s="11">
        <f>IFERROR(VLOOKUP(C287,ItemData_Fish!$A:$B,2,FALSE),"")</f>
        <v/>
      </c>
      <c r="L287" s="11">
        <f>IF(K287="","",TEXTJOIN("; ",TRUE,IF(TRIM(MID(SUBSTITUTE(K287,";",REPT(" ",99)),1,99))="","",IFERROR(VLOOKUP(--LEFT(MID(TRIM(MID(SUBSTITUTE(K287,";",REPT(" ",99)),1,99)),FIND(":",TRIM(MID(SUBSTITUTE(K287,";",REPT(" ",99)),1,99)))+1,999),FIND(":",MID(TRIM(MID(SUBSTITUTE(K287,";",REPT(" ",99)),1,99)),FIND(":",TRIM(MID(SUBSTITUTE(K287,";",REPT(" ",99)),1,99)))+1,999))-1),_Lookup!$A:$B,2,FALSE),"?")&amp;"×"&amp;LEFT(MID(MID(TRIM(MID(SUBSTITUTE(K287,";",REPT(" ",99)),1,99)),FIND(":",TRIM(MID(SUBSTITUTE(K287,";",REPT(" ",99)),1,99)))+1,999),FIND(":",MID(TRIM(MID(SUBSTITUTE(K287,";",REPT(" ",99)),1,99)),FIND(":",TRIM(MID(SUBSTITUTE(K287,";",REPT(" ",99)),1,99)))+1,999))+1,999),FIND(":",MID(MID(TRIM(MID(SUBSTITUTE(K287,";",REPT(" ",99)),1,99)),FIND(":",TRIM(MID(SUBSTITUTE(K287,";",REPT(" ",99)),1,99)))+1,999),FIND(":",MID(TRIM(MID(SUBSTITUTE(K287,";",REPT(" ",99)),1,99)),FIND(":",TRIM(MID(SUBSTITUTE(K287,";",REPT(" ",99)),1,99)))+1,999))+1,999))-1)),IF(TRIM(MID(SUBSTITUTE(K287,";",REPT(" ",99)),100,99))="","",IFERROR(VLOOKUP(--LEFT(MID(TRIM(MID(SUBSTITUTE(K287,";",REPT(" ",99)),100,99)),FIND(":",TRIM(MID(SUBSTITUTE(K287,";",REPT(" ",99)),100,99)))+1,999),FIND(":",MID(TRIM(MID(SUBSTITUTE(K287,";",REPT(" ",99)),100,99)),FIND(":",TRIM(MID(SUBSTITUTE(K287,";",REPT(" ",99)),100,99)))+1,999))-1),_Lookup!$A:$B,2,FALSE),"?")&amp;"×"&amp;LEFT(MID(MID(TRIM(MID(SUBSTITUTE(K287,";",REPT(" ",99)),100,99)),FIND(":",TRIM(MID(SUBSTITUTE(K287,";",REPT(" ",99)),100,99)))+1,999),FIND(":",MID(TRIM(MID(SUBSTITUTE(K287,";",REPT(" ",99)),100,99)),FIND(":",TRIM(MID(SUBSTITUTE(K287,";",REPT(" ",99)),100,99)))+1,999))+1,999),FIND(":",MID(MID(TRIM(MID(SUBSTITUTE(K287,";",REPT(" ",99)),100,99)),FIND(":",TRIM(MID(SUBSTITUTE(K287,";",REPT(" ",99)),100,99)))+1,999),FIND(":",MID(TRIM(MID(SUBSTITUTE(K287,";",REPT(" ",99)),100,99)),FIND(":",TRIM(MID(SUBSTITUTE(K287,";",REPT(" ",99)),100,99)))+1,999))+1,999))-1)),IF(TRIM(MID(SUBSTITUTE(K287,";",REPT(" ",99)),199,99))="","",IFERROR(VLOOKUP(--LEFT(MID(TRIM(MID(SUBSTITUTE(K287,";",REPT(" ",99)),199,99)),FIND(":",TRIM(MID(SUBSTITUTE(K287,";",REPT(" ",99)),199,99)))+1,999),FIND(":",MID(TRIM(MID(SUBSTITUTE(K287,";",REPT(" ",99)),199,99)),FIND(":",TRIM(MID(SUBSTITUTE(K287,";",REPT(" ",99)),199,99)))+1,999))-1),_Lookup!$A:$B,2,FALSE),"?")&amp;"×"&amp;LEFT(MID(MID(TRIM(MID(SUBSTITUTE(K287,";",REPT(" ",99)),199,99)),FIND(":",TRIM(MID(SUBSTITUTE(K287,";",REPT(" ",99)),199,99)))+1,999),FIND(":",MID(TRIM(MID(SUBSTITUTE(K287,";",REPT(" ",99)),199,99)),FIND(":",TRIM(MID(SUBSTITUTE(K287,";",REPT(" ",99)),199,99)))+1,999))+1,999),FIND(":",MID(MID(TRIM(MID(SUBSTITUTE(K287,";",REPT(" ",99)),199,99)),FIND(":",TRIM(MID(SUBSTITUTE(K287,";",REPT(" ",99)),199,99)))+1,999),FIND(":",MID(TRIM(MID(SUBSTITUTE(K287,";",REPT(" ",99)),199,99)),FIND(":",TRIM(MID(SUBSTITUTE(K287,";",REPT(" ",99)),199,99)))+1,999))+1,999))-1)),IF(TRIM(MID(SUBSTITUTE(K287,";",REPT(" ",99)),298,99))="","",IFERROR(VLOOKUP(--LEFT(MID(TRIM(MID(SUBSTITUTE(K287,";",REPT(" ",99)),298,99)),FIND(":",TRIM(MID(SUBSTITUTE(K287,";",REPT(" ",99)),298,99)))+1,999),FIND(":",MID(TRIM(MID(SUBSTITUTE(K287,";",REPT(" ",99)),298,99)),FIND(":",TRIM(MID(SUBSTITUTE(K287,";",REPT(" ",99)),298,99)))+1,999))-1),_Lookup!$A:$B,2,FALSE),"?")&amp;"×"&amp;LEFT(MID(MID(TRIM(MID(SUBSTITUTE(K287,";",REPT(" ",99)),298,99)),FIND(":",TRIM(MID(SUBSTITUTE(K287,";",REPT(" ",99)),298,99)))+1,999),FIND(":",MID(TRIM(MID(SUBSTITUTE(K287,";",REPT(" ",99)),298,99)),FIND(":",TRIM(MID(SUBSTITUTE(K287,";",REPT(" ",99)),298,99)))+1,999))+1,999),FIND(":",MID(MID(TRIM(MID(SUBSTITUTE(K287,";",REPT(" ",99)),298,99)),FIND(":",TRIM(MID(SUBSTITUTE(K287,";",REPT(" ",99)),298,99)))+1,999),FIND(":",MID(TRIM(MID(SUBSTITUTE(K287,";",REPT(" ",99)),298,99)),FIND(":",TRIM(MID(SUBSTITUTE(K287,";",REPT(" ",99)),298,99)))+1,999))+1,999))-1)),IF(TRIM(MID(SUBSTITUTE(K287,";",REPT(" ",99)),397,99))="","",IFERROR(VLOOKUP(--LEFT(MID(TRIM(MID(SUBSTITUTE(K287,";",REPT(" ",99)),397,99)),FIND(":",TRIM(MID(SUBSTITUTE(K287,";",REPT(" ",99)),397,99)))+1,999),FIND(":",MID(TRIM(MID(SUBSTITUTE(K287,";",REPT(" ",99)),397,99)),FIND(":",TRIM(MID(SUBSTITUTE(K287,";",REPT(" ",99)),397,99)))+1,999))-1),_Lookup!$A:$B,2,FALSE),"?")&amp;"×"&amp;LEFT(MID(MID(TRIM(MID(SUBSTITUTE(K287,";",REPT(" ",99)),397,99)),FIND(":",TRIM(MID(SUBSTITUTE(K287,";",REPT(" ",99)),397,99)))+1,999),FIND(":",MID(TRIM(MID(SUBSTITUTE(K287,";",REPT(" ",99)),397,99)),FIND(":",TRIM(MID(SUBSTITUTE(K287,";",REPT(" ",99)),397,99)))+1,999))+1,999),FIND(":",MID(MID(TRIM(MID(SUBSTITUTE(K287,";",REPT(" ",99)),397,99)),FIND(":",TRIM(MID(SUBSTITUTE(K287,";",REPT(" ",99)),397,99)))+1,999),FIND(":",MID(TRIM(MID(SUBSTITUTE(K287,";",REPT(" ",99)),397,99)),FIND(":",TRIM(MID(SUBSTITUTE(K287,";",REPT(" ",99)),397,99)))+1,999))+1,999))-1))))</f>
        <v/>
      </c>
    </row>
    <row r="288">
      <c r="D288" s="11">
        <f>IFERROR(VLOOKUP(C288,ItemData_Fish!$A:$B,2,FALSE),"")</f>
        <v/>
      </c>
      <c r="L288" s="11">
        <f>IF(K288="","",TEXTJOIN("; ",TRUE,IF(TRIM(MID(SUBSTITUTE(K288,";",REPT(" ",99)),1,99))="","",IFERROR(VLOOKUP(--LEFT(MID(TRIM(MID(SUBSTITUTE(K288,";",REPT(" ",99)),1,99)),FIND(":",TRIM(MID(SUBSTITUTE(K288,";",REPT(" ",99)),1,99)))+1,999),FIND(":",MID(TRIM(MID(SUBSTITUTE(K288,";",REPT(" ",99)),1,99)),FIND(":",TRIM(MID(SUBSTITUTE(K288,";",REPT(" ",99)),1,99)))+1,999))-1),_Lookup!$A:$B,2,FALSE),"?")&amp;"×"&amp;LEFT(MID(MID(TRIM(MID(SUBSTITUTE(K288,";",REPT(" ",99)),1,99)),FIND(":",TRIM(MID(SUBSTITUTE(K288,";",REPT(" ",99)),1,99)))+1,999),FIND(":",MID(TRIM(MID(SUBSTITUTE(K288,";",REPT(" ",99)),1,99)),FIND(":",TRIM(MID(SUBSTITUTE(K288,";",REPT(" ",99)),1,99)))+1,999))+1,999),FIND(":",MID(MID(TRIM(MID(SUBSTITUTE(K288,";",REPT(" ",99)),1,99)),FIND(":",TRIM(MID(SUBSTITUTE(K288,";",REPT(" ",99)),1,99)))+1,999),FIND(":",MID(TRIM(MID(SUBSTITUTE(K288,";",REPT(" ",99)),1,99)),FIND(":",TRIM(MID(SUBSTITUTE(K288,";",REPT(" ",99)),1,99)))+1,999))+1,999))-1)),IF(TRIM(MID(SUBSTITUTE(K288,";",REPT(" ",99)),100,99))="","",IFERROR(VLOOKUP(--LEFT(MID(TRIM(MID(SUBSTITUTE(K288,";",REPT(" ",99)),100,99)),FIND(":",TRIM(MID(SUBSTITUTE(K288,";",REPT(" ",99)),100,99)))+1,999),FIND(":",MID(TRIM(MID(SUBSTITUTE(K288,";",REPT(" ",99)),100,99)),FIND(":",TRIM(MID(SUBSTITUTE(K288,";",REPT(" ",99)),100,99)))+1,999))-1),_Lookup!$A:$B,2,FALSE),"?")&amp;"×"&amp;LEFT(MID(MID(TRIM(MID(SUBSTITUTE(K288,";",REPT(" ",99)),100,99)),FIND(":",TRIM(MID(SUBSTITUTE(K288,";",REPT(" ",99)),100,99)))+1,999),FIND(":",MID(TRIM(MID(SUBSTITUTE(K288,";",REPT(" ",99)),100,99)),FIND(":",TRIM(MID(SUBSTITUTE(K288,";",REPT(" ",99)),100,99)))+1,999))+1,999),FIND(":",MID(MID(TRIM(MID(SUBSTITUTE(K288,";",REPT(" ",99)),100,99)),FIND(":",TRIM(MID(SUBSTITUTE(K288,";",REPT(" ",99)),100,99)))+1,999),FIND(":",MID(TRIM(MID(SUBSTITUTE(K288,";",REPT(" ",99)),100,99)),FIND(":",TRIM(MID(SUBSTITUTE(K288,";",REPT(" ",99)),100,99)))+1,999))+1,999))-1)),IF(TRIM(MID(SUBSTITUTE(K288,";",REPT(" ",99)),199,99))="","",IFERROR(VLOOKUP(--LEFT(MID(TRIM(MID(SUBSTITUTE(K288,";",REPT(" ",99)),199,99)),FIND(":",TRIM(MID(SUBSTITUTE(K288,";",REPT(" ",99)),199,99)))+1,999),FIND(":",MID(TRIM(MID(SUBSTITUTE(K288,";",REPT(" ",99)),199,99)),FIND(":",TRIM(MID(SUBSTITUTE(K288,";",REPT(" ",99)),199,99)))+1,999))-1),_Lookup!$A:$B,2,FALSE),"?")&amp;"×"&amp;LEFT(MID(MID(TRIM(MID(SUBSTITUTE(K288,";",REPT(" ",99)),199,99)),FIND(":",TRIM(MID(SUBSTITUTE(K288,";",REPT(" ",99)),199,99)))+1,999),FIND(":",MID(TRIM(MID(SUBSTITUTE(K288,";",REPT(" ",99)),199,99)),FIND(":",TRIM(MID(SUBSTITUTE(K288,";",REPT(" ",99)),199,99)))+1,999))+1,999),FIND(":",MID(MID(TRIM(MID(SUBSTITUTE(K288,";",REPT(" ",99)),199,99)),FIND(":",TRIM(MID(SUBSTITUTE(K288,";",REPT(" ",99)),199,99)))+1,999),FIND(":",MID(TRIM(MID(SUBSTITUTE(K288,";",REPT(" ",99)),199,99)),FIND(":",TRIM(MID(SUBSTITUTE(K288,";",REPT(" ",99)),199,99)))+1,999))+1,999))-1)),IF(TRIM(MID(SUBSTITUTE(K288,";",REPT(" ",99)),298,99))="","",IFERROR(VLOOKUP(--LEFT(MID(TRIM(MID(SUBSTITUTE(K288,";",REPT(" ",99)),298,99)),FIND(":",TRIM(MID(SUBSTITUTE(K288,";",REPT(" ",99)),298,99)))+1,999),FIND(":",MID(TRIM(MID(SUBSTITUTE(K288,";",REPT(" ",99)),298,99)),FIND(":",TRIM(MID(SUBSTITUTE(K288,";",REPT(" ",99)),298,99)))+1,999))-1),_Lookup!$A:$B,2,FALSE),"?")&amp;"×"&amp;LEFT(MID(MID(TRIM(MID(SUBSTITUTE(K288,";",REPT(" ",99)),298,99)),FIND(":",TRIM(MID(SUBSTITUTE(K288,";",REPT(" ",99)),298,99)))+1,999),FIND(":",MID(TRIM(MID(SUBSTITUTE(K288,";",REPT(" ",99)),298,99)),FIND(":",TRIM(MID(SUBSTITUTE(K288,";",REPT(" ",99)),298,99)))+1,999))+1,999),FIND(":",MID(MID(TRIM(MID(SUBSTITUTE(K288,";",REPT(" ",99)),298,99)),FIND(":",TRIM(MID(SUBSTITUTE(K288,";",REPT(" ",99)),298,99)))+1,999),FIND(":",MID(TRIM(MID(SUBSTITUTE(K288,";",REPT(" ",99)),298,99)),FIND(":",TRIM(MID(SUBSTITUTE(K288,";",REPT(" ",99)),298,99)))+1,999))+1,999))-1)),IF(TRIM(MID(SUBSTITUTE(K288,";",REPT(" ",99)),397,99))="","",IFERROR(VLOOKUP(--LEFT(MID(TRIM(MID(SUBSTITUTE(K288,";",REPT(" ",99)),397,99)),FIND(":",TRIM(MID(SUBSTITUTE(K288,";",REPT(" ",99)),397,99)))+1,999),FIND(":",MID(TRIM(MID(SUBSTITUTE(K288,";",REPT(" ",99)),397,99)),FIND(":",TRIM(MID(SUBSTITUTE(K288,";",REPT(" ",99)),397,99)))+1,999))-1),_Lookup!$A:$B,2,FALSE),"?")&amp;"×"&amp;LEFT(MID(MID(TRIM(MID(SUBSTITUTE(K288,";",REPT(" ",99)),397,99)),FIND(":",TRIM(MID(SUBSTITUTE(K288,";",REPT(" ",99)),397,99)))+1,999),FIND(":",MID(TRIM(MID(SUBSTITUTE(K288,";",REPT(" ",99)),397,99)),FIND(":",TRIM(MID(SUBSTITUTE(K288,";",REPT(" ",99)),397,99)))+1,999))+1,999),FIND(":",MID(MID(TRIM(MID(SUBSTITUTE(K288,";",REPT(" ",99)),397,99)),FIND(":",TRIM(MID(SUBSTITUTE(K288,";",REPT(" ",99)),397,99)))+1,999),FIND(":",MID(TRIM(MID(SUBSTITUTE(K288,";",REPT(" ",99)),397,99)),FIND(":",TRIM(MID(SUBSTITUTE(K288,";",REPT(" ",99)),397,99)))+1,999))+1,999))-1))))</f>
        <v/>
      </c>
    </row>
    <row r="289">
      <c r="D289" s="11">
        <f>IFERROR(VLOOKUP(C289,ItemData_Fish!$A:$B,2,FALSE),"")</f>
        <v/>
      </c>
      <c r="L289" s="11">
        <f>IF(K289="","",TEXTJOIN("; ",TRUE,IF(TRIM(MID(SUBSTITUTE(K289,";",REPT(" ",99)),1,99))="","",IFERROR(VLOOKUP(--LEFT(MID(TRIM(MID(SUBSTITUTE(K289,";",REPT(" ",99)),1,99)),FIND(":",TRIM(MID(SUBSTITUTE(K289,";",REPT(" ",99)),1,99)))+1,999),FIND(":",MID(TRIM(MID(SUBSTITUTE(K289,";",REPT(" ",99)),1,99)),FIND(":",TRIM(MID(SUBSTITUTE(K289,";",REPT(" ",99)),1,99)))+1,999))-1),_Lookup!$A:$B,2,FALSE),"?")&amp;"×"&amp;LEFT(MID(MID(TRIM(MID(SUBSTITUTE(K289,";",REPT(" ",99)),1,99)),FIND(":",TRIM(MID(SUBSTITUTE(K289,";",REPT(" ",99)),1,99)))+1,999),FIND(":",MID(TRIM(MID(SUBSTITUTE(K289,";",REPT(" ",99)),1,99)),FIND(":",TRIM(MID(SUBSTITUTE(K289,";",REPT(" ",99)),1,99)))+1,999))+1,999),FIND(":",MID(MID(TRIM(MID(SUBSTITUTE(K289,";",REPT(" ",99)),1,99)),FIND(":",TRIM(MID(SUBSTITUTE(K289,";",REPT(" ",99)),1,99)))+1,999),FIND(":",MID(TRIM(MID(SUBSTITUTE(K289,";",REPT(" ",99)),1,99)),FIND(":",TRIM(MID(SUBSTITUTE(K289,";",REPT(" ",99)),1,99)))+1,999))+1,999))-1)),IF(TRIM(MID(SUBSTITUTE(K289,";",REPT(" ",99)),100,99))="","",IFERROR(VLOOKUP(--LEFT(MID(TRIM(MID(SUBSTITUTE(K289,";",REPT(" ",99)),100,99)),FIND(":",TRIM(MID(SUBSTITUTE(K289,";",REPT(" ",99)),100,99)))+1,999),FIND(":",MID(TRIM(MID(SUBSTITUTE(K289,";",REPT(" ",99)),100,99)),FIND(":",TRIM(MID(SUBSTITUTE(K289,";",REPT(" ",99)),100,99)))+1,999))-1),_Lookup!$A:$B,2,FALSE),"?")&amp;"×"&amp;LEFT(MID(MID(TRIM(MID(SUBSTITUTE(K289,";",REPT(" ",99)),100,99)),FIND(":",TRIM(MID(SUBSTITUTE(K289,";",REPT(" ",99)),100,99)))+1,999),FIND(":",MID(TRIM(MID(SUBSTITUTE(K289,";",REPT(" ",99)),100,99)),FIND(":",TRIM(MID(SUBSTITUTE(K289,";",REPT(" ",99)),100,99)))+1,999))+1,999),FIND(":",MID(MID(TRIM(MID(SUBSTITUTE(K289,";",REPT(" ",99)),100,99)),FIND(":",TRIM(MID(SUBSTITUTE(K289,";",REPT(" ",99)),100,99)))+1,999),FIND(":",MID(TRIM(MID(SUBSTITUTE(K289,";",REPT(" ",99)),100,99)),FIND(":",TRIM(MID(SUBSTITUTE(K289,";",REPT(" ",99)),100,99)))+1,999))+1,999))-1)),IF(TRIM(MID(SUBSTITUTE(K289,";",REPT(" ",99)),199,99))="","",IFERROR(VLOOKUP(--LEFT(MID(TRIM(MID(SUBSTITUTE(K289,";",REPT(" ",99)),199,99)),FIND(":",TRIM(MID(SUBSTITUTE(K289,";",REPT(" ",99)),199,99)))+1,999),FIND(":",MID(TRIM(MID(SUBSTITUTE(K289,";",REPT(" ",99)),199,99)),FIND(":",TRIM(MID(SUBSTITUTE(K289,";",REPT(" ",99)),199,99)))+1,999))-1),_Lookup!$A:$B,2,FALSE),"?")&amp;"×"&amp;LEFT(MID(MID(TRIM(MID(SUBSTITUTE(K289,";",REPT(" ",99)),199,99)),FIND(":",TRIM(MID(SUBSTITUTE(K289,";",REPT(" ",99)),199,99)))+1,999),FIND(":",MID(TRIM(MID(SUBSTITUTE(K289,";",REPT(" ",99)),199,99)),FIND(":",TRIM(MID(SUBSTITUTE(K289,";",REPT(" ",99)),199,99)))+1,999))+1,999),FIND(":",MID(MID(TRIM(MID(SUBSTITUTE(K289,";",REPT(" ",99)),199,99)),FIND(":",TRIM(MID(SUBSTITUTE(K289,";",REPT(" ",99)),199,99)))+1,999),FIND(":",MID(TRIM(MID(SUBSTITUTE(K289,";",REPT(" ",99)),199,99)),FIND(":",TRIM(MID(SUBSTITUTE(K289,";",REPT(" ",99)),199,99)))+1,999))+1,999))-1)),IF(TRIM(MID(SUBSTITUTE(K289,";",REPT(" ",99)),298,99))="","",IFERROR(VLOOKUP(--LEFT(MID(TRIM(MID(SUBSTITUTE(K289,";",REPT(" ",99)),298,99)),FIND(":",TRIM(MID(SUBSTITUTE(K289,";",REPT(" ",99)),298,99)))+1,999),FIND(":",MID(TRIM(MID(SUBSTITUTE(K289,";",REPT(" ",99)),298,99)),FIND(":",TRIM(MID(SUBSTITUTE(K289,";",REPT(" ",99)),298,99)))+1,999))-1),_Lookup!$A:$B,2,FALSE),"?")&amp;"×"&amp;LEFT(MID(MID(TRIM(MID(SUBSTITUTE(K289,";",REPT(" ",99)),298,99)),FIND(":",TRIM(MID(SUBSTITUTE(K289,";",REPT(" ",99)),298,99)))+1,999),FIND(":",MID(TRIM(MID(SUBSTITUTE(K289,";",REPT(" ",99)),298,99)),FIND(":",TRIM(MID(SUBSTITUTE(K289,";",REPT(" ",99)),298,99)))+1,999))+1,999),FIND(":",MID(MID(TRIM(MID(SUBSTITUTE(K289,";",REPT(" ",99)),298,99)),FIND(":",TRIM(MID(SUBSTITUTE(K289,";",REPT(" ",99)),298,99)))+1,999),FIND(":",MID(TRIM(MID(SUBSTITUTE(K289,";",REPT(" ",99)),298,99)),FIND(":",TRIM(MID(SUBSTITUTE(K289,";",REPT(" ",99)),298,99)))+1,999))+1,999))-1)),IF(TRIM(MID(SUBSTITUTE(K289,";",REPT(" ",99)),397,99))="","",IFERROR(VLOOKUP(--LEFT(MID(TRIM(MID(SUBSTITUTE(K289,";",REPT(" ",99)),397,99)),FIND(":",TRIM(MID(SUBSTITUTE(K289,";",REPT(" ",99)),397,99)))+1,999),FIND(":",MID(TRIM(MID(SUBSTITUTE(K289,";",REPT(" ",99)),397,99)),FIND(":",TRIM(MID(SUBSTITUTE(K289,";",REPT(" ",99)),397,99)))+1,999))-1),_Lookup!$A:$B,2,FALSE),"?")&amp;"×"&amp;LEFT(MID(MID(TRIM(MID(SUBSTITUTE(K289,";",REPT(" ",99)),397,99)),FIND(":",TRIM(MID(SUBSTITUTE(K289,";",REPT(" ",99)),397,99)))+1,999),FIND(":",MID(TRIM(MID(SUBSTITUTE(K289,";",REPT(" ",99)),397,99)),FIND(":",TRIM(MID(SUBSTITUTE(K289,";",REPT(" ",99)),397,99)))+1,999))+1,999),FIND(":",MID(MID(TRIM(MID(SUBSTITUTE(K289,";",REPT(" ",99)),397,99)),FIND(":",TRIM(MID(SUBSTITUTE(K289,";",REPT(" ",99)),397,99)))+1,999),FIND(":",MID(TRIM(MID(SUBSTITUTE(K289,";",REPT(" ",99)),397,99)),FIND(":",TRIM(MID(SUBSTITUTE(K289,";",REPT(" ",99)),397,99)))+1,999))+1,999))-1))))</f>
        <v/>
      </c>
    </row>
    <row r="290">
      <c r="D290" s="11">
        <f>IFERROR(VLOOKUP(C290,ItemData_Fish!$A:$B,2,FALSE),"")</f>
        <v/>
      </c>
      <c r="L290" s="11">
        <f>IF(K290="","",TEXTJOIN("; ",TRUE,IF(TRIM(MID(SUBSTITUTE(K290,";",REPT(" ",99)),1,99))="","",IFERROR(VLOOKUP(--LEFT(MID(TRIM(MID(SUBSTITUTE(K290,";",REPT(" ",99)),1,99)),FIND(":",TRIM(MID(SUBSTITUTE(K290,";",REPT(" ",99)),1,99)))+1,999),FIND(":",MID(TRIM(MID(SUBSTITUTE(K290,";",REPT(" ",99)),1,99)),FIND(":",TRIM(MID(SUBSTITUTE(K290,";",REPT(" ",99)),1,99)))+1,999))-1),_Lookup!$A:$B,2,FALSE),"?")&amp;"×"&amp;LEFT(MID(MID(TRIM(MID(SUBSTITUTE(K290,";",REPT(" ",99)),1,99)),FIND(":",TRIM(MID(SUBSTITUTE(K290,";",REPT(" ",99)),1,99)))+1,999),FIND(":",MID(TRIM(MID(SUBSTITUTE(K290,";",REPT(" ",99)),1,99)),FIND(":",TRIM(MID(SUBSTITUTE(K290,";",REPT(" ",99)),1,99)))+1,999))+1,999),FIND(":",MID(MID(TRIM(MID(SUBSTITUTE(K290,";",REPT(" ",99)),1,99)),FIND(":",TRIM(MID(SUBSTITUTE(K290,";",REPT(" ",99)),1,99)))+1,999),FIND(":",MID(TRIM(MID(SUBSTITUTE(K290,";",REPT(" ",99)),1,99)),FIND(":",TRIM(MID(SUBSTITUTE(K290,";",REPT(" ",99)),1,99)))+1,999))+1,999))-1)),IF(TRIM(MID(SUBSTITUTE(K290,";",REPT(" ",99)),100,99))="","",IFERROR(VLOOKUP(--LEFT(MID(TRIM(MID(SUBSTITUTE(K290,";",REPT(" ",99)),100,99)),FIND(":",TRIM(MID(SUBSTITUTE(K290,";",REPT(" ",99)),100,99)))+1,999),FIND(":",MID(TRIM(MID(SUBSTITUTE(K290,";",REPT(" ",99)),100,99)),FIND(":",TRIM(MID(SUBSTITUTE(K290,";",REPT(" ",99)),100,99)))+1,999))-1),_Lookup!$A:$B,2,FALSE),"?")&amp;"×"&amp;LEFT(MID(MID(TRIM(MID(SUBSTITUTE(K290,";",REPT(" ",99)),100,99)),FIND(":",TRIM(MID(SUBSTITUTE(K290,";",REPT(" ",99)),100,99)))+1,999),FIND(":",MID(TRIM(MID(SUBSTITUTE(K290,";",REPT(" ",99)),100,99)),FIND(":",TRIM(MID(SUBSTITUTE(K290,";",REPT(" ",99)),100,99)))+1,999))+1,999),FIND(":",MID(MID(TRIM(MID(SUBSTITUTE(K290,";",REPT(" ",99)),100,99)),FIND(":",TRIM(MID(SUBSTITUTE(K290,";",REPT(" ",99)),100,99)))+1,999),FIND(":",MID(TRIM(MID(SUBSTITUTE(K290,";",REPT(" ",99)),100,99)),FIND(":",TRIM(MID(SUBSTITUTE(K290,";",REPT(" ",99)),100,99)))+1,999))+1,999))-1)),IF(TRIM(MID(SUBSTITUTE(K290,";",REPT(" ",99)),199,99))="","",IFERROR(VLOOKUP(--LEFT(MID(TRIM(MID(SUBSTITUTE(K290,";",REPT(" ",99)),199,99)),FIND(":",TRIM(MID(SUBSTITUTE(K290,";",REPT(" ",99)),199,99)))+1,999),FIND(":",MID(TRIM(MID(SUBSTITUTE(K290,";",REPT(" ",99)),199,99)),FIND(":",TRIM(MID(SUBSTITUTE(K290,";",REPT(" ",99)),199,99)))+1,999))-1),_Lookup!$A:$B,2,FALSE),"?")&amp;"×"&amp;LEFT(MID(MID(TRIM(MID(SUBSTITUTE(K290,";",REPT(" ",99)),199,99)),FIND(":",TRIM(MID(SUBSTITUTE(K290,";",REPT(" ",99)),199,99)))+1,999),FIND(":",MID(TRIM(MID(SUBSTITUTE(K290,";",REPT(" ",99)),199,99)),FIND(":",TRIM(MID(SUBSTITUTE(K290,";",REPT(" ",99)),199,99)))+1,999))+1,999),FIND(":",MID(MID(TRIM(MID(SUBSTITUTE(K290,";",REPT(" ",99)),199,99)),FIND(":",TRIM(MID(SUBSTITUTE(K290,";",REPT(" ",99)),199,99)))+1,999),FIND(":",MID(TRIM(MID(SUBSTITUTE(K290,";",REPT(" ",99)),199,99)),FIND(":",TRIM(MID(SUBSTITUTE(K290,";",REPT(" ",99)),199,99)))+1,999))+1,999))-1)),IF(TRIM(MID(SUBSTITUTE(K290,";",REPT(" ",99)),298,99))="","",IFERROR(VLOOKUP(--LEFT(MID(TRIM(MID(SUBSTITUTE(K290,";",REPT(" ",99)),298,99)),FIND(":",TRIM(MID(SUBSTITUTE(K290,";",REPT(" ",99)),298,99)))+1,999),FIND(":",MID(TRIM(MID(SUBSTITUTE(K290,";",REPT(" ",99)),298,99)),FIND(":",TRIM(MID(SUBSTITUTE(K290,";",REPT(" ",99)),298,99)))+1,999))-1),_Lookup!$A:$B,2,FALSE),"?")&amp;"×"&amp;LEFT(MID(MID(TRIM(MID(SUBSTITUTE(K290,";",REPT(" ",99)),298,99)),FIND(":",TRIM(MID(SUBSTITUTE(K290,";",REPT(" ",99)),298,99)))+1,999),FIND(":",MID(TRIM(MID(SUBSTITUTE(K290,";",REPT(" ",99)),298,99)),FIND(":",TRIM(MID(SUBSTITUTE(K290,";",REPT(" ",99)),298,99)))+1,999))+1,999),FIND(":",MID(MID(TRIM(MID(SUBSTITUTE(K290,";",REPT(" ",99)),298,99)),FIND(":",TRIM(MID(SUBSTITUTE(K290,";",REPT(" ",99)),298,99)))+1,999),FIND(":",MID(TRIM(MID(SUBSTITUTE(K290,";",REPT(" ",99)),298,99)),FIND(":",TRIM(MID(SUBSTITUTE(K290,";",REPT(" ",99)),298,99)))+1,999))+1,999))-1)),IF(TRIM(MID(SUBSTITUTE(K290,";",REPT(" ",99)),397,99))="","",IFERROR(VLOOKUP(--LEFT(MID(TRIM(MID(SUBSTITUTE(K290,";",REPT(" ",99)),397,99)),FIND(":",TRIM(MID(SUBSTITUTE(K290,";",REPT(" ",99)),397,99)))+1,999),FIND(":",MID(TRIM(MID(SUBSTITUTE(K290,";",REPT(" ",99)),397,99)),FIND(":",TRIM(MID(SUBSTITUTE(K290,";",REPT(" ",99)),397,99)))+1,999))-1),_Lookup!$A:$B,2,FALSE),"?")&amp;"×"&amp;LEFT(MID(MID(TRIM(MID(SUBSTITUTE(K290,";",REPT(" ",99)),397,99)),FIND(":",TRIM(MID(SUBSTITUTE(K290,";",REPT(" ",99)),397,99)))+1,999),FIND(":",MID(TRIM(MID(SUBSTITUTE(K290,";",REPT(" ",99)),397,99)),FIND(":",TRIM(MID(SUBSTITUTE(K290,";",REPT(" ",99)),397,99)))+1,999))+1,999),FIND(":",MID(MID(TRIM(MID(SUBSTITUTE(K290,";",REPT(" ",99)),397,99)),FIND(":",TRIM(MID(SUBSTITUTE(K290,";",REPT(" ",99)),397,99)))+1,999),FIND(":",MID(TRIM(MID(SUBSTITUTE(K290,";",REPT(" ",99)),397,99)),FIND(":",TRIM(MID(SUBSTITUTE(K290,";",REPT(" ",99)),397,99)))+1,999))+1,999))-1))))</f>
        <v/>
      </c>
    </row>
    <row r="291">
      <c r="D291" s="11">
        <f>IFERROR(VLOOKUP(C291,ItemData_Fish!$A:$B,2,FALSE),"")</f>
        <v/>
      </c>
      <c r="L291" s="11">
        <f>IF(K291="","",TEXTJOIN("; ",TRUE,IF(TRIM(MID(SUBSTITUTE(K291,";",REPT(" ",99)),1,99))="","",IFERROR(VLOOKUP(--LEFT(MID(TRIM(MID(SUBSTITUTE(K291,";",REPT(" ",99)),1,99)),FIND(":",TRIM(MID(SUBSTITUTE(K291,";",REPT(" ",99)),1,99)))+1,999),FIND(":",MID(TRIM(MID(SUBSTITUTE(K291,";",REPT(" ",99)),1,99)),FIND(":",TRIM(MID(SUBSTITUTE(K291,";",REPT(" ",99)),1,99)))+1,999))-1),_Lookup!$A:$B,2,FALSE),"?")&amp;"×"&amp;LEFT(MID(MID(TRIM(MID(SUBSTITUTE(K291,";",REPT(" ",99)),1,99)),FIND(":",TRIM(MID(SUBSTITUTE(K291,";",REPT(" ",99)),1,99)))+1,999),FIND(":",MID(TRIM(MID(SUBSTITUTE(K291,";",REPT(" ",99)),1,99)),FIND(":",TRIM(MID(SUBSTITUTE(K291,";",REPT(" ",99)),1,99)))+1,999))+1,999),FIND(":",MID(MID(TRIM(MID(SUBSTITUTE(K291,";",REPT(" ",99)),1,99)),FIND(":",TRIM(MID(SUBSTITUTE(K291,";",REPT(" ",99)),1,99)))+1,999),FIND(":",MID(TRIM(MID(SUBSTITUTE(K291,";",REPT(" ",99)),1,99)),FIND(":",TRIM(MID(SUBSTITUTE(K291,";",REPT(" ",99)),1,99)))+1,999))+1,999))-1)),IF(TRIM(MID(SUBSTITUTE(K291,";",REPT(" ",99)),100,99))="","",IFERROR(VLOOKUP(--LEFT(MID(TRIM(MID(SUBSTITUTE(K291,";",REPT(" ",99)),100,99)),FIND(":",TRIM(MID(SUBSTITUTE(K291,";",REPT(" ",99)),100,99)))+1,999),FIND(":",MID(TRIM(MID(SUBSTITUTE(K291,";",REPT(" ",99)),100,99)),FIND(":",TRIM(MID(SUBSTITUTE(K291,";",REPT(" ",99)),100,99)))+1,999))-1),_Lookup!$A:$B,2,FALSE),"?")&amp;"×"&amp;LEFT(MID(MID(TRIM(MID(SUBSTITUTE(K291,";",REPT(" ",99)),100,99)),FIND(":",TRIM(MID(SUBSTITUTE(K291,";",REPT(" ",99)),100,99)))+1,999),FIND(":",MID(TRIM(MID(SUBSTITUTE(K291,";",REPT(" ",99)),100,99)),FIND(":",TRIM(MID(SUBSTITUTE(K291,";",REPT(" ",99)),100,99)))+1,999))+1,999),FIND(":",MID(MID(TRIM(MID(SUBSTITUTE(K291,";",REPT(" ",99)),100,99)),FIND(":",TRIM(MID(SUBSTITUTE(K291,";",REPT(" ",99)),100,99)))+1,999),FIND(":",MID(TRIM(MID(SUBSTITUTE(K291,";",REPT(" ",99)),100,99)),FIND(":",TRIM(MID(SUBSTITUTE(K291,";",REPT(" ",99)),100,99)))+1,999))+1,999))-1)),IF(TRIM(MID(SUBSTITUTE(K291,";",REPT(" ",99)),199,99))="","",IFERROR(VLOOKUP(--LEFT(MID(TRIM(MID(SUBSTITUTE(K291,";",REPT(" ",99)),199,99)),FIND(":",TRIM(MID(SUBSTITUTE(K291,";",REPT(" ",99)),199,99)))+1,999),FIND(":",MID(TRIM(MID(SUBSTITUTE(K291,";",REPT(" ",99)),199,99)),FIND(":",TRIM(MID(SUBSTITUTE(K291,";",REPT(" ",99)),199,99)))+1,999))-1),_Lookup!$A:$B,2,FALSE),"?")&amp;"×"&amp;LEFT(MID(MID(TRIM(MID(SUBSTITUTE(K291,";",REPT(" ",99)),199,99)),FIND(":",TRIM(MID(SUBSTITUTE(K291,";",REPT(" ",99)),199,99)))+1,999),FIND(":",MID(TRIM(MID(SUBSTITUTE(K291,";",REPT(" ",99)),199,99)),FIND(":",TRIM(MID(SUBSTITUTE(K291,";",REPT(" ",99)),199,99)))+1,999))+1,999),FIND(":",MID(MID(TRIM(MID(SUBSTITUTE(K291,";",REPT(" ",99)),199,99)),FIND(":",TRIM(MID(SUBSTITUTE(K291,";",REPT(" ",99)),199,99)))+1,999),FIND(":",MID(TRIM(MID(SUBSTITUTE(K291,";",REPT(" ",99)),199,99)),FIND(":",TRIM(MID(SUBSTITUTE(K291,";",REPT(" ",99)),199,99)))+1,999))+1,999))-1)),IF(TRIM(MID(SUBSTITUTE(K291,";",REPT(" ",99)),298,99))="","",IFERROR(VLOOKUP(--LEFT(MID(TRIM(MID(SUBSTITUTE(K291,";",REPT(" ",99)),298,99)),FIND(":",TRIM(MID(SUBSTITUTE(K291,";",REPT(" ",99)),298,99)))+1,999),FIND(":",MID(TRIM(MID(SUBSTITUTE(K291,";",REPT(" ",99)),298,99)),FIND(":",TRIM(MID(SUBSTITUTE(K291,";",REPT(" ",99)),298,99)))+1,999))-1),_Lookup!$A:$B,2,FALSE),"?")&amp;"×"&amp;LEFT(MID(MID(TRIM(MID(SUBSTITUTE(K291,";",REPT(" ",99)),298,99)),FIND(":",TRIM(MID(SUBSTITUTE(K291,";",REPT(" ",99)),298,99)))+1,999),FIND(":",MID(TRIM(MID(SUBSTITUTE(K291,";",REPT(" ",99)),298,99)),FIND(":",TRIM(MID(SUBSTITUTE(K291,";",REPT(" ",99)),298,99)))+1,999))+1,999),FIND(":",MID(MID(TRIM(MID(SUBSTITUTE(K291,";",REPT(" ",99)),298,99)),FIND(":",TRIM(MID(SUBSTITUTE(K291,";",REPT(" ",99)),298,99)))+1,999),FIND(":",MID(TRIM(MID(SUBSTITUTE(K291,";",REPT(" ",99)),298,99)),FIND(":",TRIM(MID(SUBSTITUTE(K291,";",REPT(" ",99)),298,99)))+1,999))+1,999))-1)),IF(TRIM(MID(SUBSTITUTE(K291,";",REPT(" ",99)),397,99))="","",IFERROR(VLOOKUP(--LEFT(MID(TRIM(MID(SUBSTITUTE(K291,";",REPT(" ",99)),397,99)),FIND(":",TRIM(MID(SUBSTITUTE(K291,";",REPT(" ",99)),397,99)))+1,999),FIND(":",MID(TRIM(MID(SUBSTITUTE(K291,";",REPT(" ",99)),397,99)),FIND(":",TRIM(MID(SUBSTITUTE(K291,";",REPT(" ",99)),397,99)))+1,999))-1),_Lookup!$A:$B,2,FALSE),"?")&amp;"×"&amp;LEFT(MID(MID(TRIM(MID(SUBSTITUTE(K291,";",REPT(" ",99)),397,99)),FIND(":",TRIM(MID(SUBSTITUTE(K291,";",REPT(" ",99)),397,99)))+1,999),FIND(":",MID(TRIM(MID(SUBSTITUTE(K291,";",REPT(" ",99)),397,99)),FIND(":",TRIM(MID(SUBSTITUTE(K291,";",REPT(" ",99)),397,99)))+1,999))+1,999),FIND(":",MID(MID(TRIM(MID(SUBSTITUTE(K291,";",REPT(" ",99)),397,99)),FIND(":",TRIM(MID(SUBSTITUTE(K291,";",REPT(" ",99)),397,99)))+1,999),FIND(":",MID(TRIM(MID(SUBSTITUTE(K291,";",REPT(" ",99)),397,99)),FIND(":",TRIM(MID(SUBSTITUTE(K291,";",REPT(" ",99)),397,99)))+1,999))+1,999))-1))))</f>
        <v/>
      </c>
    </row>
    <row r="292">
      <c r="D292" s="11">
        <f>IFERROR(VLOOKUP(C292,ItemData_Fish!$A:$B,2,FALSE),"")</f>
        <v/>
      </c>
      <c r="L292" s="11">
        <f>IF(K292="","",TEXTJOIN("; ",TRUE,IF(TRIM(MID(SUBSTITUTE(K292,";",REPT(" ",99)),1,99))="","",IFERROR(VLOOKUP(--LEFT(MID(TRIM(MID(SUBSTITUTE(K292,";",REPT(" ",99)),1,99)),FIND(":",TRIM(MID(SUBSTITUTE(K292,";",REPT(" ",99)),1,99)))+1,999),FIND(":",MID(TRIM(MID(SUBSTITUTE(K292,";",REPT(" ",99)),1,99)),FIND(":",TRIM(MID(SUBSTITUTE(K292,";",REPT(" ",99)),1,99)))+1,999))-1),_Lookup!$A:$B,2,FALSE),"?")&amp;"×"&amp;LEFT(MID(MID(TRIM(MID(SUBSTITUTE(K292,";",REPT(" ",99)),1,99)),FIND(":",TRIM(MID(SUBSTITUTE(K292,";",REPT(" ",99)),1,99)))+1,999),FIND(":",MID(TRIM(MID(SUBSTITUTE(K292,";",REPT(" ",99)),1,99)),FIND(":",TRIM(MID(SUBSTITUTE(K292,";",REPT(" ",99)),1,99)))+1,999))+1,999),FIND(":",MID(MID(TRIM(MID(SUBSTITUTE(K292,";",REPT(" ",99)),1,99)),FIND(":",TRIM(MID(SUBSTITUTE(K292,";",REPT(" ",99)),1,99)))+1,999),FIND(":",MID(TRIM(MID(SUBSTITUTE(K292,";",REPT(" ",99)),1,99)),FIND(":",TRIM(MID(SUBSTITUTE(K292,";",REPT(" ",99)),1,99)))+1,999))+1,999))-1)),IF(TRIM(MID(SUBSTITUTE(K292,";",REPT(" ",99)),100,99))="","",IFERROR(VLOOKUP(--LEFT(MID(TRIM(MID(SUBSTITUTE(K292,";",REPT(" ",99)),100,99)),FIND(":",TRIM(MID(SUBSTITUTE(K292,";",REPT(" ",99)),100,99)))+1,999),FIND(":",MID(TRIM(MID(SUBSTITUTE(K292,";",REPT(" ",99)),100,99)),FIND(":",TRIM(MID(SUBSTITUTE(K292,";",REPT(" ",99)),100,99)))+1,999))-1),_Lookup!$A:$B,2,FALSE),"?")&amp;"×"&amp;LEFT(MID(MID(TRIM(MID(SUBSTITUTE(K292,";",REPT(" ",99)),100,99)),FIND(":",TRIM(MID(SUBSTITUTE(K292,";",REPT(" ",99)),100,99)))+1,999),FIND(":",MID(TRIM(MID(SUBSTITUTE(K292,";",REPT(" ",99)),100,99)),FIND(":",TRIM(MID(SUBSTITUTE(K292,";",REPT(" ",99)),100,99)))+1,999))+1,999),FIND(":",MID(MID(TRIM(MID(SUBSTITUTE(K292,";",REPT(" ",99)),100,99)),FIND(":",TRIM(MID(SUBSTITUTE(K292,";",REPT(" ",99)),100,99)))+1,999),FIND(":",MID(TRIM(MID(SUBSTITUTE(K292,";",REPT(" ",99)),100,99)),FIND(":",TRIM(MID(SUBSTITUTE(K292,";",REPT(" ",99)),100,99)))+1,999))+1,999))-1)),IF(TRIM(MID(SUBSTITUTE(K292,";",REPT(" ",99)),199,99))="","",IFERROR(VLOOKUP(--LEFT(MID(TRIM(MID(SUBSTITUTE(K292,";",REPT(" ",99)),199,99)),FIND(":",TRIM(MID(SUBSTITUTE(K292,";",REPT(" ",99)),199,99)))+1,999),FIND(":",MID(TRIM(MID(SUBSTITUTE(K292,";",REPT(" ",99)),199,99)),FIND(":",TRIM(MID(SUBSTITUTE(K292,";",REPT(" ",99)),199,99)))+1,999))-1),_Lookup!$A:$B,2,FALSE),"?")&amp;"×"&amp;LEFT(MID(MID(TRIM(MID(SUBSTITUTE(K292,";",REPT(" ",99)),199,99)),FIND(":",TRIM(MID(SUBSTITUTE(K292,";",REPT(" ",99)),199,99)))+1,999),FIND(":",MID(TRIM(MID(SUBSTITUTE(K292,";",REPT(" ",99)),199,99)),FIND(":",TRIM(MID(SUBSTITUTE(K292,";",REPT(" ",99)),199,99)))+1,999))+1,999),FIND(":",MID(MID(TRIM(MID(SUBSTITUTE(K292,";",REPT(" ",99)),199,99)),FIND(":",TRIM(MID(SUBSTITUTE(K292,";",REPT(" ",99)),199,99)))+1,999),FIND(":",MID(TRIM(MID(SUBSTITUTE(K292,";",REPT(" ",99)),199,99)),FIND(":",TRIM(MID(SUBSTITUTE(K292,";",REPT(" ",99)),199,99)))+1,999))+1,999))-1)),IF(TRIM(MID(SUBSTITUTE(K292,";",REPT(" ",99)),298,99))="","",IFERROR(VLOOKUP(--LEFT(MID(TRIM(MID(SUBSTITUTE(K292,";",REPT(" ",99)),298,99)),FIND(":",TRIM(MID(SUBSTITUTE(K292,";",REPT(" ",99)),298,99)))+1,999),FIND(":",MID(TRIM(MID(SUBSTITUTE(K292,";",REPT(" ",99)),298,99)),FIND(":",TRIM(MID(SUBSTITUTE(K292,";",REPT(" ",99)),298,99)))+1,999))-1),_Lookup!$A:$B,2,FALSE),"?")&amp;"×"&amp;LEFT(MID(MID(TRIM(MID(SUBSTITUTE(K292,";",REPT(" ",99)),298,99)),FIND(":",TRIM(MID(SUBSTITUTE(K292,";",REPT(" ",99)),298,99)))+1,999),FIND(":",MID(TRIM(MID(SUBSTITUTE(K292,";",REPT(" ",99)),298,99)),FIND(":",TRIM(MID(SUBSTITUTE(K292,";",REPT(" ",99)),298,99)))+1,999))+1,999),FIND(":",MID(MID(TRIM(MID(SUBSTITUTE(K292,";",REPT(" ",99)),298,99)),FIND(":",TRIM(MID(SUBSTITUTE(K292,";",REPT(" ",99)),298,99)))+1,999),FIND(":",MID(TRIM(MID(SUBSTITUTE(K292,";",REPT(" ",99)),298,99)),FIND(":",TRIM(MID(SUBSTITUTE(K292,";",REPT(" ",99)),298,99)))+1,999))+1,999))-1)),IF(TRIM(MID(SUBSTITUTE(K292,";",REPT(" ",99)),397,99))="","",IFERROR(VLOOKUP(--LEFT(MID(TRIM(MID(SUBSTITUTE(K292,";",REPT(" ",99)),397,99)),FIND(":",TRIM(MID(SUBSTITUTE(K292,";",REPT(" ",99)),397,99)))+1,999),FIND(":",MID(TRIM(MID(SUBSTITUTE(K292,";",REPT(" ",99)),397,99)),FIND(":",TRIM(MID(SUBSTITUTE(K292,";",REPT(" ",99)),397,99)))+1,999))-1),_Lookup!$A:$B,2,FALSE),"?")&amp;"×"&amp;LEFT(MID(MID(TRIM(MID(SUBSTITUTE(K292,";",REPT(" ",99)),397,99)),FIND(":",TRIM(MID(SUBSTITUTE(K292,";",REPT(" ",99)),397,99)))+1,999),FIND(":",MID(TRIM(MID(SUBSTITUTE(K292,";",REPT(" ",99)),397,99)),FIND(":",TRIM(MID(SUBSTITUTE(K292,";",REPT(" ",99)),397,99)))+1,999))+1,999),FIND(":",MID(MID(TRIM(MID(SUBSTITUTE(K292,";",REPT(" ",99)),397,99)),FIND(":",TRIM(MID(SUBSTITUTE(K292,";",REPT(" ",99)),397,99)))+1,999),FIND(":",MID(TRIM(MID(SUBSTITUTE(K292,";",REPT(" ",99)),397,99)),FIND(":",TRIM(MID(SUBSTITUTE(K292,";",REPT(" ",99)),397,99)))+1,999))+1,999))-1))))</f>
        <v/>
      </c>
    </row>
    <row r="293">
      <c r="D293" s="11">
        <f>IFERROR(VLOOKUP(C293,ItemData_Fish!$A:$B,2,FALSE),"")</f>
        <v/>
      </c>
      <c r="L293" s="11">
        <f>IF(K293="","",TEXTJOIN("; ",TRUE,IF(TRIM(MID(SUBSTITUTE(K293,";",REPT(" ",99)),1,99))="","",IFERROR(VLOOKUP(--LEFT(MID(TRIM(MID(SUBSTITUTE(K293,";",REPT(" ",99)),1,99)),FIND(":",TRIM(MID(SUBSTITUTE(K293,";",REPT(" ",99)),1,99)))+1,999),FIND(":",MID(TRIM(MID(SUBSTITUTE(K293,";",REPT(" ",99)),1,99)),FIND(":",TRIM(MID(SUBSTITUTE(K293,";",REPT(" ",99)),1,99)))+1,999))-1),_Lookup!$A:$B,2,FALSE),"?")&amp;"×"&amp;LEFT(MID(MID(TRIM(MID(SUBSTITUTE(K293,";",REPT(" ",99)),1,99)),FIND(":",TRIM(MID(SUBSTITUTE(K293,";",REPT(" ",99)),1,99)))+1,999),FIND(":",MID(TRIM(MID(SUBSTITUTE(K293,";",REPT(" ",99)),1,99)),FIND(":",TRIM(MID(SUBSTITUTE(K293,";",REPT(" ",99)),1,99)))+1,999))+1,999),FIND(":",MID(MID(TRIM(MID(SUBSTITUTE(K293,";",REPT(" ",99)),1,99)),FIND(":",TRIM(MID(SUBSTITUTE(K293,";",REPT(" ",99)),1,99)))+1,999),FIND(":",MID(TRIM(MID(SUBSTITUTE(K293,";",REPT(" ",99)),1,99)),FIND(":",TRIM(MID(SUBSTITUTE(K293,";",REPT(" ",99)),1,99)))+1,999))+1,999))-1)),IF(TRIM(MID(SUBSTITUTE(K293,";",REPT(" ",99)),100,99))="","",IFERROR(VLOOKUP(--LEFT(MID(TRIM(MID(SUBSTITUTE(K293,";",REPT(" ",99)),100,99)),FIND(":",TRIM(MID(SUBSTITUTE(K293,";",REPT(" ",99)),100,99)))+1,999),FIND(":",MID(TRIM(MID(SUBSTITUTE(K293,";",REPT(" ",99)),100,99)),FIND(":",TRIM(MID(SUBSTITUTE(K293,";",REPT(" ",99)),100,99)))+1,999))-1),_Lookup!$A:$B,2,FALSE),"?")&amp;"×"&amp;LEFT(MID(MID(TRIM(MID(SUBSTITUTE(K293,";",REPT(" ",99)),100,99)),FIND(":",TRIM(MID(SUBSTITUTE(K293,";",REPT(" ",99)),100,99)))+1,999),FIND(":",MID(TRIM(MID(SUBSTITUTE(K293,";",REPT(" ",99)),100,99)),FIND(":",TRIM(MID(SUBSTITUTE(K293,";",REPT(" ",99)),100,99)))+1,999))+1,999),FIND(":",MID(MID(TRIM(MID(SUBSTITUTE(K293,";",REPT(" ",99)),100,99)),FIND(":",TRIM(MID(SUBSTITUTE(K293,";",REPT(" ",99)),100,99)))+1,999),FIND(":",MID(TRIM(MID(SUBSTITUTE(K293,";",REPT(" ",99)),100,99)),FIND(":",TRIM(MID(SUBSTITUTE(K293,";",REPT(" ",99)),100,99)))+1,999))+1,999))-1)),IF(TRIM(MID(SUBSTITUTE(K293,";",REPT(" ",99)),199,99))="","",IFERROR(VLOOKUP(--LEFT(MID(TRIM(MID(SUBSTITUTE(K293,";",REPT(" ",99)),199,99)),FIND(":",TRIM(MID(SUBSTITUTE(K293,";",REPT(" ",99)),199,99)))+1,999),FIND(":",MID(TRIM(MID(SUBSTITUTE(K293,";",REPT(" ",99)),199,99)),FIND(":",TRIM(MID(SUBSTITUTE(K293,";",REPT(" ",99)),199,99)))+1,999))-1),_Lookup!$A:$B,2,FALSE),"?")&amp;"×"&amp;LEFT(MID(MID(TRIM(MID(SUBSTITUTE(K293,";",REPT(" ",99)),199,99)),FIND(":",TRIM(MID(SUBSTITUTE(K293,";",REPT(" ",99)),199,99)))+1,999),FIND(":",MID(TRIM(MID(SUBSTITUTE(K293,";",REPT(" ",99)),199,99)),FIND(":",TRIM(MID(SUBSTITUTE(K293,";",REPT(" ",99)),199,99)))+1,999))+1,999),FIND(":",MID(MID(TRIM(MID(SUBSTITUTE(K293,";",REPT(" ",99)),199,99)),FIND(":",TRIM(MID(SUBSTITUTE(K293,";",REPT(" ",99)),199,99)))+1,999),FIND(":",MID(TRIM(MID(SUBSTITUTE(K293,";",REPT(" ",99)),199,99)),FIND(":",TRIM(MID(SUBSTITUTE(K293,";",REPT(" ",99)),199,99)))+1,999))+1,999))-1)),IF(TRIM(MID(SUBSTITUTE(K293,";",REPT(" ",99)),298,99))="","",IFERROR(VLOOKUP(--LEFT(MID(TRIM(MID(SUBSTITUTE(K293,";",REPT(" ",99)),298,99)),FIND(":",TRIM(MID(SUBSTITUTE(K293,";",REPT(" ",99)),298,99)))+1,999),FIND(":",MID(TRIM(MID(SUBSTITUTE(K293,";",REPT(" ",99)),298,99)),FIND(":",TRIM(MID(SUBSTITUTE(K293,";",REPT(" ",99)),298,99)))+1,999))-1),_Lookup!$A:$B,2,FALSE),"?")&amp;"×"&amp;LEFT(MID(MID(TRIM(MID(SUBSTITUTE(K293,";",REPT(" ",99)),298,99)),FIND(":",TRIM(MID(SUBSTITUTE(K293,";",REPT(" ",99)),298,99)))+1,999),FIND(":",MID(TRIM(MID(SUBSTITUTE(K293,";",REPT(" ",99)),298,99)),FIND(":",TRIM(MID(SUBSTITUTE(K293,";",REPT(" ",99)),298,99)))+1,999))+1,999),FIND(":",MID(MID(TRIM(MID(SUBSTITUTE(K293,";",REPT(" ",99)),298,99)),FIND(":",TRIM(MID(SUBSTITUTE(K293,";",REPT(" ",99)),298,99)))+1,999),FIND(":",MID(TRIM(MID(SUBSTITUTE(K293,";",REPT(" ",99)),298,99)),FIND(":",TRIM(MID(SUBSTITUTE(K293,";",REPT(" ",99)),298,99)))+1,999))+1,999))-1)),IF(TRIM(MID(SUBSTITUTE(K293,";",REPT(" ",99)),397,99))="","",IFERROR(VLOOKUP(--LEFT(MID(TRIM(MID(SUBSTITUTE(K293,";",REPT(" ",99)),397,99)),FIND(":",TRIM(MID(SUBSTITUTE(K293,";",REPT(" ",99)),397,99)))+1,999),FIND(":",MID(TRIM(MID(SUBSTITUTE(K293,";",REPT(" ",99)),397,99)),FIND(":",TRIM(MID(SUBSTITUTE(K293,";",REPT(" ",99)),397,99)))+1,999))-1),_Lookup!$A:$B,2,FALSE),"?")&amp;"×"&amp;LEFT(MID(MID(TRIM(MID(SUBSTITUTE(K293,";",REPT(" ",99)),397,99)),FIND(":",TRIM(MID(SUBSTITUTE(K293,";",REPT(" ",99)),397,99)))+1,999),FIND(":",MID(TRIM(MID(SUBSTITUTE(K293,";",REPT(" ",99)),397,99)),FIND(":",TRIM(MID(SUBSTITUTE(K293,";",REPT(" ",99)),397,99)))+1,999))+1,999),FIND(":",MID(MID(TRIM(MID(SUBSTITUTE(K293,";",REPT(" ",99)),397,99)),FIND(":",TRIM(MID(SUBSTITUTE(K293,";",REPT(" ",99)),397,99)))+1,999),FIND(":",MID(TRIM(MID(SUBSTITUTE(K293,";",REPT(" ",99)),397,99)),FIND(":",TRIM(MID(SUBSTITUTE(K293,";",REPT(" ",99)),397,99)))+1,999))+1,999))-1))))</f>
        <v/>
      </c>
    </row>
    <row r="294">
      <c r="D294" s="11">
        <f>IFERROR(VLOOKUP(C294,ItemData_Fish!$A:$B,2,FALSE),"")</f>
        <v/>
      </c>
      <c r="L294" s="11">
        <f>IF(K294="","",TEXTJOIN("; ",TRUE,IF(TRIM(MID(SUBSTITUTE(K294,";",REPT(" ",99)),1,99))="","",IFERROR(VLOOKUP(--LEFT(MID(TRIM(MID(SUBSTITUTE(K294,";",REPT(" ",99)),1,99)),FIND(":",TRIM(MID(SUBSTITUTE(K294,";",REPT(" ",99)),1,99)))+1,999),FIND(":",MID(TRIM(MID(SUBSTITUTE(K294,";",REPT(" ",99)),1,99)),FIND(":",TRIM(MID(SUBSTITUTE(K294,";",REPT(" ",99)),1,99)))+1,999))-1),_Lookup!$A:$B,2,FALSE),"?")&amp;"×"&amp;LEFT(MID(MID(TRIM(MID(SUBSTITUTE(K294,";",REPT(" ",99)),1,99)),FIND(":",TRIM(MID(SUBSTITUTE(K294,";",REPT(" ",99)),1,99)))+1,999),FIND(":",MID(TRIM(MID(SUBSTITUTE(K294,";",REPT(" ",99)),1,99)),FIND(":",TRIM(MID(SUBSTITUTE(K294,";",REPT(" ",99)),1,99)))+1,999))+1,999),FIND(":",MID(MID(TRIM(MID(SUBSTITUTE(K294,";",REPT(" ",99)),1,99)),FIND(":",TRIM(MID(SUBSTITUTE(K294,";",REPT(" ",99)),1,99)))+1,999),FIND(":",MID(TRIM(MID(SUBSTITUTE(K294,";",REPT(" ",99)),1,99)),FIND(":",TRIM(MID(SUBSTITUTE(K294,";",REPT(" ",99)),1,99)))+1,999))+1,999))-1)),IF(TRIM(MID(SUBSTITUTE(K294,";",REPT(" ",99)),100,99))="","",IFERROR(VLOOKUP(--LEFT(MID(TRIM(MID(SUBSTITUTE(K294,";",REPT(" ",99)),100,99)),FIND(":",TRIM(MID(SUBSTITUTE(K294,";",REPT(" ",99)),100,99)))+1,999),FIND(":",MID(TRIM(MID(SUBSTITUTE(K294,";",REPT(" ",99)),100,99)),FIND(":",TRIM(MID(SUBSTITUTE(K294,";",REPT(" ",99)),100,99)))+1,999))-1),_Lookup!$A:$B,2,FALSE),"?")&amp;"×"&amp;LEFT(MID(MID(TRIM(MID(SUBSTITUTE(K294,";",REPT(" ",99)),100,99)),FIND(":",TRIM(MID(SUBSTITUTE(K294,";",REPT(" ",99)),100,99)))+1,999),FIND(":",MID(TRIM(MID(SUBSTITUTE(K294,";",REPT(" ",99)),100,99)),FIND(":",TRIM(MID(SUBSTITUTE(K294,";",REPT(" ",99)),100,99)))+1,999))+1,999),FIND(":",MID(MID(TRIM(MID(SUBSTITUTE(K294,";",REPT(" ",99)),100,99)),FIND(":",TRIM(MID(SUBSTITUTE(K294,";",REPT(" ",99)),100,99)))+1,999),FIND(":",MID(TRIM(MID(SUBSTITUTE(K294,";",REPT(" ",99)),100,99)),FIND(":",TRIM(MID(SUBSTITUTE(K294,";",REPT(" ",99)),100,99)))+1,999))+1,999))-1)),IF(TRIM(MID(SUBSTITUTE(K294,";",REPT(" ",99)),199,99))="","",IFERROR(VLOOKUP(--LEFT(MID(TRIM(MID(SUBSTITUTE(K294,";",REPT(" ",99)),199,99)),FIND(":",TRIM(MID(SUBSTITUTE(K294,";",REPT(" ",99)),199,99)))+1,999),FIND(":",MID(TRIM(MID(SUBSTITUTE(K294,";",REPT(" ",99)),199,99)),FIND(":",TRIM(MID(SUBSTITUTE(K294,";",REPT(" ",99)),199,99)))+1,999))-1),_Lookup!$A:$B,2,FALSE),"?")&amp;"×"&amp;LEFT(MID(MID(TRIM(MID(SUBSTITUTE(K294,";",REPT(" ",99)),199,99)),FIND(":",TRIM(MID(SUBSTITUTE(K294,";",REPT(" ",99)),199,99)))+1,999),FIND(":",MID(TRIM(MID(SUBSTITUTE(K294,";",REPT(" ",99)),199,99)),FIND(":",TRIM(MID(SUBSTITUTE(K294,";",REPT(" ",99)),199,99)))+1,999))+1,999),FIND(":",MID(MID(TRIM(MID(SUBSTITUTE(K294,";",REPT(" ",99)),199,99)),FIND(":",TRIM(MID(SUBSTITUTE(K294,";",REPT(" ",99)),199,99)))+1,999),FIND(":",MID(TRIM(MID(SUBSTITUTE(K294,";",REPT(" ",99)),199,99)),FIND(":",TRIM(MID(SUBSTITUTE(K294,";",REPT(" ",99)),199,99)))+1,999))+1,999))-1)),IF(TRIM(MID(SUBSTITUTE(K294,";",REPT(" ",99)),298,99))="","",IFERROR(VLOOKUP(--LEFT(MID(TRIM(MID(SUBSTITUTE(K294,";",REPT(" ",99)),298,99)),FIND(":",TRIM(MID(SUBSTITUTE(K294,";",REPT(" ",99)),298,99)))+1,999),FIND(":",MID(TRIM(MID(SUBSTITUTE(K294,";",REPT(" ",99)),298,99)),FIND(":",TRIM(MID(SUBSTITUTE(K294,";",REPT(" ",99)),298,99)))+1,999))-1),_Lookup!$A:$B,2,FALSE),"?")&amp;"×"&amp;LEFT(MID(MID(TRIM(MID(SUBSTITUTE(K294,";",REPT(" ",99)),298,99)),FIND(":",TRIM(MID(SUBSTITUTE(K294,";",REPT(" ",99)),298,99)))+1,999),FIND(":",MID(TRIM(MID(SUBSTITUTE(K294,";",REPT(" ",99)),298,99)),FIND(":",TRIM(MID(SUBSTITUTE(K294,";",REPT(" ",99)),298,99)))+1,999))+1,999),FIND(":",MID(MID(TRIM(MID(SUBSTITUTE(K294,";",REPT(" ",99)),298,99)),FIND(":",TRIM(MID(SUBSTITUTE(K294,";",REPT(" ",99)),298,99)))+1,999),FIND(":",MID(TRIM(MID(SUBSTITUTE(K294,";",REPT(" ",99)),298,99)),FIND(":",TRIM(MID(SUBSTITUTE(K294,";",REPT(" ",99)),298,99)))+1,999))+1,999))-1)),IF(TRIM(MID(SUBSTITUTE(K294,";",REPT(" ",99)),397,99))="","",IFERROR(VLOOKUP(--LEFT(MID(TRIM(MID(SUBSTITUTE(K294,";",REPT(" ",99)),397,99)),FIND(":",TRIM(MID(SUBSTITUTE(K294,";",REPT(" ",99)),397,99)))+1,999),FIND(":",MID(TRIM(MID(SUBSTITUTE(K294,";",REPT(" ",99)),397,99)),FIND(":",TRIM(MID(SUBSTITUTE(K294,";",REPT(" ",99)),397,99)))+1,999))-1),_Lookup!$A:$B,2,FALSE),"?")&amp;"×"&amp;LEFT(MID(MID(TRIM(MID(SUBSTITUTE(K294,";",REPT(" ",99)),397,99)),FIND(":",TRIM(MID(SUBSTITUTE(K294,";",REPT(" ",99)),397,99)))+1,999),FIND(":",MID(TRIM(MID(SUBSTITUTE(K294,";",REPT(" ",99)),397,99)),FIND(":",TRIM(MID(SUBSTITUTE(K294,";",REPT(" ",99)),397,99)))+1,999))+1,999),FIND(":",MID(MID(TRIM(MID(SUBSTITUTE(K294,";",REPT(" ",99)),397,99)),FIND(":",TRIM(MID(SUBSTITUTE(K294,";",REPT(" ",99)),397,99)))+1,999),FIND(":",MID(TRIM(MID(SUBSTITUTE(K294,";",REPT(" ",99)),397,99)),FIND(":",TRIM(MID(SUBSTITUTE(K294,";",REPT(" ",99)),397,99)))+1,999))+1,999))-1))))</f>
        <v/>
      </c>
    </row>
    <row r="295">
      <c r="D295" s="11">
        <f>IFERROR(VLOOKUP(C295,ItemData_Fish!$A:$B,2,FALSE),"")</f>
        <v/>
      </c>
      <c r="L295" s="11">
        <f>IF(K295="","",TEXTJOIN("; ",TRUE,IF(TRIM(MID(SUBSTITUTE(K295,";",REPT(" ",99)),1,99))="","",IFERROR(VLOOKUP(--LEFT(MID(TRIM(MID(SUBSTITUTE(K295,";",REPT(" ",99)),1,99)),FIND(":",TRIM(MID(SUBSTITUTE(K295,";",REPT(" ",99)),1,99)))+1,999),FIND(":",MID(TRIM(MID(SUBSTITUTE(K295,";",REPT(" ",99)),1,99)),FIND(":",TRIM(MID(SUBSTITUTE(K295,";",REPT(" ",99)),1,99)))+1,999))-1),_Lookup!$A:$B,2,FALSE),"?")&amp;"×"&amp;LEFT(MID(MID(TRIM(MID(SUBSTITUTE(K295,";",REPT(" ",99)),1,99)),FIND(":",TRIM(MID(SUBSTITUTE(K295,";",REPT(" ",99)),1,99)))+1,999),FIND(":",MID(TRIM(MID(SUBSTITUTE(K295,";",REPT(" ",99)),1,99)),FIND(":",TRIM(MID(SUBSTITUTE(K295,";",REPT(" ",99)),1,99)))+1,999))+1,999),FIND(":",MID(MID(TRIM(MID(SUBSTITUTE(K295,";",REPT(" ",99)),1,99)),FIND(":",TRIM(MID(SUBSTITUTE(K295,";",REPT(" ",99)),1,99)))+1,999),FIND(":",MID(TRIM(MID(SUBSTITUTE(K295,";",REPT(" ",99)),1,99)),FIND(":",TRIM(MID(SUBSTITUTE(K295,";",REPT(" ",99)),1,99)))+1,999))+1,999))-1)),IF(TRIM(MID(SUBSTITUTE(K295,";",REPT(" ",99)),100,99))="","",IFERROR(VLOOKUP(--LEFT(MID(TRIM(MID(SUBSTITUTE(K295,";",REPT(" ",99)),100,99)),FIND(":",TRIM(MID(SUBSTITUTE(K295,";",REPT(" ",99)),100,99)))+1,999),FIND(":",MID(TRIM(MID(SUBSTITUTE(K295,";",REPT(" ",99)),100,99)),FIND(":",TRIM(MID(SUBSTITUTE(K295,";",REPT(" ",99)),100,99)))+1,999))-1),_Lookup!$A:$B,2,FALSE),"?")&amp;"×"&amp;LEFT(MID(MID(TRIM(MID(SUBSTITUTE(K295,";",REPT(" ",99)),100,99)),FIND(":",TRIM(MID(SUBSTITUTE(K295,";",REPT(" ",99)),100,99)))+1,999),FIND(":",MID(TRIM(MID(SUBSTITUTE(K295,";",REPT(" ",99)),100,99)),FIND(":",TRIM(MID(SUBSTITUTE(K295,";",REPT(" ",99)),100,99)))+1,999))+1,999),FIND(":",MID(MID(TRIM(MID(SUBSTITUTE(K295,";",REPT(" ",99)),100,99)),FIND(":",TRIM(MID(SUBSTITUTE(K295,";",REPT(" ",99)),100,99)))+1,999),FIND(":",MID(TRIM(MID(SUBSTITUTE(K295,";",REPT(" ",99)),100,99)),FIND(":",TRIM(MID(SUBSTITUTE(K295,";",REPT(" ",99)),100,99)))+1,999))+1,999))-1)),IF(TRIM(MID(SUBSTITUTE(K295,";",REPT(" ",99)),199,99))="","",IFERROR(VLOOKUP(--LEFT(MID(TRIM(MID(SUBSTITUTE(K295,";",REPT(" ",99)),199,99)),FIND(":",TRIM(MID(SUBSTITUTE(K295,";",REPT(" ",99)),199,99)))+1,999),FIND(":",MID(TRIM(MID(SUBSTITUTE(K295,";",REPT(" ",99)),199,99)),FIND(":",TRIM(MID(SUBSTITUTE(K295,";",REPT(" ",99)),199,99)))+1,999))-1),_Lookup!$A:$B,2,FALSE),"?")&amp;"×"&amp;LEFT(MID(MID(TRIM(MID(SUBSTITUTE(K295,";",REPT(" ",99)),199,99)),FIND(":",TRIM(MID(SUBSTITUTE(K295,";",REPT(" ",99)),199,99)))+1,999),FIND(":",MID(TRIM(MID(SUBSTITUTE(K295,";",REPT(" ",99)),199,99)),FIND(":",TRIM(MID(SUBSTITUTE(K295,";",REPT(" ",99)),199,99)))+1,999))+1,999),FIND(":",MID(MID(TRIM(MID(SUBSTITUTE(K295,";",REPT(" ",99)),199,99)),FIND(":",TRIM(MID(SUBSTITUTE(K295,";",REPT(" ",99)),199,99)))+1,999),FIND(":",MID(TRIM(MID(SUBSTITUTE(K295,";",REPT(" ",99)),199,99)),FIND(":",TRIM(MID(SUBSTITUTE(K295,";",REPT(" ",99)),199,99)))+1,999))+1,999))-1)),IF(TRIM(MID(SUBSTITUTE(K295,";",REPT(" ",99)),298,99))="","",IFERROR(VLOOKUP(--LEFT(MID(TRIM(MID(SUBSTITUTE(K295,";",REPT(" ",99)),298,99)),FIND(":",TRIM(MID(SUBSTITUTE(K295,";",REPT(" ",99)),298,99)))+1,999),FIND(":",MID(TRIM(MID(SUBSTITUTE(K295,";",REPT(" ",99)),298,99)),FIND(":",TRIM(MID(SUBSTITUTE(K295,";",REPT(" ",99)),298,99)))+1,999))-1),_Lookup!$A:$B,2,FALSE),"?")&amp;"×"&amp;LEFT(MID(MID(TRIM(MID(SUBSTITUTE(K295,";",REPT(" ",99)),298,99)),FIND(":",TRIM(MID(SUBSTITUTE(K295,";",REPT(" ",99)),298,99)))+1,999),FIND(":",MID(TRIM(MID(SUBSTITUTE(K295,";",REPT(" ",99)),298,99)),FIND(":",TRIM(MID(SUBSTITUTE(K295,";",REPT(" ",99)),298,99)))+1,999))+1,999),FIND(":",MID(MID(TRIM(MID(SUBSTITUTE(K295,";",REPT(" ",99)),298,99)),FIND(":",TRIM(MID(SUBSTITUTE(K295,";",REPT(" ",99)),298,99)))+1,999),FIND(":",MID(TRIM(MID(SUBSTITUTE(K295,";",REPT(" ",99)),298,99)),FIND(":",TRIM(MID(SUBSTITUTE(K295,";",REPT(" ",99)),298,99)))+1,999))+1,999))-1)),IF(TRIM(MID(SUBSTITUTE(K295,";",REPT(" ",99)),397,99))="","",IFERROR(VLOOKUP(--LEFT(MID(TRIM(MID(SUBSTITUTE(K295,";",REPT(" ",99)),397,99)),FIND(":",TRIM(MID(SUBSTITUTE(K295,";",REPT(" ",99)),397,99)))+1,999),FIND(":",MID(TRIM(MID(SUBSTITUTE(K295,";",REPT(" ",99)),397,99)),FIND(":",TRIM(MID(SUBSTITUTE(K295,";",REPT(" ",99)),397,99)))+1,999))-1),_Lookup!$A:$B,2,FALSE),"?")&amp;"×"&amp;LEFT(MID(MID(TRIM(MID(SUBSTITUTE(K295,";",REPT(" ",99)),397,99)),FIND(":",TRIM(MID(SUBSTITUTE(K295,";",REPT(" ",99)),397,99)))+1,999),FIND(":",MID(TRIM(MID(SUBSTITUTE(K295,";",REPT(" ",99)),397,99)),FIND(":",TRIM(MID(SUBSTITUTE(K295,";",REPT(" ",99)),397,99)))+1,999))+1,999),FIND(":",MID(MID(TRIM(MID(SUBSTITUTE(K295,";",REPT(" ",99)),397,99)),FIND(":",TRIM(MID(SUBSTITUTE(K295,";",REPT(" ",99)),397,99)))+1,999),FIND(":",MID(TRIM(MID(SUBSTITUTE(K295,";",REPT(" ",99)),397,99)),FIND(":",TRIM(MID(SUBSTITUTE(K295,";",REPT(" ",99)),397,99)))+1,999))+1,999))-1))))</f>
        <v/>
      </c>
    </row>
    <row r="296">
      <c r="D296" s="11">
        <f>IFERROR(VLOOKUP(C296,ItemData_Fish!$A:$B,2,FALSE),"")</f>
        <v/>
      </c>
      <c r="L296" s="11">
        <f>IF(K296="","",TEXTJOIN("; ",TRUE,IF(TRIM(MID(SUBSTITUTE(K296,";",REPT(" ",99)),1,99))="","",IFERROR(VLOOKUP(--LEFT(MID(TRIM(MID(SUBSTITUTE(K296,";",REPT(" ",99)),1,99)),FIND(":",TRIM(MID(SUBSTITUTE(K296,";",REPT(" ",99)),1,99)))+1,999),FIND(":",MID(TRIM(MID(SUBSTITUTE(K296,";",REPT(" ",99)),1,99)),FIND(":",TRIM(MID(SUBSTITUTE(K296,";",REPT(" ",99)),1,99)))+1,999))-1),_Lookup!$A:$B,2,FALSE),"?")&amp;"×"&amp;LEFT(MID(MID(TRIM(MID(SUBSTITUTE(K296,";",REPT(" ",99)),1,99)),FIND(":",TRIM(MID(SUBSTITUTE(K296,";",REPT(" ",99)),1,99)))+1,999),FIND(":",MID(TRIM(MID(SUBSTITUTE(K296,";",REPT(" ",99)),1,99)),FIND(":",TRIM(MID(SUBSTITUTE(K296,";",REPT(" ",99)),1,99)))+1,999))+1,999),FIND(":",MID(MID(TRIM(MID(SUBSTITUTE(K296,";",REPT(" ",99)),1,99)),FIND(":",TRIM(MID(SUBSTITUTE(K296,";",REPT(" ",99)),1,99)))+1,999),FIND(":",MID(TRIM(MID(SUBSTITUTE(K296,";",REPT(" ",99)),1,99)),FIND(":",TRIM(MID(SUBSTITUTE(K296,";",REPT(" ",99)),1,99)))+1,999))+1,999))-1)),IF(TRIM(MID(SUBSTITUTE(K296,";",REPT(" ",99)),100,99))="","",IFERROR(VLOOKUP(--LEFT(MID(TRIM(MID(SUBSTITUTE(K296,";",REPT(" ",99)),100,99)),FIND(":",TRIM(MID(SUBSTITUTE(K296,";",REPT(" ",99)),100,99)))+1,999),FIND(":",MID(TRIM(MID(SUBSTITUTE(K296,";",REPT(" ",99)),100,99)),FIND(":",TRIM(MID(SUBSTITUTE(K296,";",REPT(" ",99)),100,99)))+1,999))-1),_Lookup!$A:$B,2,FALSE),"?")&amp;"×"&amp;LEFT(MID(MID(TRIM(MID(SUBSTITUTE(K296,";",REPT(" ",99)),100,99)),FIND(":",TRIM(MID(SUBSTITUTE(K296,";",REPT(" ",99)),100,99)))+1,999),FIND(":",MID(TRIM(MID(SUBSTITUTE(K296,";",REPT(" ",99)),100,99)),FIND(":",TRIM(MID(SUBSTITUTE(K296,";",REPT(" ",99)),100,99)))+1,999))+1,999),FIND(":",MID(MID(TRIM(MID(SUBSTITUTE(K296,";",REPT(" ",99)),100,99)),FIND(":",TRIM(MID(SUBSTITUTE(K296,";",REPT(" ",99)),100,99)))+1,999),FIND(":",MID(TRIM(MID(SUBSTITUTE(K296,";",REPT(" ",99)),100,99)),FIND(":",TRIM(MID(SUBSTITUTE(K296,";",REPT(" ",99)),100,99)))+1,999))+1,999))-1)),IF(TRIM(MID(SUBSTITUTE(K296,";",REPT(" ",99)),199,99))="","",IFERROR(VLOOKUP(--LEFT(MID(TRIM(MID(SUBSTITUTE(K296,";",REPT(" ",99)),199,99)),FIND(":",TRIM(MID(SUBSTITUTE(K296,";",REPT(" ",99)),199,99)))+1,999),FIND(":",MID(TRIM(MID(SUBSTITUTE(K296,";",REPT(" ",99)),199,99)),FIND(":",TRIM(MID(SUBSTITUTE(K296,";",REPT(" ",99)),199,99)))+1,999))-1),_Lookup!$A:$B,2,FALSE),"?")&amp;"×"&amp;LEFT(MID(MID(TRIM(MID(SUBSTITUTE(K296,";",REPT(" ",99)),199,99)),FIND(":",TRIM(MID(SUBSTITUTE(K296,";",REPT(" ",99)),199,99)))+1,999),FIND(":",MID(TRIM(MID(SUBSTITUTE(K296,";",REPT(" ",99)),199,99)),FIND(":",TRIM(MID(SUBSTITUTE(K296,";",REPT(" ",99)),199,99)))+1,999))+1,999),FIND(":",MID(MID(TRIM(MID(SUBSTITUTE(K296,";",REPT(" ",99)),199,99)),FIND(":",TRIM(MID(SUBSTITUTE(K296,";",REPT(" ",99)),199,99)))+1,999),FIND(":",MID(TRIM(MID(SUBSTITUTE(K296,";",REPT(" ",99)),199,99)),FIND(":",TRIM(MID(SUBSTITUTE(K296,";",REPT(" ",99)),199,99)))+1,999))+1,999))-1)),IF(TRIM(MID(SUBSTITUTE(K296,";",REPT(" ",99)),298,99))="","",IFERROR(VLOOKUP(--LEFT(MID(TRIM(MID(SUBSTITUTE(K296,";",REPT(" ",99)),298,99)),FIND(":",TRIM(MID(SUBSTITUTE(K296,";",REPT(" ",99)),298,99)))+1,999),FIND(":",MID(TRIM(MID(SUBSTITUTE(K296,";",REPT(" ",99)),298,99)),FIND(":",TRIM(MID(SUBSTITUTE(K296,";",REPT(" ",99)),298,99)))+1,999))-1),_Lookup!$A:$B,2,FALSE),"?")&amp;"×"&amp;LEFT(MID(MID(TRIM(MID(SUBSTITUTE(K296,";",REPT(" ",99)),298,99)),FIND(":",TRIM(MID(SUBSTITUTE(K296,";",REPT(" ",99)),298,99)))+1,999),FIND(":",MID(TRIM(MID(SUBSTITUTE(K296,";",REPT(" ",99)),298,99)),FIND(":",TRIM(MID(SUBSTITUTE(K296,";",REPT(" ",99)),298,99)))+1,999))+1,999),FIND(":",MID(MID(TRIM(MID(SUBSTITUTE(K296,";",REPT(" ",99)),298,99)),FIND(":",TRIM(MID(SUBSTITUTE(K296,";",REPT(" ",99)),298,99)))+1,999),FIND(":",MID(TRIM(MID(SUBSTITUTE(K296,";",REPT(" ",99)),298,99)),FIND(":",TRIM(MID(SUBSTITUTE(K296,";",REPT(" ",99)),298,99)))+1,999))+1,999))-1)),IF(TRIM(MID(SUBSTITUTE(K296,";",REPT(" ",99)),397,99))="","",IFERROR(VLOOKUP(--LEFT(MID(TRIM(MID(SUBSTITUTE(K296,";",REPT(" ",99)),397,99)),FIND(":",TRIM(MID(SUBSTITUTE(K296,";",REPT(" ",99)),397,99)))+1,999),FIND(":",MID(TRIM(MID(SUBSTITUTE(K296,";",REPT(" ",99)),397,99)),FIND(":",TRIM(MID(SUBSTITUTE(K296,";",REPT(" ",99)),397,99)))+1,999))-1),_Lookup!$A:$B,2,FALSE),"?")&amp;"×"&amp;LEFT(MID(MID(TRIM(MID(SUBSTITUTE(K296,";",REPT(" ",99)),397,99)),FIND(":",TRIM(MID(SUBSTITUTE(K296,";",REPT(" ",99)),397,99)))+1,999),FIND(":",MID(TRIM(MID(SUBSTITUTE(K296,";",REPT(" ",99)),397,99)),FIND(":",TRIM(MID(SUBSTITUTE(K296,";",REPT(" ",99)),397,99)))+1,999))+1,999),FIND(":",MID(MID(TRIM(MID(SUBSTITUTE(K296,";",REPT(" ",99)),397,99)),FIND(":",TRIM(MID(SUBSTITUTE(K296,";",REPT(" ",99)),397,99)))+1,999),FIND(":",MID(TRIM(MID(SUBSTITUTE(K296,";",REPT(" ",99)),397,99)),FIND(":",TRIM(MID(SUBSTITUTE(K296,";",REPT(" ",99)),397,99)))+1,999))+1,999))-1))))</f>
        <v/>
      </c>
    </row>
    <row r="297">
      <c r="D297" s="11">
        <f>IFERROR(VLOOKUP(C297,ItemData_Fish!$A:$B,2,FALSE),"")</f>
        <v/>
      </c>
      <c r="L297" s="11">
        <f>IF(K297="","",TEXTJOIN("; ",TRUE,IF(TRIM(MID(SUBSTITUTE(K297,";",REPT(" ",99)),1,99))="","",IFERROR(VLOOKUP(--LEFT(MID(TRIM(MID(SUBSTITUTE(K297,";",REPT(" ",99)),1,99)),FIND(":",TRIM(MID(SUBSTITUTE(K297,";",REPT(" ",99)),1,99)))+1,999),FIND(":",MID(TRIM(MID(SUBSTITUTE(K297,";",REPT(" ",99)),1,99)),FIND(":",TRIM(MID(SUBSTITUTE(K297,";",REPT(" ",99)),1,99)))+1,999))-1),_Lookup!$A:$B,2,FALSE),"?")&amp;"×"&amp;LEFT(MID(MID(TRIM(MID(SUBSTITUTE(K297,";",REPT(" ",99)),1,99)),FIND(":",TRIM(MID(SUBSTITUTE(K297,";",REPT(" ",99)),1,99)))+1,999),FIND(":",MID(TRIM(MID(SUBSTITUTE(K297,";",REPT(" ",99)),1,99)),FIND(":",TRIM(MID(SUBSTITUTE(K297,";",REPT(" ",99)),1,99)))+1,999))+1,999),FIND(":",MID(MID(TRIM(MID(SUBSTITUTE(K297,";",REPT(" ",99)),1,99)),FIND(":",TRIM(MID(SUBSTITUTE(K297,";",REPT(" ",99)),1,99)))+1,999),FIND(":",MID(TRIM(MID(SUBSTITUTE(K297,";",REPT(" ",99)),1,99)),FIND(":",TRIM(MID(SUBSTITUTE(K297,";",REPT(" ",99)),1,99)))+1,999))+1,999))-1)),IF(TRIM(MID(SUBSTITUTE(K297,";",REPT(" ",99)),100,99))="","",IFERROR(VLOOKUP(--LEFT(MID(TRIM(MID(SUBSTITUTE(K297,";",REPT(" ",99)),100,99)),FIND(":",TRIM(MID(SUBSTITUTE(K297,";",REPT(" ",99)),100,99)))+1,999),FIND(":",MID(TRIM(MID(SUBSTITUTE(K297,";",REPT(" ",99)),100,99)),FIND(":",TRIM(MID(SUBSTITUTE(K297,";",REPT(" ",99)),100,99)))+1,999))-1),_Lookup!$A:$B,2,FALSE),"?")&amp;"×"&amp;LEFT(MID(MID(TRIM(MID(SUBSTITUTE(K297,";",REPT(" ",99)),100,99)),FIND(":",TRIM(MID(SUBSTITUTE(K297,";",REPT(" ",99)),100,99)))+1,999),FIND(":",MID(TRIM(MID(SUBSTITUTE(K297,";",REPT(" ",99)),100,99)),FIND(":",TRIM(MID(SUBSTITUTE(K297,";",REPT(" ",99)),100,99)))+1,999))+1,999),FIND(":",MID(MID(TRIM(MID(SUBSTITUTE(K297,";",REPT(" ",99)),100,99)),FIND(":",TRIM(MID(SUBSTITUTE(K297,";",REPT(" ",99)),100,99)))+1,999),FIND(":",MID(TRIM(MID(SUBSTITUTE(K297,";",REPT(" ",99)),100,99)),FIND(":",TRIM(MID(SUBSTITUTE(K297,";",REPT(" ",99)),100,99)))+1,999))+1,999))-1)),IF(TRIM(MID(SUBSTITUTE(K297,";",REPT(" ",99)),199,99))="","",IFERROR(VLOOKUP(--LEFT(MID(TRIM(MID(SUBSTITUTE(K297,";",REPT(" ",99)),199,99)),FIND(":",TRIM(MID(SUBSTITUTE(K297,";",REPT(" ",99)),199,99)))+1,999),FIND(":",MID(TRIM(MID(SUBSTITUTE(K297,";",REPT(" ",99)),199,99)),FIND(":",TRIM(MID(SUBSTITUTE(K297,";",REPT(" ",99)),199,99)))+1,999))-1),_Lookup!$A:$B,2,FALSE),"?")&amp;"×"&amp;LEFT(MID(MID(TRIM(MID(SUBSTITUTE(K297,";",REPT(" ",99)),199,99)),FIND(":",TRIM(MID(SUBSTITUTE(K297,";",REPT(" ",99)),199,99)))+1,999),FIND(":",MID(TRIM(MID(SUBSTITUTE(K297,";",REPT(" ",99)),199,99)),FIND(":",TRIM(MID(SUBSTITUTE(K297,";",REPT(" ",99)),199,99)))+1,999))+1,999),FIND(":",MID(MID(TRIM(MID(SUBSTITUTE(K297,";",REPT(" ",99)),199,99)),FIND(":",TRIM(MID(SUBSTITUTE(K297,";",REPT(" ",99)),199,99)))+1,999),FIND(":",MID(TRIM(MID(SUBSTITUTE(K297,";",REPT(" ",99)),199,99)),FIND(":",TRIM(MID(SUBSTITUTE(K297,";",REPT(" ",99)),199,99)))+1,999))+1,999))-1)),IF(TRIM(MID(SUBSTITUTE(K297,";",REPT(" ",99)),298,99))="","",IFERROR(VLOOKUP(--LEFT(MID(TRIM(MID(SUBSTITUTE(K297,";",REPT(" ",99)),298,99)),FIND(":",TRIM(MID(SUBSTITUTE(K297,";",REPT(" ",99)),298,99)))+1,999),FIND(":",MID(TRIM(MID(SUBSTITUTE(K297,";",REPT(" ",99)),298,99)),FIND(":",TRIM(MID(SUBSTITUTE(K297,";",REPT(" ",99)),298,99)))+1,999))-1),_Lookup!$A:$B,2,FALSE),"?")&amp;"×"&amp;LEFT(MID(MID(TRIM(MID(SUBSTITUTE(K297,";",REPT(" ",99)),298,99)),FIND(":",TRIM(MID(SUBSTITUTE(K297,";",REPT(" ",99)),298,99)))+1,999),FIND(":",MID(TRIM(MID(SUBSTITUTE(K297,";",REPT(" ",99)),298,99)),FIND(":",TRIM(MID(SUBSTITUTE(K297,";",REPT(" ",99)),298,99)))+1,999))+1,999),FIND(":",MID(MID(TRIM(MID(SUBSTITUTE(K297,";",REPT(" ",99)),298,99)),FIND(":",TRIM(MID(SUBSTITUTE(K297,";",REPT(" ",99)),298,99)))+1,999),FIND(":",MID(TRIM(MID(SUBSTITUTE(K297,";",REPT(" ",99)),298,99)),FIND(":",TRIM(MID(SUBSTITUTE(K297,";",REPT(" ",99)),298,99)))+1,999))+1,999))-1)),IF(TRIM(MID(SUBSTITUTE(K297,";",REPT(" ",99)),397,99))="","",IFERROR(VLOOKUP(--LEFT(MID(TRIM(MID(SUBSTITUTE(K297,";",REPT(" ",99)),397,99)),FIND(":",TRIM(MID(SUBSTITUTE(K297,";",REPT(" ",99)),397,99)))+1,999),FIND(":",MID(TRIM(MID(SUBSTITUTE(K297,";",REPT(" ",99)),397,99)),FIND(":",TRIM(MID(SUBSTITUTE(K297,";",REPT(" ",99)),397,99)))+1,999))-1),_Lookup!$A:$B,2,FALSE),"?")&amp;"×"&amp;LEFT(MID(MID(TRIM(MID(SUBSTITUTE(K297,";",REPT(" ",99)),397,99)),FIND(":",TRIM(MID(SUBSTITUTE(K297,";",REPT(" ",99)),397,99)))+1,999),FIND(":",MID(TRIM(MID(SUBSTITUTE(K297,";",REPT(" ",99)),397,99)),FIND(":",TRIM(MID(SUBSTITUTE(K297,";",REPT(" ",99)),397,99)))+1,999))+1,999),FIND(":",MID(MID(TRIM(MID(SUBSTITUTE(K297,";",REPT(" ",99)),397,99)),FIND(":",TRIM(MID(SUBSTITUTE(K297,";",REPT(" ",99)),397,99)))+1,999),FIND(":",MID(TRIM(MID(SUBSTITUTE(K297,";",REPT(" ",99)),397,99)),FIND(":",TRIM(MID(SUBSTITUTE(K297,";",REPT(" ",99)),397,99)))+1,999))+1,999))-1))))</f>
        <v/>
      </c>
    </row>
    <row r="298">
      <c r="D298" s="11">
        <f>IFERROR(VLOOKUP(C298,ItemData_Fish!$A:$B,2,FALSE),"")</f>
        <v/>
      </c>
      <c r="L298" s="11">
        <f>IF(K298="","",TEXTJOIN("; ",TRUE,IF(TRIM(MID(SUBSTITUTE(K298,";",REPT(" ",99)),1,99))="","",IFERROR(VLOOKUP(--LEFT(MID(TRIM(MID(SUBSTITUTE(K298,";",REPT(" ",99)),1,99)),FIND(":",TRIM(MID(SUBSTITUTE(K298,";",REPT(" ",99)),1,99)))+1,999),FIND(":",MID(TRIM(MID(SUBSTITUTE(K298,";",REPT(" ",99)),1,99)),FIND(":",TRIM(MID(SUBSTITUTE(K298,";",REPT(" ",99)),1,99)))+1,999))-1),_Lookup!$A:$B,2,FALSE),"?")&amp;"×"&amp;LEFT(MID(MID(TRIM(MID(SUBSTITUTE(K298,";",REPT(" ",99)),1,99)),FIND(":",TRIM(MID(SUBSTITUTE(K298,";",REPT(" ",99)),1,99)))+1,999),FIND(":",MID(TRIM(MID(SUBSTITUTE(K298,";",REPT(" ",99)),1,99)),FIND(":",TRIM(MID(SUBSTITUTE(K298,";",REPT(" ",99)),1,99)))+1,999))+1,999),FIND(":",MID(MID(TRIM(MID(SUBSTITUTE(K298,";",REPT(" ",99)),1,99)),FIND(":",TRIM(MID(SUBSTITUTE(K298,";",REPT(" ",99)),1,99)))+1,999),FIND(":",MID(TRIM(MID(SUBSTITUTE(K298,";",REPT(" ",99)),1,99)),FIND(":",TRIM(MID(SUBSTITUTE(K298,";",REPT(" ",99)),1,99)))+1,999))+1,999))-1)),IF(TRIM(MID(SUBSTITUTE(K298,";",REPT(" ",99)),100,99))="","",IFERROR(VLOOKUP(--LEFT(MID(TRIM(MID(SUBSTITUTE(K298,";",REPT(" ",99)),100,99)),FIND(":",TRIM(MID(SUBSTITUTE(K298,";",REPT(" ",99)),100,99)))+1,999),FIND(":",MID(TRIM(MID(SUBSTITUTE(K298,";",REPT(" ",99)),100,99)),FIND(":",TRIM(MID(SUBSTITUTE(K298,";",REPT(" ",99)),100,99)))+1,999))-1),_Lookup!$A:$B,2,FALSE),"?")&amp;"×"&amp;LEFT(MID(MID(TRIM(MID(SUBSTITUTE(K298,";",REPT(" ",99)),100,99)),FIND(":",TRIM(MID(SUBSTITUTE(K298,";",REPT(" ",99)),100,99)))+1,999),FIND(":",MID(TRIM(MID(SUBSTITUTE(K298,";",REPT(" ",99)),100,99)),FIND(":",TRIM(MID(SUBSTITUTE(K298,";",REPT(" ",99)),100,99)))+1,999))+1,999),FIND(":",MID(MID(TRIM(MID(SUBSTITUTE(K298,";",REPT(" ",99)),100,99)),FIND(":",TRIM(MID(SUBSTITUTE(K298,";",REPT(" ",99)),100,99)))+1,999),FIND(":",MID(TRIM(MID(SUBSTITUTE(K298,";",REPT(" ",99)),100,99)),FIND(":",TRIM(MID(SUBSTITUTE(K298,";",REPT(" ",99)),100,99)))+1,999))+1,999))-1)),IF(TRIM(MID(SUBSTITUTE(K298,";",REPT(" ",99)),199,99))="","",IFERROR(VLOOKUP(--LEFT(MID(TRIM(MID(SUBSTITUTE(K298,";",REPT(" ",99)),199,99)),FIND(":",TRIM(MID(SUBSTITUTE(K298,";",REPT(" ",99)),199,99)))+1,999),FIND(":",MID(TRIM(MID(SUBSTITUTE(K298,";",REPT(" ",99)),199,99)),FIND(":",TRIM(MID(SUBSTITUTE(K298,";",REPT(" ",99)),199,99)))+1,999))-1),_Lookup!$A:$B,2,FALSE),"?")&amp;"×"&amp;LEFT(MID(MID(TRIM(MID(SUBSTITUTE(K298,";",REPT(" ",99)),199,99)),FIND(":",TRIM(MID(SUBSTITUTE(K298,";",REPT(" ",99)),199,99)))+1,999),FIND(":",MID(TRIM(MID(SUBSTITUTE(K298,";",REPT(" ",99)),199,99)),FIND(":",TRIM(MID(SUBSTITUTE(K298,";",REPT(" ",99)),199,99)))+1,999))+1,999),FIND(":",MID(MID(TRIM(MID(SUBSTITUTE(K298,";",REPT(" ",99)),199,99)),FIND(":",TRIM(MID(SUBSTITUTE(K298,";",REPT(" ",99)),199,99)))+1,999),FIND(":",MID(TRIM(MID(SUBSTITUTE(K298,";",REPT(" ",99)),199,99)),FIND(":",TRIM(MID(SUBSTITUTE(K298,";",REPT(" ",99)),199,99)))+1,999))+1,999))-1)),IF(TRIM(MID(SUBSTITUTE(K298,";",REPT(" ",99)),298,99))="","",IFERROR(VLOOKUP(--LEFT(MID(TRIM(MID(SUBSTITUTE(K298,";",REPT(" ",99)),298,99)),FIND(":",TRIM(MID(SUBSTITUTE(K298,";",REPT(" ",99)),298,99)))+1,999),FIND(":",MID(TRIM(MID(SUBSTITUTE(K298,";",REPT(" ",99)),298,99)),FIND(":",TRIM(MID(SUBSTITUTE(K298,";",REPT(" ",99)),298,99)))+1,999))-1),_Lookup!$A:$B,2,FALSE),"?")&amp;"×"&amp;LEFT(MID(MID(TRIM(MID(SUBSTITUTE(K298,";",REPT(" ",99)),298,99)),FIND(":",TRIM(MID(SUBSTITUTE(K298,";",REPT(" ",99)),298,99)))+1,999),FIND(":",MID(TRIM(MID(SUBSTITUTE(K298,";",REPT(" ",99)),298,99)),FIND(":",TRIM(MID(SUBSTITUTE(K298,";",REPT(" ",99)),298,99)))+1,999))+1,999),FIND(":",MID(MID(TRIM(MID(SUBSTITUTE(K298,";",REPT(" ",99)),298,99)),FIND(":",TRIM(MID(SUBSTITUTE(K298,";",REPT(" ",99)),298,99)))+1,999),FIND(":",MID(TRIM(MID(SUBSTITUTE(K298,";",REPT(" ",99)),298,99)),FIND(":",TRIM(MID(SUBSTITUTE(K298,";",REPT(" ",99)),298,99)))+1,999))+1,999))-1)),IF(TRIM(MID(SUBSTITUTE(K298,";",REPT(" ",99)),397,99))="","",IFERROR(VLOOKUP(--LEFT(MID(TRIM(MID(SUBSTITUTE(K298,";",REPT(" ",99)),397,99)),FIND(":",TRIM(MID(SUBSTITUTE(K298,";",REPT(" ",99)),397,99)))+1,999),FIND(":",MID(TRIM(MID(SUBSTITUTE(K298,";",REPT(" ",99)),397,99)),FIND(":",TRIM(MID(SUBSTITUTE(K298,";",REPT(" ",99)),397,99)))+1,999))-1),_Lookup!$A:$B,2,FALSE),"?")&amp;"×"&amp;LEFT(MID(MID(TRIM(MID(SUBSTITUTE(K298,";",REPT(" ",99)),397,99)),FIND(":",TRIM(MID(SUBSTITUTE(K298,";",REPT(" ",99)),397,99)))+1,999),FIND(":",MID(TRIM(MID(SUBSTITUTE(K298,";",REPT(" ",99)),397,99)),FIND(":",TRIM(MID(SUBSTITUTE(K298,";",REPT(" ",99)),397,99)))+1,999))+1,999),FIND(":",MID(MID(TRIM(MID(SUBSTITUTE(K298,";",REPT(" ",99)),397,99)),FIND(":",TRIM(MID(SUBSTITUTE(K298,";",REPT(" ",99)),397,99)))+1,999),FIND(":",MID(TRIM(MID(SUBSTITUTE(K298,";",REPT(" ",99)),397,99)),FIND(":",TRIM(MID(SUBSTITUTE(K298,";",REPT(" ",99)),397,99)))+1,999))+1,999))-1))))</f>
        <v/>
      </c>
    </row>
    <row r="299">
      <c r="D299" s="11">
        <f>IFERROR(VLOOKUP(C299,ItemData_Fish!$A:$B,2,FALSE),"")</f>
        <v/>
      </c>
      <c r="L299" s="11">
        <f>IF(K299="","",TEXTJOIN("; ",TRUE,IF(TRIM(MID(SUBSTITUTE(K299,";",REPT(" ",99)),1,99))="","",IFERROR(VLOOKUP(--LEFT(MID(TRIM(MID(SUBSTITUTE(K299,";",REPT(" ",99)),1,99)),FIND(":",TRIM(MID(SUBSTITUTE(K299,";",REPT(" ",99)),1,99)))+1,999),FIND(":",MID(TRIM(MID(SUBSTITUTE(K299,";",REPT(" ",99)),1,99)),FIND(":",TRIM(MID(SUBSTITUTE(K299,";",REPT(" ",99)),1,99)))+1,999))-1),_Lookup!$A:$B,2,FALSE),"?")&amp;"×"&amp;LEFT(MID(MID(TRIM(MID(SUBSTITUTE(K299,";",REPT(" ",99)),1,99)),FIND(":",TRIM(MID(SUBSTITUTE(K299,";",REPT(" ",99)),1,99)))+1,999),FIND(":",MID(TRIM(MID(SUBSTITUTE(K299,";",REPT(" ",99)),1,99)),FIND(":",TRIM(MID(SUBSTITUTE(K299,";",REPT(" ",99)),1,99)))+1,999))+1,999),FIND(":",MID(MID(TRIM(MID(SUBSTITUTE(K299,";",REPT(" ",99)),1,99)),FIND(":",TRIM(MID(SUBSTITUTE(K299,";",REPT(" ",99)),1,99)))+1,999),FIND(":",MID(TRIM(MID(SUBSTITUTE(K299,";",REPT(" ",99)),1,99)),FIND(":",TRIM(MID(SUBSTITUTE(K299,";",REPT(" ",99)),1,99)))+1,999))+1,999))-1)),IF(TRIM(MID(SUBSTITUTE(K299,";",REPT(" ",99)),100,99))="","",IFERROR(VLOOKUP(--LEFT(MID(TRIM(MID(SUBSTITUTE(K299,";",REPT(" ",99)),100,99)),FIND(":",TRIM(MID(SUBSTITUTE(K299,";",REPT(" ",99)),100,99)))+1,999),FIND(":",MID(TRIM(MID(SUBSTITUTE(K299,";",REPT(" ",99)),100,99)),FIND(":",TRIM(MID(SUBSTITUTE(K299,";",REPT(" ",99)),100,99)))+1,999))-1),_Lookup!$A:$B,2,FALSE),"?")&amp;"×"&amp;LEFT(MID(MID(TRIM(MID(SUBSTITUTE(K299,";",REPT(" ",99)),100,99)),FIND(":",TRIM(MID(SUBSTITUTE(K299,";",REPT(" ",99)),100,99)))+1,999),FIND(":",MID(TRIM(MID(SUBSTITUTE(K299,";",REPT(" ",99)),100,99)),FIND(":",TRIM(MID(SUBSTITUTE(K299,";",REPT(" ",99)),100,99)))+1,999))+1,999),FIND(":",MID(MID(TRIM(MID(SUBSTITUTE(K299,";",REPT(" ",99)),100,99)),FIND(":",TRIM(MID(SUBSTITUTE(K299,";",REPT(" ",99)),100,99)))+1,999),FIND(":",MID(TRIM(MID(SUBSTITUTE(K299,";",REPT(" ",99)),100,99)),FIND(":",TRIM(MID(SUBSTITUTE(K299,";",REPT(" ",99)),100,99)))+1,999))+1,999))-1)),IF(TRIM(MID(SUBSTITUTE(K299,";",REPT(" ",99)),199,99))="","",IFERROR(VLOOKUP(--LEFT(MID(TRIM(MID(SUBSTITUTE(K299,";",REPT(" ",99)),199,99)),FIND(":",TRIM(MID(SUBSTITUTE(K299,";",REPT(" ",99)),199,99)))+1,999),FIND(":",MID(TRIM(MID(SUBSTITUTE(K299,";",REPT(" ",99)),199,99)),FIND(":",TRIM(MID(SUBSTITUTE(K299,";",REPT(" ",99)),199,99)))+1,999))-1),_Lookup!$A:$B,2,FALSE),"?")&amp;"×"&amp;LEFT(MID(MID(TRIM(MID(SUBSTITUTE(K299,";",REPT(" ",99)),199,99)),FIND(":",TRIM(MID(SUBSTITUTE(K299,";",REPT(" ",99)),199,99)))+1,999),FIND(":",MID(TRIM(MID(SUBSTITUTE(K299,";",REPT(" ",99)),199,99)),FIND(":",TRIM(MID(SUBSTITUTE(K299,";",REPT(" ",99)),199,99)))+1,999))+1,999),FIND(":",MID(MID(TRIM(MID(SUBSTITUTE(K299,";",REPT(" ",99)),199,99)),FIND(":",TRIM(MID(SUBSTITUTE(K299,";",REPT(" ",99)),199,99)))+1,999),FIND(":",MID(TRIM(MID(SUBSTITUTE(K299,";",REPT(" ",99)),199,99)),FIND(":",TRIM(MID(SUBSTITUTE(K299,";",REPT(" ",99)),199,99)))+1,999))+1,999))-1)),IF(TRIM(MID(SUBSTITUTE(K299,";",REPT(" ",99)),298,99))="","",IFERROR(VLOOKUP(--LEFT(MID(TRIM(MID(SUBSTITUTE(K299,";",REPT(" ",99)),298,99)),FIND(":",TRIM(MID(SUBSTITUTE(K299,";",REPT(" ",99)),298,99)))+1,999),FIND(":",MID(TRIM(MID(SUBSTITUTE(K299,";",REPT(" ",99)),298,99)),FIND(":",TRIM(MID(SUBSTITUTE(K299,";",REPT(" ",99)),298,99)))+1,999))-1),_Lookup!$A:$B,2,FALSE),"?")&amp;"×"&amp;LEFT(MID(MID(TRIM(MID(SUBSTITUTE(K299,";",REPT(" ",99)),298,99)),FIND(":",TRIM(MID(SUBSTITUTE(K299,";",REPT(" ",99)),298,99)))+1,999),FIND(":",MID(TRIM(MID(SUBSTITUTE(K299,";",REPT(" ",99)),298,99)),FIND(":",TRIM(MID(SUBSTITUTE(K299,";",REPT(" ",99)),298,99)))+1,999))+1,999),FIND(":",MID(MID(TRIM(MID(SUBSTITUTE(K299,";",REPT(" ",99)),298,99)),FIND(":",TRIM(MID(SUBSTITUTE(K299,";",REPT(" ",99)),298,99)))+1,999),FIND(":",MID(TRIM(MID(SUBSTITUTE(K299,";",REPT(" ",99)),298,99)),FIND(":",TRIM(MID(SUBSTITUTE(K299,";",REPT(" ",99)),298,99)))+1,999))+1,999))-1)),IF(TRIM(MID(SUBSTITUTE(K299,";",REPT(" ",99)),397,99))="","",IFERROR(VLOOKUP(--LEFT(MID(TRIM(MID(SUBSTITUTE(K299,";",REPT(" ",99)),397,99)),FIND(":",TRIM(MID(SUBSTITUTE(K299,";",REPT(" ",99)),397,99)))+1,999),FIND(":",MID(TRIM(MID(SUBSTITUTE(K299,";",REPT(" ",99)),397,99)),FIND(":",TRIM(MID(SUBSTITUTE(K299,";",REPT(" ",99)),397,99)))+1,999))-1),_Lookup!$A:$B,2,FALSE),"?")&amp;"×"&amp;LEFT(MID(MID(TRIM(MID(SUBSTITUTE(K299,";",REPT(" ",99)),397,99)),FIND(":",TRIM(MID(SUBSTITUTE(K299,";",REPT(" ",99)),397,99)))+1,999),FIND(":",MID(TRIM(MID(SUBSTITUTE(K299,";",REPT(" ",99)),397,99)),FIND(":",TRIM(MID(SUBSTITUTE(K299,";",REPT(" ",99)),397,99)))+1,999))+1,999),FIND(":",MID(MID(TRIM(MID(SUBSTITUTE(K299,";",REPT(" ",99)),397,99)),FIND(":",TRIM(MID(SUBSTITUTE(K299,";",REPT(" ",99)),397,99)))+1,999),FIND(":",MID(TRIM(MID(SUBSTITUTE(K299,";",REPT(" ",99)),397,99)),FIND(":",TRIM(MID(SUBSTITUTE(K299,";",REPT(" ",99)),397,99)))+1,999))+1,999))-1))))</f>
        <v/>
      </c>
    </row>
    <row r="300">
      <c r="D300" s="11">
        <f>IFERROR(VLOOKUP(C300,ItemData_Fish!$A:$B,2,FALSE),"")</f>
        <v/>
      </c>
      <c r="L300" s="11">
        <f>IF(K300="","",TEXTJOIN("; ",TRUE,IF(TRIM(MID(SUBSTITUTE(K300,";",REPT(" ",99)),1,99))="","",IFERROR(VLOOKUP(--LEFT(MID(TRIM(MID(SUBSTITUTE(K300,";",REPT(" ",99)),1,99)),FIND(":",TRIM(MID(SUBSTITUTE(K300,";",REPT(" ",99)),1,99)))+1,999),FIND(":",MID(TRIM(MID(SUBSTITUTE(K300,";",REPT(" ",99)),1,99)),FIND(":",TRIM(MID(SUBSTITUTE(K300,";",REPT(" ",99)),1,99)))+1,999))-1),_Lookup!$A:$B,2,FALSE),"?")&amp;"×"&amp;LEFT(MID(MID(TRIM(MID(SUBSTITUTE(K300,";",REPT(" ",99)),1,99)),FIND(":",TRIM(MID(SUBSTITUTE(K300,";",REPT(" ",99)),1,99)))+1,999),FIND(":",MID(TRIM(MID(SUBSTITUTE(K300,";",REPT(" ",99)),1,99)),FIND(":",TRIM(MID(SUBSTITUTE(K300,";",REPT(" ",99)),1,99)))+1,999))+1,999),FIND(":",MID(MID(TRIM(MID(SUBSTITUTE(K300,";",REPT(" ",99)),1,99)),FIND(":",TRIM(MID(SUBSTITUTE(K300,";",REPT(" ",99)),1,99)))+1,999),FIND(":",MID(TRIM(MID(SUBSTITUTE(K300,";",REPT(" ",99)),1,99)),FIND(":",TRIM(MID(SUBSTITUTE(K300,";",REPT(" ",99)),1,99)))+1,999))+1,999))-1)),IF(TRIM(MID(SUBSTITUTE(K300,";",REPT(" ",99)),100,99))="","",IFERROR(VLOOKUP(--LEFT(MID(TRIM(MID(SUBSTITUTE(K300,";",REPT(" ",99)),100,99)),FIND(":",TRIM(MID(SUBSTITUTE(K300,";",REPT(" ",99)),100,99)))+1,999),FIND(":",MID(TRIM(MID(SUBSTITUTE(K300,";",REPT(" ",99)),100,99)),FIND(":",TRIM(MID(SUBSTITUTE(K300,";",REPT(" ",99)),100,99)))+1,999))-1),_Lookup!$A:$B,2,FALSE),"?")&amp;"×"&amp;LEFT(MID(MID(TRIM(MID(SUBSTITUTE(K300,";",REPT(" ",99)),100,99)),FIND(":",TRIM(MID(SUBSTITUTE(K300,";",REPT(" ",99)),100,99)))+1,999),FIND(":",MID(TRIM(MID(SUBSTITUTE(K300,";",REPT(" ",99)),100,99)),FIND(":",TRIM(MID(SUBSTITUTE(K300,";",REPT(" ",99)),100,99)))+1,999))+1,999),FIND(":",MID(MID(TRIM(MID(SUBSTITUTE(K300,";",REPT(" ",99)),100,99)),FIND(":",TRIM(MID(SUBSTITUTE(K300,";",REPT(" ",99)),100,99)))+1,999),FIND(":",MID(TRIM(MID(SUBSTITUTE(K300,";",REPT(" ",99)),100,99)),FIND(":",TRIM(MID(SUBSTITUTE(K300,";",REPT(" ",99)),100,99)))+1,999))+1,999))-1)),IF(TRIM(MID(SUBSTITUTE(K300,";",REPT(" ",99)),199,99))="","",IFERROR(VLOOKUP(--LEFT(MID(TRIM(MID(SUBSTITUTE(K300,";",REPT(" ",99)),199,99)),FIND(":",TRIM(MID(SUBSTITUTE(K300,";",REPT(" ",99)),199,99)))+1,999),FIND(":",MID(TRIM(MID(SUBSTITUTE(K300,";",REPT(" ",99)),199,99)),FIND(":",TRIM(MID(SUBSTITUTE(K300,";",REPT(" ",99)),199,99)))+1,999))-1),_Lookup!$A:$B,2,FALSE),"?")&amp;"×"&amp;LEFT(MID(MID(TRIM(MID(SUBSTITUTE(K300,";",REPT(" ",99)),199,99)),FIND(":",TRIM(MID(SUBSTITUTE(K300,";",REPT(" ",99)),199,99)))+1,999),FIND(":",MID(TRIM(MID(SUBSTITUTE(K300,";",REPT(" ",99)),199,99)),FIND(":",TRIM(MID(SUBSTITUTE(K300,";",REPT(" ",99)),199,99)))+1,999))+1,999),FIND(":",MID(MID(TRIM(MID(SUBSTITUTE(K300,";",REPT(" ",99)),199,99)),FIND(":",TRIM(MID(SUBSTITUTE(K300,";",REPT(" ",99)),199,99)))+1,999),FIND(":",MID(TRIM(MID(SUBSTITUTE(K300,";",REPT(" ",99)),199,99)),FIND(":",TRIM(MID(SUBSTITUTE(K300,";",REPT(" ",99)),199,99)))+1,999))+1,999))-1)),IF(TRIM(MID(SUBSTITUTE(K300,";",REPT(" ",99)),298,99))="","",IFERROR(VLOOKUP(--LEFT(MID(TRIM(MID(SUBSTITUTE(K300,";",REPT(" ",99)),298,99)),FIND(":",TRIM(MID(SUBSTITUTE(K300,";",REPT(" ",99)),298,99)))+1,999),FIND(":",MID(TRIM(MID(SUBSTITUTE(K300,";",REPT(" ",99)),298,99)),FIND(":",TRIM(MID(SUBSTITUTE(K300,";",REPT(" ",99)),298,99)))+1,999))-1),_Lookup!$A:$B,2,FALSE),"?")&amp;"×"&amp;LEFT(MID(MID(TRIM(MID(SUBSTITUTE(K300,";",REPT(" ",99)),298,99)),FIND(":",TRIM(MID(SUBSTITUTE(K300,";",REPT(" ",99)),298,99)))+1,999),FIND(":",MID(TRIM(MID(SUBSTITUTE(K300,";",REPT(" ",99)),298,99)),FIND(":",TRIM(MID(SUBSTITUTE(K300,";",REPT(" ",99)),298,99)))+1,999))+1,999),FIND(":",MID(MID(TRIM(MID(SUBSTITUTE(K300,";",REPT(" ",99)),298,99)),FIND(":",TRIM(MID(SUBSTITUTE(K300,";",REPT(" ",99)),298,99)))+1,999),FIND(":",MID(TRIM(MID(SUBSTITUTE(K300,";",REPT(" ",99)),298,99)),FIND(":",TRIM(MID(SUBSTITUTE(K300,";",REPT(" ",99)),298,99)))+1,999))+1,999))-1)),IF(TRIM(MID(SUBSTITUTE(K300,";",REPT(" ",99)),397,99))="","",IFERROR(VLOOKUP(--LEFT(MID(TRIM(MID(SUBSTITUTE(K300,";",REPT(" ",99)),397,99)),FIND(":",TRIM(MID(SUBSTITUTE(K300,";",REPT(" ",99)),397,99)))+1,999),FIND(":",MID(TRIM(MID(SUBSTITUTE(K300,";",REPT(" ",99)),397,99)),FIND(":",TRIM(MID(SUBSTITUTE(K300,";",REPT(" ",99)),397,99)))+1,999))-1),_Lookup!$A:$B,2,FALSE),"?")&amp;"×"&amp;LEFT(MID(MID(TRIM(MID(SUBSTITUTE(K300,";",REPT(" ",99)),397,99)),FIND(":",TRIM(MID(SUBSTITUTE(K300,";",REPT(" ",99)),397,99)))+1,999),FIND(":",MID(TRIM(MID(SUBSTITUTE(K300,";",REPT(" ",99)),397,99)),FIND(":",TRIM(MID(SUBSTITUTE(K300,";",REPT(" ",99)),397,99)))+1,999))+1,999),FIND(":",MID(MID(TRIM(MID(SUBSTITUTE(K300,";",REPT(" ",99)),397,99)),FIND(":",TRIM(MID(SUBSTITUTE(K300,";",REPT(" ",99)),397,99)))+1,999),FIND(":",MID(TRIM(MID(SUBSTITUTE(K300,";",REPT(" ",99)),397,99)),FIND(":",TRIM(MID(SUBSTITUTE(K300,";",REPT(" ",99)),397,99)))+1,999))+1,999))-1))))</f>
        <v/>
      </c>
    </row>
  </sheetData>
  <dataValidations count="1">
    <dataValidation sqref="J3:J300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H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6" customWidth="1" min="7" max="7"/>
    <col width="22" customWidth="1" min="8" max="8"/>
  </cols>
  <sheetData>
    <row r="1">
      <c r="A1" s="6" t="inlineStr">
        <is>
          <t>m_id</t>
        </is>
      </c>
      <c r="B1" s="6" t="inlineStr">
        <is>
          <t>m_name</t>
        </is>
      </c>
      <c r="C1" s="6" t="inlineStr">
        <is>
          <t>m_mapPosition_x</t>
        </is>
      </c>
      <c r="D1" s="6" t="inlineStr">
        <is>
          <t>m_mapPosition_y</t>
        </is>
      </c>
      <c r="E1" s="6" t="inlineStr">
        <is>
          <t>m_requiredLicense</t>
        </is>
      </c>
      <c r="F1" s="6" t="inlineStr">
        <is>
          <t>m_boss_id</t>
        </is>
      </c>
      <c r="G1" s="9" t="inlineStr">
        <is>
          <t>#boss_name</t>
        </is>
      </c>
      <c r="H1" s="6" t="inlineStr">
        <is>
          <t>m_assetKey</t>
        </is>
      </c>
    </row>
    <row r="2" ht="42" customHeight="1">
      <c r="A2" s="7" t="inlineStr">
        <is>
          <t>고유 ID (int)</t>
        </is>
      </c>
      <c r="B2" s="7" t="inlineStr">
        <is>
          <t>지역 이름</t>
        </is>
      </c>
      <c r="C2" s="7" t="inlineStr">
        <is>
          <t>지도 X</t>
        </is>
      </c>
      <c r="D2" s="7" t="inlineStr">
        <is>
          <t>지도 Y</t>
        </is>
      </c>
      <c r="E2" s="7" t="inlineStr">
        <is>
          <t>지역 해금 라이센스</t>
        </is>
      </c>
      <c r="F2" s="7" t="inlineStr">
        <is>
          <t>보스 (BattleFishData m_id)</t>
        </is>
      </c>
      <c r="G2" s="10" t="inlineStr">
        <is>
          <t>표시 전용(#) — JSON 변환 제외. 자동(VLOOKUP), 입력 금지</t>
        </is>
      </c>
      <c r="H2" s="7" t="inlineStr">
        <is>
          <t>에셋 키 오버라이드 — 빈칸=규약({클래스명}_{ID}). 여러 항목이 에셋을 공유하거나 스킨/예외일 때만 입력</t>
        </is>
      </c>
    </row>
    <row r="3">
      <c r="A3" s="8" t="n">
        <v>600001</v>
      </c>
      <c r="B3" s="8" t="inlineStr">
        <is>
          <t>부산</t>
        </is>
      </c>
      <c r="C3" s="8" t="n">
        <v>0</v>
      </c>
      <c r="D3" s="8" t="n">
        <v>0</v>
      </c>
      <c r="E3" s="8" t="n">
        <v>1</v>
      </c>
      <c r="F3" s="8" t="n">
        <v>500002</v>
      </c>
      <c r="G3" s="11">
        <f>IFERROR(VLOOKUP(F3,BattleFishData!$A:$B,2,FALSE),"")</f>
        <v/>
      </c>
    </row>
    <row r="4">
      <c r="A4" s="8" t="n">
        <v>600002</v>
      </c>
      <c r="B4" s="8" t="inlineStr">
        <is>
          <t>포항</t>
        </is>
      </c>
      <c r="C4" s="8" t="n">
        <v>120</v>
      </c>
      <c r="D4" s="8" t="n">
        <v>80</v>
      </c>
      <c r="E4" s="8" t="n">
        <v>2</v>
      </c>
      <c r="F4" s="8" t="n"/>
      <c r="G4" s="11">
        <f>IFERROR(VLOOKUP(F4,BattleFishData!$A:$B,2,FALSE),"")</f>
        <v/>
      </c>
    </row>
    <row r="5">
      <c r="G5" s="11">
        <f>IFERROR(VLOOKUP(F5,BattleFishData!$A:$B,2,FALSE),"")</f>
        <v/>
      </c>
    </row>
    <row r="6">
      <c r="G6" s="11">
        <f>IFERROR(VLOOKUP(F6,BattleFishData!$A:$B,2,FALSE),"")</f>
        <v/>
      </c>
    </row>
    <row r="7">
      <c r="G7" s="11">
        <f>IFERROR(VLOOKUP(F7,BattleFishData!$A:$B,2,FALSE),"")</f>
        <v/>
      </c>
    </row>
    <row r="8">
      <c r="G8" s="11">
        <f>IFERROR(VLOOKUP(F8,BattleFishData!$A:$B,2,FALSE),"")</f>
        <v/>
      </c>
    </row>
    <row r="9">
      <c r="G9" s="11">
        <f>IFERROR(VLOOKUP(F9,BattleFishData!$A:$B,2,FALSE),"")</f>
        <v/>
      </c>
    </row>
    <row r="10">
      <c r="G10" s="11">
        <f>IFERROR(VLOOKUP(F10,BattleFishData!$A:$B,2,FALSE),"")</f>
        <v/>
      </c>
    </row>
    <row r="11">
      <c r="G11" s="11">
        <f>IFERROR(VLOOKUP(F11,BattleFishData!$A:$B,2,FALSE),"")</f>
        <v/>
      </c>
    </row>
    <row r="12">
      <c r="G12" s="11">
        <f>IFERROR(VLOOKUP(F12,BattleFishData!$A:$B,2,FALSE),"")</f>
        <v/>
      </c>
    </row>
    <row r="13">
      <c r="G13" s="11">
        <f>IFERROR(VLOOKUP(F13,BattleFishData!$A:$B,2,FALSE),"")</f>
        <v/>
      </c>
    </row>
    <row r="14">
      <c r="G14" s="11">
        <f>IFERROR(VLOOKUP(F14,BattleFishData!$A:$B,2,FALSE),"")</f>
        <v/>
      </c>
    </row>
    <row r="15">
      <c r="G15" s="11">
        <f>IFERROR(VLOOKUP(F15,BattleFishData!$A:$B,2,FALSE),"")</f>
        <v/>
      </c>
    </row>
    <row r="16">
      <c r="G16" s="11">
        <f>IFERROR(VLOOKUP(F16,BattleFishData!$A:$B,2,FALSE),"")</f>
        <v/>
      </c>
    </row>
    <row r="17">
      <c r="G17" s="11">
        <f>IFERROR(VLOOKUP(F17,BattleFishData!$A:$B,2,FALSE),"")</f>
        <v/>
      </c>
    </row>
    <row r="18">
      <c r="G18" s="11">
        <f>IFERROR(VLOOKUP(F18,BattleFishData!$A:$B,2,FALSE),"")</f>
        <v/>
      </c>
    </row>
    <row r="19">
      <c r="G19" s="11">
        <f>IFERROR(VLOOKUP(F19,BattleFishData!$A:$B,2,FALSE),"")</f>
        <v/>
      </c>
    </row>
    <row r="20">
      <c r="G20" s="11">
        <f>IFERROR(VLOOKUP(F20,BattleFishData!$A:$B,2,FALSE),"")</f>
        <v/>
      </c>
    </row>
    <row r="21">
      <c r="G21" s="11">
        <f>IFERROR(VLOOKUP(F21,BattleFishData!$A:$B,2,FALSE),"")</f>
        <v/>
      </c>
    </row>
    <row r="22">
      <c r="G22" s="11">
        <f>IFERROR(VLOOKUP(F22,BattleFishData!$A:$B,2,FALSE),"")</f>
        <v/>
      </c>
    </row>
    <row r="23">
      <c r="G23" s="11">
        <f>IFERROR(VLOOKUP(F23,BattleFishData!$A:$B,2,FALSE),"")</f>
        <v/>
      </c>
    </row>
    <row r="24">
      <c r="G24" s="11">
        <f>IFERROR(VLOOKUP(F24,BattleFishData!$A:$B,2,FALSE),"")</f>
        <v/>
      </c>
    </row>
    <row r="25">
      <c r="G25" s="11">
        <f>IFERROR(VLOOKUP(F25,BattleFishData!$A:$B,2,FALSE),"")</f>
        <v/>
      </c>
    </row>
    <row r="26">
      <c r="G26" s="11">
        <f>IFERROR(VLOOKUP(F26,BattleFishData!$A:$B,2,FALSE),"")</f>
        <v/>
      </c>
    </row>
    <row r="27">
      <c r="G27" s="11">
        <f>IFERROR(VLOOKUP(F27,BattleFishData!$A:$B,2,FALSE),"")</f>
        <v/>
      </c>
    </row>
    <row r="28">
      <c r="G28" s="11">
        <f>IFERROR(VLOOKUP(F28,BattleFishData!$A:$B,2,FALSE),"")</f>
        <v/>
      </c>
    </row>
    <row r="29">
      <c r="G29" s="11">
        <f>IFERROR(VLOOKUP(F29,BattleFishData!$A:$B,2,FALSE),"")</f>
        <v/>
      </c>
    </row>
    <row r="30">
      <c r="G30" s="11">
        <f>IFERROR(VLOOKUP(F30,BattleFishData!$A:$B,2,FALSE),"")</f>
        <v/>
      </c>
    </row>
    <row r="31">
      <c r="G31" s="11">
        <f>IFERROR(VLOOKUP(F31,BattleFishData!$A:$B,2,FALSE),"")</f>
        <v/>
      </c>
    </row>
    <row r="32">
      <c r="G32" s="11">
        <f>IFERROR(VLOOKUP(F32,BattleFishData!$A:$B,2,FALSE),"")</f>
        <v/>
      </c>
    </row>
    <row r="33">
      <c r="G33" s="11">
        <f>IFERROR(VLOOKUP(F33,BattleFishData!$A:$B,2,FALSE),"")</f>
        <v/>
      </c>
    </row>
    <row r="34">
      <c r="G34" s="11">
        <f>IFERROR(VLOOKUP(F34,BattleFishData!$A:$B,2,FALSE),"")</f>
        <v/>
      </c>
    </row>
    <row r="35">
      <c r="G35" s="11">
        <f>IFERROR(VLOOKUP(F35,BattleFishData!$A:$B,2,FALSE),"")</f>
        <v/>
      </c>
    </row>
    <row r="36">
      <c r="G36" s="11">
        <f>IFERROR(VLOOKUP(F36,BattleFishData!$A:$B,2,FALSE),"")</f>
        <v/>
      </c>
    </row>
    <row r="37">
      <c r="G37" s="11">
        <f>IFERROR(VLOOKUP(F37,BattleFishData!$A:$B,2,FALSE),"")</f>
        <v/>
      </c>
    </row>
    <row r="38">
      <c r="G38" s="11">
        <f>IFERROR(VLOOKUP(F38,BattleFishData!$A:$B,2,FALSE),"")</f>
        <v/>
      </c>
    </row>
    <row r="39">
      <c r="G39" s="11">
        <f>IFERROR(VLOOKUP(F39,BattleFishData!$A:$B,2,FALSE),"")</f>
        <v/>
      </c>
    </row>
    <row r="40">
      <c r="G40" s="11">
        <f>IFERROR(VLOOKUP(F40,BattleFishData!$A:$B,2,FALSE),"")</f>
        <v/>
      </c>
    </row>
    <row r="41">
      <c r="G41" s="11">
        <f>IFERROR(VLOOKUP(F41,BattleFishData!$A:$B,2,FALSE),"")</f>
        <v/>
      </c>
    </row>
    <row r="42">
      <c r="G42" s="11">
        <f>IFERROR(VLOOKUP(F42,BattleFishData!$A:$B,2,FALSE),"")</f>
        <v/>
      </c>
    </row>
    <row r="43">
      <c r="G43" s="11">
        <f>IFERROR(VLOOKUP(F43,BattleFishData!$A:$B,2,FALSE),"")</f>
        <v/>
      </c>
    </row>
    <row r="44">
      <c r="G44" s="11">
        <f>IFERROR(VLOOKUP(F44,BattleFishData!$A:$B,2,FALSE),"")</f>
        <v/>
      </c>
    </row>
    <row r="45">
      <c r="G45" s="11">
        <f>IFERROR(VLOOKUP(F45,BattleFishData!$A:$B,2,FALSE),"")</f>
        <v/>
      </c>
    </row>
    <row r="46">
      <c r="G46" s="11">
        <f>IFERROR(VLOOKUP(F46,BattleFishData!$A:$B,2,FALSE),"")</f>
        <v/>
      </c>
    </row>
    <row r="47">
      <c r="G47" s="11">
        <f>IFERROR(VLOOKUP(F47,BattleFishData!$A:$B,2,FALSE),"")</f>
        <v/>
      </c>
    </row>
    <row r="48">
      <c r="G48" s="11">
        <f>IFERROR(VLOOKUP(F48,BattleFishData!$A:$B,2,FALSE),"")</f>
        <v/>
      </c>
    </row>
    <row r="49">
      <c r="G49" s="11">
        <f>IFERROR(VLOOKUP(F49,BattleFishData!$A:$B,2,FALSE),"")</f>
        <v/>
      </c>
    </row>
    <row r="50">
      <c r="G50" s="11">
        <f>IFERROR(VLOOKUP(F50,BattleFishData!$A:$B,2,FALSE),"")</f>
        <v/>
      </c>
    </row>
    <row r="51">
      <c r="G51" s="11">
        <f>IFERROR(VLOOKUP(F51,BattleFishData!$A:$B,2,FALSE),"")</f>
        <v/>
      </c>
    </row>
    <row r="52">
      <c r="G52" s="11">
        <f>IFERROR(VLOOKUP(F52,BattleFishData!$A:$B,2,FALSE),"")</f>
        <v/>
      </c>
    </row>
    <row r="53">
      <c r="G53" s="11">
        <f>IFERROR(VLOOKUP(F53,BattleFishData!$A:$B,2,FALSE),"")</f>
        <v/>
      </c>
    </row>
    <row r="54">
      <c r="G54" s="11">
        <f>IFERROR(VLOOKUP(F54,BattleFishData!$A:$B,2,FALSE),"")</f>
        <v/>
      </c>
    </row>
    <row r="55">
      <c r="G55" s="11">
        <f>IFERROR(VLOOKUP(F55,BattleFishData!$A:$B,2,FALSE),"")</f>
        <v/>
      </c>
    </row>
    <row r="56">
      <c r="G56" s="11">
        <f>IFERROR(VLOOKUP(F56,BattleFishData!$A:$B,2,FALSE),"")</f>
        <v/>
      </c>
    </row>
    <row r="57">
      <c r="G57" s="11">
        <f>IFERROR(VLOOKUP(F57,BattleFishData!$A:$B,2,FALSE),"")</f>
        <v/>
      </c>
    </row>
    <row r="58">
      <c r="G58" s="11">
        <f>IFERROR(VLOOKUP(F58,BattleFishData!$A:$B,2,FALSE),"")</f>
        <v/>
      </c>
    </row>
    <row r="59">
      <c r="G59" s="11">
        <f>IFERROR(VLOOKUP(F59,BattleFishData!$A:$B,2,FALSE),"")</f>
        <v/>
      </c>
    </row>
    <row r="60">
      <c r="G60" s="11">
        <f>IFERROR(VLOOKUP(F60,BattleFishData!$A:$B,2,FALSE),"")</f>
        <v/>
      </c>
    </row>
    <row r="61">
      <c r="G61" s="11">
        <f>IFERROR(VLOOKUP(F61,BattleFishData!$A:$B,2,FALSE),"")</f>
        <v/>
      </c>
    </row>
    <row r="62">
      <c r="G62" s="11">
        <f>IFERROR(VLOOKUP(F62,BattleFishData!$A:$B,2,FALSE),"")</f>
        <v/>
      </c>
    </row>
    <row r="63">
      <c r="G63" s="11">
        <f>IFERROR(VLOOKUP(F63,BattleFishData!$A:$B,2,FALSE),"")</f>
        <v/>
      </c>
    </row>
    <row r="64">
      <c r="G64" s="11">
        <f>IFERROR(VLOOKUP(F64,BattleFishData!$A:$B,2,FALSE),"")</f>
        <v/>
      </c>
    </row>
    <row r="65">
      <c r="G65" s="11">
        <f>IFERROR(VLOOKUP(F65,BattleFishData!$A:$B,2,FALSE),"")</f>
        <v/>
      </c>
    </row>
    <row r="66">
      <c r="G66" s="11">
        <f>IFERROR(VLOOKUP(F66,BattleFishData!$A:$B,2,FALSE),"")</f>
        <v/>
      </c>
    </row>
    <row r="67">
      <c r="G67" s="11">
        <f>IFERROR(VLOOKUP(F67,BattleFishData!$A:$B,2,FALSE),"")</f>
        <v/>
      </c>
    </row>
    <row r="68">
      <c r="G68" s="11">
        <f>IFERROR(VLOOKUP(F68,BattleFishData!$A:$B,2,FALSE),"")</f>
        <v/>
      </c>
    </row>
    <row r="69">
      <c r="G69" s="11">
        <f>IFERROR(VLOOKUP(F69,BattleFishData!$A:$B,2,FALSE),"")</f>
        <v/>
      </c>
    </row>
    <row r="70">
      <c r="G70" s="11">
        <f>IFERROR(VLOOKUP(F70,BattleFishData!$A:$B,2,FALSE),"")</f>
        <v/>
      </c>
    </row>
    <row r="71">
      <c r="G71" s="11">
        <f>IFERROR(VLOOKUP(F71,BattleFishData!$A:$B,2,FALSE),"")</f>
        <v/>
      </c>
    </row>
    <row r="72">
      <c r="G72" s="11">
        <f>IFERROR(VLOOKUP(F72,BattleFishData!$A:$B,2,FALSE),"")</f>
        <v/>
      </c>
    </row>
    <row r="73">
      <c r="G73" s="11">
        <f>IFERROR(VLOOKUP(F73,BattleFishData!$A:$B,2,FALSE),"")</f>
        <v/>
      </c>
    </row>
    <row r="74">
      <c r="G74" s="11">
        <f>IFERROR(VLOOKUP(F74,BattleFishData!$A:$B,2,FALSE),"")</f>
        <v/>
      </c>
    </row>
    <row r="75">
      <c r="G75" s="11">
        <f>IFERROR(VLOOKUP(F75,BattleFishData!$A:$B,2,FALSE),"")</f>
        <v/>
      </c>
    </row>
    <row r="76">
      <c r="G76" s="11">
        <f>IFERROR(VLOOKUP(F76,BattleFishData!$A:$B,2,FALSE),"")</f>
        <v/>
      </c>
    </row>
    <row r="77">
      <c r="G77" s="11">
        <f>IFERROR(VLOOKUP(F77,BattleFishData!$A:$B,2,FALSE),"")</f>
        <v/>
      </c>
    </row>
    <row r="78">
      <c r="G78" s="11">
        <f>IFERROR(VLOOKUP(F78,BattleFishData!$A:$B,2,FALSE),"")</f>
        <v/>
      </c>
    </row>
    <row r="79">
      <c r="G79" s="11">
        <f>IFERROR(VLOOKUP(F79,BattleFishData!$A:$B,2,FALSE),"")</f>
        <v/>
      </c>
    </row>
    <row r="80">
      <c r="G80" s="11">
        <f>IFERROR(VLOOKUP(F80,BattleFishData!$A:$B,2,FALSE),"")</f>
        <v/>
      </c>
    </row>
    <row r="81">
      <c r="G81" s="11">
        <f>IFERROR(VLOOKUP(F81,BattleFishData!$A:$B,2,FALSE),"")</f>
        <v/>
      </c>
    </row>
    <row r="82">
      <c r="G82" s="11">
        <f>IFERROR(VLOOKUP(F82,BattleFishData!$A:$B,2,FALSE),"")</f>
        <v/>
      </c>
    </row>
    <row r="83">
      <c r="G83" s="11">
        <f>IFERROR(VLOOKUP(F83,BattleFishData!$A:$B,2,FALSE),"")</f>
        <v/>
      </c>
    </row>
    <row r="84">
      <c r="G84" s="11">
        <f>IFERROR(VLOOKUP(F84,BattleFishData!$A:$B,2,FALSE),"")</f>
        <v/>
      </c>
    </row>
    <row r="85">
      <c r="G85" s="11">
        <f>IFERROR(VLOOKUP(F85,BattleFishData!$A:$B,2,FALSE),"")</f>
        <v/>
      </c>
    </row>
    <row r="86">
      <c r="G86" s="11">
        <f>IFERROR(VLOOKUP(F86,BattleFishData!$A:$B,2,FALSE),"")</f>
        <v/>
      </c>
    </row>
    <row r="87">
      <c r="G87" s="11">
        <f>IFERROR(VLOOKUP(F87,BattleFishData!$A:$B,2,FALSE),"")</f>
        <v/>
      </c>
    </row>
    <row r="88">
      <c r="G88" s="11">
        <f>IFERROR(VLOOKUP(F88,BattleFishData!$A:$B,2,FALSE),"")</f>
        <v/>
      </c>
    </row>
    <row r="89">
      <c r="G89" s="11">
        <f>IFERROR(VLOOKUP(F89,BattleFishData!$A:$B,2,FALSE),"")</f>
        <v/>
      </c>
    </row>
    <row r="90">
      <c r="G90" s="11">
        <f>IFERROR(VLOOKUP(F90,BattleFishData!$A:$B,2,FALSE),"")</f>
        <v/>
      </c>
    </row>
    <row r="91">
      <c r="G91" s="11">
        <f>IFERROR(VLOOKUP(F91,BattleFishData!$A:$B,2,FALSE),"")</f>
        <v/>
      </c>
    </row>
    <row r="92">
      <c r="G92" s="11">
        <f>IFERROR(VLOOKUP(F92,BattleFishData!$A:$B,2,FALSE),"")</f>
        <v/>
      </c>
    </row>
    <row r="93">
      <c r="G93" s="11">
        <f>IFERROR(VLOOKUP(F93,BattleFishData!$A:$B,2,FALSE),"")</f>
        <v/>
      </c>
    </row>
    <row r="94">
      <c r="G94" s="11">
        <f>IFERROR(VLOOKUP(F94,BattleFishData!$A:$B,2,FALSE),"")</f>
        <v/>
      </c>
    </row>
    <row r="95">
      <c r="G95" s="11">
        <f>IFERROR(VLOOKUP(F95,BattleFishData!$A:$B,2,FALSE),"")</f>
        <v/>
      </c>
    </row>
    <row r="96">
      <c r="G96" s="11">
        <f>IFERROR(VLOOKUP(F96,BattleFishData!$A:$B,2,FALSE),"")</f>
        <v/>
      </c>
    </row>
    <row r="97">
      <c r="G97" s="11">
        <f>IFERROR(VLOOKUP(F97,BattleFishData!$A:$B,2,FALSE),"")</f>
        <v/>
      </c>
    </row>
    <row r="98">
      <c r="G98" s="11">
        <f>IFERROR(VLOOKUP(F98,BattleFishData!$A:$B,2,FALSE),"")</f>
        <v/>
      </c>
    </row>
    <row r="99">
      <c r="G99" s="11">
        <f>IFERROR(VLOOKUP(F99,BattleFishData!$A:$B,2,FALSE),"")</f>
        <v/>
      </c>
    </row>
    <row r="100">
      <c r="G100" s="11">
        <f>IFERROR(VLOOKUP(F100,BattleFishData!$A:$B,2,FALSE),"")</f>
        <v/>
      </c>
    </row>
    <row r="101">
      <c r="G101" s="11">
        <f>IFERROR(VLOOKUP(F101,BattleFishData!$A:$B,2,FALSE),"")</f>
        <v/>
      </c>
    </row>
    <row r="102">
      <c r="G102" s="11">
        <f>IFERROR(VLOOKUP(F102,BattleFishData!$A:$B,2,FALSE),"")</f>
        <v/>
      </c>
    </row>
    <row r="103">
      <c r="G103" s="11">
        <f>IFERROR(VLOOKUP(F103,BattleFishData!$A:$B,2,FALSE),"")</f>
        <v/>
      </c>
    </row>
    <row r="104">
      <c r="G104" s="11">
        <f>IFERROR(VLOOKUP(F104,BattleFishData!$A:$B,2,FALSE),"")</f>
        <v/>
      </c>
    </row>
    <row r="105">
      <c r="G105" s="11">
        <f>IFERROR(VLOOKUP(F105,BattleFishData!$A:$B,2,FALSE),"")</f>
        <v/>
      </c>
    </row>
    <row r="106">
      <c r="G106" s="11">
        <f>IFERROR(VLOOKUP(F106,BattleFishData!$A:$B,2,FALSE),"")</f>
        <v/>
      </c>
    </row>
    <row r="107">
      <c r="G107" s="11">
        <f>IFERROR(VLOOKUP(F107,BattleFishData!$A:$B,2,FALSE),"")</f>
        <v/>
      </c>
    </row>
    <row r="108">
      <c r="G108" s="11">
        <f>IFERROR(VLOOKUP(F108,BattleFishData!$A:$B,2,FALSE),"")</f>
        <v/>
      </c>
    </row>
    <row r="109">
      <c r="G109" s="11">
        <f>IFERROR(VLOOKUP(F109,BattleFishData!$A:$B,2,FALSE),"")</f>
        <v/>
      </c>
    </row>
    <row r="110">
      <c r="G110" s="11">
        <f>IFERROR(VLOOKUP(F110,BattleFishData!$A:$B,2,FALSE),"")</f>
        <v/>
      </c>
    </row>
    <row r="111">
      <c r="G111" s="11">
        <f>IFERROR(VLOOKUP(F111,BattleFishData!$A:$B,2,FALSE),"")</f>
        <v/>
      </c>
    </row>
    <row r="112">
      <c r="G112" s="11">
        <f>IFERROR(VLOOKUP(F112,BattleFishData!$A:$B,2,FALSE),"")</f>
        <v/>
      </c>
    </row>
    <row r="113">
      <c r="G113" s="11">
        <f>IFERROR(VLOOKUP(F113,BattleFishData!$A:$B,2,FALSE),"")</f>
        <v/>
      </c>
    </row>
    <row r="114">
      <c r="G114" s="11">
        <f>IFERROR(VLOOKUP(F114,BattleFishData!$A:$B,2,FALSE),"")</f>
        <v/>
      </c>
    </row>
    <row r="115">
      <c r="G115" s="11">
        <f>IFERROR(VLOOKUP(F115,BattleFishData!$A:$B,2,FALSE),"")</f>
        <v/>
      </c>
    </row>
    <row r="116">
      <c r="G116" s="11">
        <f>IFERROR(VLOOKUP(F116,BattleFishData!$A:$B,2,FALSE),"")</f>
        <v/>
      </c>
    </row>
    <row r="117">
      <c r="G117" s="11">
        <f>IFERROR(VLOOKUP(F117,BattleFishData!$A:$B,2,FALSE),"")</f>
        <v/>
      </c>
    </row>
    <row r="118">
      <c r="G118" s="11">
        <f>IFERROR(VLOOKUP(F118,BattleFishData!$A:$B,2,FALSE),"")</f>
        <v/>
      </c>
    </row>
    <row r="119">
      <c r="G119" s="11">
        <f>IFERROR(VLOOKUP(F119,BattleFishData!$A:$B,2,FALSE),"")</f>
        <v/>
      </c>
    </row>
    <row r="120">
      <c r="G120" s="11">
        <f>IFERROR(VLOOKUP(F120,BattleFishData!$A:$B,2,FALSE),"")</f>
        <v/>
      </c>
    </row>
    <row r="121">
      <c r="G121" s="11">
        <f>IFERROR(VLOOKUP(F121,BattleFishData!$A:$B,2,FALSE),"")</f>
        <v/>
      </c>
    </row>
    <row r="122">
      <c r="G122" s="11">
        <f>IFERROR(VLOOKUP(F122,BattleFishData!$A:$B,2,FALSE),"")</f>
        <v/>
      </c>
    </row>
    <row r="123">
      <c r="G123" s="11">
        <f>IFERROR(VLOOKUP(F123,BattleFishData!$A:$B,2,FALSE),"")</f>
        <v/>
      </c>
    </row>
    <row r="124">
      <c r="G124" s="11">
        <f>IFERROR(VLOOKUP(F124,BattleFishData!$A:$B,2,FALSE),"")</f>
        <v/>
      </c>
    </row>
    <row r="125">
      <c r="G125" s="11">
        <f>IFERROR(VLOOKUP(F125,BattleFishData!$A:$B,2,FALSE),"")</f>
        <v/>
      </c>
    </row>
    <row r="126">
      <c r="G126" s="11">
        <f>IFERROR(VLOOKUP(F126,BattleFishData!$A:$B,2,FALSE),"")</f>
        <v/>
      </c>
    </row>
    <row r="127">
      <c r="G127" s="11">
        <f>IFERROR(VLOOKUP(F127,BattleFishData!$A:$B,2,FALSE),"")</f>
        <v/>
      </c>
    </row>
    <row r="128">
      <c r="G128" s="11">
        <f>IFERROR(VLOOKUP(F128,BattleFishData!$A:$B,2,FALSE),"")</f>
        <v/>
      </c>
    </row>
    <row r="129">
      <c r="G129" s="11">
        <f>IFERROR(VLOOKUP(F129,BattleFishData!$A:$B,2,FALSE),"")</f>
        <v/>
      </c>
    </row>
    <row r="130">
      <c r="G130" s="11">
        <f>IFERROR(VLOOKUP(F130,BattleFishData!$A:$B,2,FALSE),"")</f>
        <v/>
      </c>
    </row>
    <row r="131">
      <c r="G131" s="11">
        <f>IFERROR(VLOOKUP(F131,BattleFishData!$A:$B,2,FALSE),"")</f>
        <v/>
      </c>
    </row>
    <row r="132">
      <c r="G132" s="11">
        <f>IFERROR(VLOOKUP(F132,BattleFishData!$A:$B,2,FALSE),"")</f>
        <v/>
      </c>
    </row>
    <row r="133">
      <c r="G133" s="11">
        <f>IFERROR(VLOOKUP(F133,BattleFishData!$A:$B,2,FALSE),"")</f>
        <v/>
      </c>
    </row>
    <row r="134">
      <c r="G134" s="11">
        <f>IFERROR(VLOOKUP(F134,BattleFishData!$A:$B,2,FALSE),"")</f>
        <v/>
      </c>
    </row>
    <row r="135">
      <c r="G135" s="11">
        <f>IFERROR(VLOOKUP(F135,BattleFishData!$A:$B,2,FALSE),"")</f>
        <v/>
      </c>
    </row>
    <row r="136">
      <c r="G136" s="11">
        <f>IFERROR(VLOOKUP(F136,BattleFishData!$A:$B,2,FALSE),"")</f>
        <v/>
      </c>
    </row>
    <row r="137">
      <c r="G137" s="11">
        <f>IFERROR(VLOOKUP(F137,BattleFishData!$A:$B,2,FALSE),"")</f>
        <v/>
      </c>
    </row>
    <row r="138">
      <c r="G138" s="11">
        <f>IFERROR(VLOOKUP(F138,BattleFishData!$A:$B,2,FALSE),"")</f>
        <v/>
      </c>
    </row>
    <row r="139">
      <c r="G139" s="11">
        <f>IFERROR(VLOOKUP(F139,BattleFishData!$A:$B,2,FALSE),"")</f>
        <v/>
      </c>
    </row>
    <row r="140">
      <c r="G140" s="11">
        <f>IFERROR(VLOOKUP(F140,BattleFishData!$A:$B,2,FALSE),"")</f>
        <v/>
      </c>
    </row>
    <row r="141">
      <c r="G141" s="11">
        <f>IFERROR(VLOOKUP(F141,BattleFishData!$A:$B,2,FALSE),"")</f>
        <v/>
      </c>
    </row>
    <row r="142">
      <c r="G142" s="11">
        <f>IFERROR(VLOOKUP(F142,BattleFishData!$A:$B,2,FALSE),"")</f>
        <v/>
      </c>
    </row>
    <row r="143">
      <c r="G143" s="11">
        <f>IFERROR(VLOOKUP(F143,BattleFishData!$A:$B,2,FALSE),"")</f>
        <v/>
      </c>
    </row>
    <row r="144">
      <c r="G144" s="11">
        <f>IFERROR(VLOOKUP(F144,BattleFishData!$A:$B,2,FALSE),"")</f>
        <v/>
      </c>
    </row>
    <row r="145">
      <c r="G145" s="11">
        <f>IFERROR(VLOOKUP(F145,BattleFishData!$A:$B,2,FALSE),"")</f>
        <v/>
      </c>
    </row>
    <row r="146">
      <c r="G146" s="11">
        <f>IFERROR(VLOOKUP(F146,BattleFishData!$A:$B,2,FALSE),"")</f>
        <v/>
      </c>
    </row>
    <row r="147">
      <c r="G147" s="11">
        <f>IFERROR(VLOOKUP(F147,BattleFishData!$A:$B,2,FALSE),"")</f>
        <v/>
      </c>
    </row>
    <row r="148">
      <c r="G148" s="11">
        <f>IFERROR(VLOOKUP(F148,BattleFishData!$A:$B,2,FALSE),"")</f>
        <v/>
      </c>
    </row>
    <row r="149">
      <c r="G149" s="11">
        <f>IFERROR(VLOOKUP(F149,BattleFishData!$A:$B,2,FALSE),"")</f>
        <v/>
      </c>
    </row>
    <row r="150">
      <c r="G150" s="11">
        <f>IFERROR(VLOOKUP(F150,BattleFishData!$A:$B,2,FALSE),"")</f>
        <v/>
      </c>
    </row>
    <row r="151">
      <c r="G151" s="11">
        <f>IFERROR(VLOOKUP(F151,BattleFishData!$A:$B,2,FALSE),"")</f>
        <v/>
      </c>
    </row>
    <row r="152">
      <c r="G152" s="11">
        <f>IFERROR(VLOOKUP(F152,BattleFishData!$A:$B,2,FALSE),"")</f>
        <v/>
      </c>
    </row>
    <row r="153">
      <c r="G153" s="11">
        <f>IFERROR(VLOOKUP(F153,BattleFishData!$A:$B,2,FALSE),"")</f>
        <v/>
      </c>
    </row>
    <row r="154">
      <c r="G154" s="11">
        <f>IFERROR(VLOOKUP(F154,BattleFishData!$A:$B,2,FALSE),"")</f>
        <v/>
      </c>
    </row>
    <row r="155">
      <c r="G155" s="11">
        <f>IFERROR(VLOOKUP(F155,BattleFishData!$A:$B,2,FALSE),"")</f>
        <v/>
      </c>
    </row>
    <row r="156">
      <c r="G156" s="11">
        <f>IFERROR(VLOOKUP(F156,BattleFishData!$A:$B,2,FALSE),"")</f>
        <v/>
      </c>
    </row>
    <row r="157">
      <c r="G157" s="11">
        <f>IFERROR(VLOOKUP(F157,BattleFishData!$A:$B,2,FALSE),"")</f>
        <v/>
      </c>
    </row>
    <row r="158">
      <c r="G158" s="11">
        <f>IFERROR(VLOOKUP(F158,BattleFishData!$A:$B,2,FALSE),"")</f>
        <v/>
      </c>
    </row>
    <row r="159">
      <c r="G159" s="11">
        <f>IFERROR(VLOOKUP(F159,BattleFishData!$A:$B,2,FALSE),"")</f>
        <v/>
      </c>
    </row>
    <row r="160">
      <c r="G160" s="11">
        <f>IFERROR(VLOOKUP(F160,BattleFishData!$A:$B,2,FALSE),"")</f>
        <v/>
      </c>
    </row>
    <row r="161">
      <c r="G161" s="11">
        <f>IFERROR(VLOOKUP(F161,BattleFishData!$A:$B,2,FALSE),"")</f>
        <v/>
      </c>
    </row>
    <row r="162">
      <c r="G162" s="11">
        <f>IFERROR(VLOOKUP(F162,BattleFishData!$A:$B,2,FALSE),"")</f>
        <v/>
      </c>
    </row>
    <row r="163">
      <c r="G163" s="11">
        <f>IFERROR(VLOOKUP(F163,BattleFishData!$A:$B,2,FALSE),"")</f>
        <v/>
      </c>
    </row>
    <row r="164">
      <c r="G164" s="11">
        <f>IFERROR(VLOOKUP(F164,BattleFishData!$A:$B,2,FALSE),"")</f>
        <v/>
      </c>
    </row>
    <row r="165">
      <c r="G165" s="11">
        <f>IFERROR(VLOOKUP(F165,BattleFishData!$A:$B,2,FALSE),"")</f>
        <v/>
      </c>
    </row>
    <row r="166">
      <c r="G166" s="11">
        <f>IFERROR(VLOOKUP(F166,BattleFishData!$A:$B,2,FALSE),"")</f>
        <v/>
      </c>
    </row>
    <row r="167">
      <c r="G167" s="11">
        <f>IFERROR(VLOOKUP(F167,BattleFishData!$A:$B,2,FALSE),"")</f>
        <v/>
      </c>
    </row>
    <row r="168">
      <c r="G168" s="11">
        <f>IFERROR(VLOOKUP(F168,BattleFishData!$A:$B,2,FALSE),"")</f>
        <v/>
      </c>
    </row>
    <row r="169">
      <c r="G169" s="11">
        <f>IFERROR(VLOOKUP(F169,BattleFishData!$A:$B,2,FALSE),"")</f>
        <v/>
      </c>
    </row>
    <row r="170">
      <c r="G170" s="11">
        <f>IFERROR(VLOOKUP(F170,BattleFishData!$A:$B,2,FALSE),"")</f>
        <v/>
      </c>
    </row>
    <row r="171">
      <c r="G171" s="11">
        <f>IFERROR(VLOOKUP(F171,BattleFishData!$A:$B,2,FALSE),"")</f>
        <v/>
      </c>
    </row>
    <row r="172">
      <c r="G172" s="11">
        <f>IFERROR(VLOOKUP(F172,BattleFishData!$A:$B,2,FALSE),"")</f>
        <v/>
      </c>
    </row>
    <row r="173">
      <c r="G173" s="11">
        <f>IFERROR(VLOOKUP(F173,BattleFishData!$A:$B,2,FALSE),"")</f>
        <v/>
      </c>
    </row>
    <row r="174">
      <c r="G174" s="11">
        <f>IFERROR(VLOOKUP(F174,BattleFishData!$A:$B,2,FALSE),"")</f>
        <v/>
      </c>
    </row>
    <row r="175">
      <c r="G175" s="11">
        <f>IFERROR(VLOOKUP(F175,BattleFishData!$A:$B,2,FALSE),"")</f>
        <v/>
      </c>
    </row>
    <row r="176">
      <c r="G176" s="11">
        <f>IFERROR(VLOOKUP(F176,BattleFishData!$A:$B,2,FALSE),"")</f>
        <v/>
      </c>
    </row>
    <row r="177">
      <c r="G177" s="11">
        <f>IFERROR(VLOOKUP(F177,BattleFishData!$A:$B,2,FALSE),"")</f>
        <v/>
      </c>
    </row>
    <row r="178">
      <c r="G178" s="11">
        <f>IFERROR(VLOOKUP(F178,BattleFishData!$A:$B,2,FALSE),"")</f>
        <v/>
      </c>
    </row>
    <row r="179">
      <c r="G179" s="11">
        <f>IFERROR(VLOOKUP(F179,BattleFishData!$A:$B,2,FALSE),"")</f>
        <v/>
      </c>
    </row>
    <row r="180">
      <c r="G180" s="11">
        <f>IFERROR(VLOOKUP(F180,BattleFishData!$A:$B,2,FALSE),"")</f>
        <v/>
      </c>
    </row>
    <row r="181">
      <c r="G181" s="11">
        <f>IFERROR(VLOOKUP(F181,BattleFishData!$A:$B,2,FALSE),"")</f>
        <v/>
      </c>
    </row>
    <row r="182">
      <c r="G182" s="11">
        <f>IFERROR(VLOOKUP(F182,BattleFishData!$A:$B,2,FALSE),"")</f>
        <v/>
      </c>
    </row>
    <row r="183">
      <c r="G183" s="11">
        <f>IFERROR(VLOOKUP(F183,BattleFishData!$A:$B,2,FALSE),"")</f>
        <v/>
      </c>
    </row>
    <row r="184">
      <c r="G184" s="11">
        <f>IFERROR(VLOOKUP(F184,BattleFishData!$A:$B,2,FALSE),"")</f>
        <v/>
      </c>
    </row>
    <row r="185">
      <c r="G185" s="11">
        <f>IFERROR(VLOOKUP(F185,BattleFishData!$A:$B,2,FALSE),"")</f>
        <v/>
      </c>
    </row>
    <row r="186">
      <c r="G186" s="11">
        <f>IFERROR(VLOOKUP(F186,BattleFishData!$A:$B,2,FALSE),"")</f>
        <v/>
      </c>
    </row>
    <row r="187">
      <c r="G187" s="11">
        <f>IFERROR(VLOOKUP(F187,BattleFishData!$A:$B,2,FALSE),"")</f>
        <v/>
      </c>
    </row>
    <row r="188">
      <c r="G188" s="11">
        <f>IFERROR(VLOOKUP(F188,BattleFishData!$A:$B,2,FALSE),"")</f>
        <v/>
      </c>
    </row>
    <row r="189">
      <c r="G189" s="11">
        <f>IFERROR(VLOOKUP(F189,BattleFishData!$A:$B,2,FALSE),"")</f>
        <v/>
      </c>
    </row>
    <row r="190">
      <c r="G190" s="11">
        <f>IFERROR(VLOOKUP(F190,BattleFishData!$A:$B,2,FALSE),"")</f>
        <v/>
      </c>
    </row>
    <row r="191">
      <c r="G191" s="11">
        <f>IFERROR(VLOOKUP(F191,BattleFishData!$A:$B,2,FALSE),"")</f>
        <v/>
      </c>
    </row>
    <row r="192">
      <c r="G192" s="11">
        <f>IFERROR(VLOOKUP(F192,BattleFishData!$A:$B,2,FALSE),"")</f>
        <v/>
      </c>
    </row>
    <row r="193">
      <c r="G193" s="11">
        <f>IFERROR(VLOOKUP(F193,BattleFishData!$A:$B,2,FALSE),"")</f>
        <v/>
      </c>
    </row>
    <row r="194">
      <c r="G194" s="11">
        <f>IFERROR(VLOOKUP(F194,BattleFishData!$A:$B,2,FALSE),"")</f>
        <v/>
      </c>
    </row>
    <row r="195">
      <c r="G195" s="11">
        <f>IFERROR(VLOOKUP(F195,BattleFishData!$A:$B,2,FALSE),"")</f>
        <v/>
      </c>
    </row>
    <row r="196">
      <c r="G196" s="11">
        <f>IFERROR(VLOOKUP(F196,BattleFishData!$A:$B,2,FALSE),"")</f>
        <v/>
      </c>
    </row>
    <row r="197">
      <c r="G197" s="11">
        <f>IFERROR(VLOOKUP(F197,BattleFishData!$A:$B,2,FALSE),"")</f>
        <v/>
      </c>
    </row>
    <row r="198">
      <c r="G198" s="11">
        <f>IFERROR(VLOOKUP(F198,BattleFishData!$A:$B,2,FALSE),"")</f>
        <v/>
      </c>
    </row>
    <row r="199">
      <c r="G199" s="11">
        <f>IFERROR(VLOOKUP(F199,BattleFishData!$A:$B,2,FALSE),"")</f>
        <v/>
      </c>
    </row>
    <row r="200">
      <c r="G200" s="11">
        <f>IFERROR(VLOOKUP(F200,BattleFishData!$A:$B,2,FALSE),"")</f>
        <v/>
      </c>
    </row>
    <row r="201">
      <c r="G201" s="11">
        <f>IFERROR(VLOOKUP(F201,BattleFishData!$A:$B,2,FALSE),"")</f>
        <v/>
      </c>
    </row>
    <row r="202">
      <c r="G202" s="11">
        <f>IFERROR(VLOOKUP(F202,BattleFishData!$A:$B,2,FALSE),"")</f>
        <v/>
      </c>
    </row>
    <row r="203">
      <c r="G203" s="11">
        <f>IFERROR(VLOOKUP(F203,BattleFishData!$A:$B,2,FALSE),"")</f>
        <v/>
      </c>
    </row>
    <row r="204">
      <c r="G204" s="11">
        <f>IFERROR(VLOOKUP(F204,BattleFishData!$A:$B,2,FALSE),"")</f>
        <v/>
      </c>
    </row>
    <row r="205">
      <c r="G205" s="11">
        <f>IFERROR(VLOOKUP(F205,BattleFishData!$A:$B,2,FALSE),"")</f>
        <v/>
      </c>
    </row>
    <row r="206">
      <c r="G206" s="11">
        <f>IFERROR(VLOOKUP(F206,BattleFishData!$A:$B,2,FALSE),"")</f>
        <v/>
      </c>
    </row>
    <row r="207">
      <c r="G207" s="11">
        <f>IFERROR(VLOOKUP(F207,BattleFishData!$A:$B,2,FALSE),"")</f>
        <v/>
      </c>
    </row>
    <row r="208">
      <c r="G208" s="11">
        <f>IFERROR(VLOOKUP(F208,BattleFishData!$A:$B,2,FALSE),"")</f>
        <v/>
      </c>
    </row>
    <row r="209">
      <c r="G209" s="11">
        <f>IFERROR(VLOOKUP(F209,BattleFishData!$A:$B,2,FALSE),"")</f>
        <v/>
      </c>
    </row>
    <row r="210">
      <c r="G210" s="11">
        <f>IFERROR(VLOOKUP(F210,BattleFishData!$A:$B,2,FALSE),"")</f>
        <v/>
      </c>
    </row>
    <row r="211">
      <c r="G211" s="11">
        <f>IFERROR(VLOOKUP(F211,BattleFishData!$A:$B,2,FALSE),"")</f>
        <v/>
      </c>
    </row>
    <row r="212">
      <c r="G212" s="11">
        <f>IFERROR(VLOOKUP(F212,BattleFishData!$A:$B,2,FALSE),"")</f>
        <v/>
      </c>
    </row>
    <row r="213">
      <c r="G213" s="11">
        <f>IFERROR(VLOOKUP(F213,BattleFishData!$A:$B,2,FALSE),"")</f>
        <v/>
      </c>
    </row>
    <row r="214">
      <c r="G214" s="11">
        <f>IFERROR(VLOOKUP(F214,BattleFishData!$A:$B,2,FALSE),"")</f>
        <v/>
      </c>
    </row>
    <row r="215">
      <c r="G215" s="11">
        <f>IFERROR(VLOOKUP(F215,BattleFishData!$A:$B,2,FALSE),"")</f>
        <v/>
      </c>
    </row>
    <row r="216">
      <c r="G216" s="11">
        <f>IFERROR(VLOOKUP(F216,BattleFishData!$A:$B,2,FALSE),"")</f>
        <v/>
      </c>
    </row>
    <row r="217">
      <c r="G217" s="11">
        <f>IFERROR(VLOOKUP(F217,BattleFishData!$A:$B,2,FALSE),"")</f>
        <v/>
      </c>
    </row>
    <row r="218">
      <c r="G218" s="11">
        <f>IFERROR(VLOOKUP(F218,BattleFishData!$A:$B,2,FALSE),"")</f>
        <v/>
      </c>
    </row>
    <row r="219">
      <c r="G219" s="11">
        <f>IFERROR(VLOOKUP(F219,BattleFishData!$A:$B,2,FALSE),"")</f>
        <v/>
      </c>
    </row>
    <row r="220">
      <c r="G220" s="11">
        <f>IFERROR(VLOOKUP(F220,BattleFishData!$A:$B,2,FALSE),"")</f>
        <v/>
      </c>
    </row>
    <row r="221">
      <c r="G221" s="11">
        <f>IFERROR(VLOOKUP(F221,BattleFishData!$A:$B,2,FALSE),"")</f>
        <v/>
      </c>
    </row>
    <row r="222">
      <c r="G222" s="11">
        <f>IFERROR(VLOOKUP(F222,BattleFishData!$A:$B,2,FALSE),"")</f>
        <v/>
      </c>
    </row>
    <row r="223">
      <c r="G223" s="11">
        <f>IFERROR(VLOOKUP(F223,BattleFishData!$A:$B,2,FALSE),"")</f>
        <v/>
      </c>
    </row>
    <row r="224">
      <c r="G224" s="11">
        <f>IFERROR(VLOOKUP(F224,BattleFishData!$A:$B,2,FALSE),"")</f>
        <v/>
      </c>
    </row>
    <row r="225">
      <c r="G225" s="11">
        <f>IFERROR(VLOOKUP(F225,BattleFishData!$A:$B,2,FALSE),"")</f>
        <v/>
      </c>
    </row>
    <row r="226">
      <c r="G226" s="11">
        <f>IFERROR(VLOOKUP(F226,BattleFishData!$A:$B,2,FALSE),"")</f>
        <v/>
      </c>
    </row>
    <row r="227">
      <c r="G227" s="11">
        <f>IFERROR(VLOOKUP(F227,BattleFishData!$A:$B,2,FALSE),"")</f>
        <v/>
      </c>
    </row>
    <row r="228">
      <c r="G228" s="11">
        <f>IFERROR(VLOOKUP(F228,BattleFishData!$A:$B,2,FALSE),"")</f>
        <v/>
      </c>
    </row>
    <row r="229">
      <c r="G229" s="11">
        <f>IFERROR(VLOOKUP(F229,BattleFishData!$A:$B,2,FALSE),"")</f>
        <v/>
      </c>
    </row>
    <row r="230">
      <c r="G230" s="11">
        <f>IFERROR(VLOOKUP(F230,BattleFishData!$A:$B,2,FALSE),"")</f>
        <v/>
      </c>
    </row>
    <row r="231">
      <c r="G231" s="11">
        <f>IFERROR(VLOOKUP(F231,BattleFishData!$A:$B,2,FALSE),"")</f>
        <v/>
      </c>
    </row>
    <row r="232">
      <c r="G232" s="11">
        <f>IFERROR(VLOOKUP(F232,BattleFishData!$A:$B,2,FALSE),"")</f>
        <v/>
      </c>
    </row>
    <row r="233">
      <c r="G233" s="11">
        <f>IFERROR(VLOOKUP(F233,BattleFishData!$A:$B,2,FALSE),"")</f>
        <v/>
      </c>
    </row>
    <row r="234">
      <c r="G234" s="11">
        <f>IFERROR(VLOOKUP(F234,BattleFishData!$A:$B,2,FALSE),"")</f>
        <v/>
      </c>
    </row>
    <row r="235">
      <c r="G235" s="11">
        <f>IFERROR(VLOOKUP(F235,BattleFishData!$A:$B,2,FALSE),"")</f>
        <v/>
      </c>
    </row>
    <row r="236">
      <c r="G236" s="11">
        <f>IFERROR(VLOOKUP(F236,BattleFishData!$A:$B,2,FALSE),"")</f>
        <v/>
      </c>
    </row>
    <row r="237">
      <c r="G237" s="11">
        <f>IFERROR(VLOOKUP(F237,BattleFishData!$A:$B,2,FALSE),"")</f>
        <v/>
      </c>
    </row>
    <row r="238">
      <c r="G238" s="11">
        <f>IFERROR(VLOOKUP(F238,BattleFishData!$A:$B,2,FALSE),"")</f>
        <v/>
      </c>
    </row>
    <row r="239">
      <c r="G239" s="11">
        <f>IFERROR(VLOOKUP(F239,BattleFishData!$A:$B,2,FALSE),"")</f>
        <v/>
      </c>
    </row>
    <row r="240">
      <c r="G240" s="11">
        <f>IFERROR(VLOOKUP(F240,BattleFishData!$A:$B,2,FALSE),"")</f>
        <v/>
      </c>
    </row>
    <row r="241">
      <c r="G241" s="11">
        <f>IFERROR(VLOOKUP(F241,BattleFishData!$A:$B,2,FALSE),"")</f>
        <v/>
      </c>
    </row>
    <row r="242">
      <c r="G242" s="11">
        <f>IFERROR(VLOOKUP(F242,BattleFishData!$A:$B,2,FALSE),"")</f>
        <v/>
      </c>
    </row>
    <row r="243">
      <c r="G243" s="11">
        <f>IFERROR(VLOOKUP(F243,BattleFishData!$A:$B,2,FALSE),"")</f>
        <v/>
      </c>
    </row>
    <row r="244">
      <c r="G244" s="11">
        <f>IFERROR(VLOOKUP(F244,BattleFishData!$A:$B,2,FALSE),"")</f>
        <v/>
      </c>
    </row>
    <row r="245">
      <c r="G245" s="11">
        <f>IFERROR(VLOOKUP(F245,BattleFishData!$A:$B,2,FALSE),"")</f>
        <v/>
      </c>
    </row>
    <row r="246">
      <c r="G246" s="11">
        <f>IFERROR(VLOOKUP(F246,BattleFishData!$A:$B,2,FALSE),"")</f>
        <v/>
      </c>
    </row>
    <row r="247">
      <c r="G247" s="11">
        <f>IFERROR(VLOOKUP(F247,BattleFishData!$A:$B,2,FALSE),"")</f>
        <v/>
      </c>
    </row>
    <row r="248">
      <c r="G248" s="11">
        <f>IFERROR(VLOOKUP(F248,BattleFishData!$A:$B,2,FALSE),"")</f>
        <v/>
      </c>
    </row>
    <row r="249">
      <c r="G249" s="11">
        <f>IFERROR(VLOOKUP(F249,BattleFishData!$A:$B,2,FALSE),"")</f>
        <v/>
      </c>
    </row>
    <row r="250">
      <c r="G250" s="11">
        <f>IFERROR(VLOOKUP(F250,BattleFishData!$A:$B,2,FALSE),"")</f>
        <v/>
      </c>
    </row>
    <row r="251">
      <c r="G251" s="11">
        <f>IFERROR(VLOOKUP(F251,BattleFishData!$A:$B,2,FALSE),"")</f>
        <v/>
      </c>
    </row>
    <row r="252">
      <c r="G252" s="11">
        <f>IFERROR(VLOOKUP(F252,BattleFishData!$A:$B,2,FALSE),"")</f>
        <v/>
      </c>
    </row>
    <row r="253">
      <c r="G253" s="11">
        <f>IFERROR(VLOOKUP(F253,BattleFishData!$A:$B,2,FALSE),"")</f>
        <v/>
      </c>
    </row>
    <row r="254">
      <c r="G254" s="11">
        <f>IFERROR(VLOOKUP(F254,BattleFishData!$A:$B,2,FALSE),"")</f>
        <v/>
      </c>
    </row>
    <row r="255">
      <c r="G255" s="11">
        <f>IFERROR(VLOOKUP(F255,BattleFishData!$A:$B,2,FALSE),"")</f>
        <v/>
      </c>
    </row>
    <row r="256">
      <c r="G256" s="11">
        <f>IFERROR(VLOOKUP(F256,BattleFishData!$A:$B,2,FALSE),"")</f>
        <v/>
      </c>
    </row>
    <row r="257">
      <c r="G257" s="11">
        <f>IFERROR(VLOOKUP(F257,BattleFishData!$A:$B,2,FALSE),"")</f>
        <v/>
      </c>
    </row>
    <row r="258">
      <c r="G258" s="11">
        <f>IFERROR(VLOOKUP(F258,BattleFishData!$A:$B,2,FALSE),"")</f>
        <v/>
      </c>
    </row>
    <row r="259">
      <c r="G259" s="11">
        <f>IFERROR(VLOOKUP(F259,BattleFishData!$A:$B,2,FALSE),"")</f>
        <v/>
      </c>
    </row>
    <row r="260">
      <c r="G260" s="11">
        <f>IFERROR(VLOOKUP(F260,BattleFishData!$A:$B,2,FALSE),"")</f>
        <v/>
      </c>
    </row>
    <row r="261">
      <c r="G261" s="11">
        <f>IFERROR(VLOOKUP(F261,BattleFishData!$A:$B,2,FALSE),"")</f>
        <v/>
      </c>
    </row>
    <row r="262">
      <c r="G262" s="11">
        <f>IFERROR(VLOOKUP(F262,BattleFishData!$A:$B,2,FALSE),"")</f>
        <v/>
      </c>
    </row>
    <row r="263">
      <c r="G263" s="11">
        <f>IFERROR(VLOOKUP(F263,BattleFishData!$A:$B,2,FALSE),"")</f>
        <v/>
      </c>
    </row>
    <row r="264">
      <c r="G264" s="11">
        <f>IFERROR(VLOOKUP(F264,BattleFishData!$A:$B,2,FALSE),"")</f>
        <v/>
      </c>
    </row>
    <row r="265">
      <c r="G265" s="11">
        <f>IFERROR(VLOOKUP(F265,BattleFishData!$A:$B,2,FALSE),"")</f>
        <v/>
      </c>
    </row>
    <row r="266">
      <c r="G266" s="11">
        <f>IFERROR(VLOOKUP(F266,BattleFishData!$A:$B,2,FALSE),"")</f>
        <v/>
      </c>
    </row>
    <row r="267">
      <c r="G267" s="11">
        <f>IFERROR(VLOOKUP(F267,BattleFishData!$A:$B,2,FALSE),"")</f>
        <v/>
      </c>
    </row>
    <row r="268">
      <c r="G268" s="11">
        <f>IFERROR(VLOOKUP(F268,BattleFishData!$A:$B,2,FALSE),"")</f>
        <v/>
      </c>
    </row>
    <row r="269">
      <c r="G269" s="11">
        <f>IFERROR(VLOOKUP(F269,BattleFishData!$A:$B,2,FALSE),"")</f>
        <v/>
      </c>
    </row>
    <row r="270">
      <c r="G270" s="11">
        <f>IFERROR(VLOOKUP(F270,BattleFishData!$A:$B,2,FALSE),"")</f>
        <v/>
      </c>
    </row>
    <row r="271">
      <c r="G271" s="11">
        <f>IFERROR(VLOOKUP(F271,BattleFishData!$A:$B,2,FALSE),"")</f>
        <v/>
      </c>
    </row>
    <row r="272">
      <c r="G272" s="11">
        <f>IFERROR(VLOOKUP(F272,BattleFishData!$A:$B,2,FALSE),"")</f>
        <v/>
      </c>
    </row>
    <row r="273">
      <c r="G273" s="11">
        <f>IFERROR(VLOOKUP(F273,BattleFishData!$A:$B,2,FALSE),"")</f>
        <v/>
      </c>
    </row>
    <row r="274">
      <c r="G274" s="11">
        <f>IFERROR(VLOOKUP(F274,BattleFishData!$A:$B,2,FALSE),"")</f>
        <v/>
      </c>
    </row>
    <row r="275">
      <c r="G275" s="11">
        <f>IFERROR(VLOOKUP(F275,BattleFishData!$A:$B,2,FALSE),"")</f>
        <v/>
      </c>
    </row>
    <row r="276">
      <c r="G276" s="11">
        <f>IFERROR(VLOOKUP(F276,BattleFishData!$A:$B,2,FALSE),"")</f>
        <v/>
      </c>
    </row>
    <row r="277">
      <c r="G277" s="11">
        <f>IFERROR(VLOOKUP(F277,BattleFishData!$A:$B,2,FALSE),"")</f>
        <v/>
      </c>
    </row>
    <row r="278">
      <c r="G278" s="11">
        <f>IFERROR(VLOOKUP(F278,BattleFishData!$A:$B,2,FALSE),"")</f>
        <v/>
      </c>
    </row>
    <row r="279">
      <c r="G279" s="11">
        <f>IFERROR(VLOOKUP(F279,BattleFishData!$A:$B,2,FALSE),"")</f>
        <v/>
      </c>
    </row>
    <row r="280">
      <c r="G280" s="11">
        <f>IFERROR(VLOOKUP(F280,BattleFishData!$A:$B,2,FALSE),"")</f>
        <v/>
      </c>
    </row>
    <row r="281">
      <c r="G281" s="11">
        <f>IFERROR(VLOOKUP(F281,BattleFishData!$A:$B,2,FALSE),"")</f>
        <v/>
      </c>
    </row>
    <row r="282">
      <c r="G282" s="11">
        <f>IFERROR(VLOOKUP(F282,BattleFishData!$A:$B,2,FALSE),"")</f>
        <v/>
      </c>
    </row>
    <row r="283">
      <c r="G283" s="11">
        <f>IFERROR(VLOOKUP(F283,BattleFishData!$A:$B,2,FALSE),"")</f>
        <v/>
      </c>
    </row>
    <row r="284">
      <c r="G284" s="11">
        <f>IFERROR(VLOOKUP(F284,BattleFishData!$A:$B,2,FALSE),"")</f>
        <v/>
      </c>
    </row>
    <row r="285">
      <c r="G285" s="11">
        <f>IFERROR(VLOOKUP(F285,BattleFishData!$A:$B,2,FALSE),"")</f>
        <v/>
      </c>
    </row>
    <row r="286">
      <c r="G286" s="11">
        <f>IFERROR(VLOOKUP(F286,BattleFishData!$A:$B,2,FALSE),"")</f>
        <v/>
      </c>
    </row>
    <row r="287">
      <c r="G287" s="11">
        <f>IFERROR(VLOOKUP(F287,BattleFishData!$A:$B,2,FALSE),"")</f>
        <v/>
      </c>
    </row>
    <row r="288">
      <c r="G288" s="11">
        <f>IFERROR(VLOOKUP(F288,BattleFishData!$A:$B,2,FALSE),"")</f>
        <v/>
      </c>
    </row>
    <row r="289">
      <c r="G289" s="11">
        <f>IFERROR(VLOOKUP(F289,BattleFishData!$A:$B,2,FALSE),"")</f>
        <v/>
      </c>
    </row>
    <row r="290">
      <c r="G290" s="11">
        <f>IFERROR(VLOOKUP(F290,BattleFishData!$A:$B,2,FALSE),"")</f>
        <v/>
      </c>
    </row>
    <row r="291">
      <c r="G291" s="11">
        <f>IFERROR(VLOOKUP(F291,BattleFishData!$A:$B,2,FALSE),"")</f>
        <v/>
      </c>
    </row>
    <row r="292">
      <c r="G292" s="11">
        <f>IFERROR(VLOOKUP(F292,BattleFishData!$A:$B,2,FALSE),"")</f>
        <v/>
      </c>
    </row>
    <row r="293">
      <c r="G293" s="11">
        <f>IFERROR(VLOOKUP(F293,BattleFishData!$A:$B,2,FALSE),"")</f>
        <v/>
      </c>
    </row>
    <row r="294">
      <c r="G294" s="11">
        <f>IFERROR(VLOOKUP(F294,BattleFishData!$A:$B,2,FALSE),"")</f>
        <v/>
      </c>
    </row>
    <row r="295">
      <c r="G295" s="11">
        <f>IFERROR(VLOOKUP(F295,BattleFishData!$A:$B,2,FALSE),"")</f>
        <v/>
      </c>
    </row>
    <row r="296">
      <c r="G296" s="11">
        <f>IFERROR(VLOOKUP(F296,BattleFishData!$A:$B,2,FALSE),"")</f>
        <v/>
      </c>
    </row>
    <row r="297">
      <c r="G297" s="11">
        <f>IFERROR(VLOOKUP(F297,BattleFishData!$A:$B,2,FALSE),"")</f>
        <v/>
      </c>
    </row>
    <row r="298">
      <c r="G298" s="11">
        <f>IFERROR(VLOOKUP(F298,BattleFishData!$A:$B,2,FALSE),"")</f>
        <v/>
      </c>
    </row>
    <row r="299">
      <c r="G299" s="11">
        <f>IFERROR(VLOOKUP(F299,BattleFishData!$A:$B,2,FALSE),"")</f>
        <v/>
      </c>
    </row>
    <row r="300">
      <c r="G300" s="11">
        <f>IFERROR(VLOOKUP(F300,BattleFishData!$A:$B,2,FALSE),"")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4B183"/>
    <outlinePr summaryBelow="1" summaryRight="1"/>
    <pageSetUpPr/>
  </sheetPr>
  <dimension ref="A1:G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36" customWidth="1" min="5" max="5"/>
    <col width="30" customWidth="1" min="7" max="7"/>
  </cols>
  <sheetData>
    <row r="1">
      <c r="A1" s="6" t="inlineStr">
        <is>
          <t>row_key</t>
        </is>
      </c>
      <c r="B1" s="6" t="inlineStr">
        <is>
          <t>stage_id</t>
        </is>
      </c>
      <c r="C1" s="9" t="inlineStr">
        <is>
          <t>#stage_name</t>
        </is>
      </c>
      <c r="D1" s="6" t="inlineStr">
        <is>
          <t>m_tier</t>
        </is>
      </c>
      <c r="E1" s="6" t="inlineStr">
        <is>
          <t>m_requiredLicense</t>
        </is>
      </c>
      <c r="F1" s="6" t="inlineStr">
        <is>
          <t>entries</t>
        </is>
      </c>
      <c r="G1" s="9" t="inlineStr">
        <is>
          <t>#entries_name</t>
        </is>
      </c>
    </row>
    <row r="2" ht="42" customHeight="1">
      <c r="A2" s="7" t="inlineStr">
        <is>
          <t>고유 행 키 (예: 부모id_순번). 변환기는 값 자체를 무시 — 중복만 금지</t>
        </is>
      </c>
      <c r="B2" s="7" t="inlineStr">
        <is>
          <t>대상 지역 (StageData m_id)</t>
        </is>
      </c>
      <c r="C2" s="10" t="inlineStr">
        <is>
          <t>표시 전용(#) — JSON 변환 제외. 자동(VLOOKUP), 입력 금지</t>
        </is>
      </c>
      <c r="D2" s="7" t="inlineStr">
        <is>
          <t>풀 티어</t>
        </is>
      </c>
      <c r="E2" s="7" t="inlineStr">
        <is>
          <t>풀 개방 라이센스</t>
        </is>
      </c>
      <c r="F2" s="7" t="inlineStr">
        <is>
          <t>등장 물고기 — 압축: battleFishId:weight;...</t>
        </is>
      </c>
      <c r="G2" s="10" t="inlineStr">
        <is>
          <t>표시 전용(#) — 압축 문자열 이름 해석(최대 5항목). 자동, 입력 금지</t>
        </is>
      </c>
    </row>
    <row r="3">
      <c r="A3" s="8" t="inlineStr">
        <is>
          <t>600001_1</t>
        </is>
      </c>
      <c r="B3" s="8" t="n">
        <v>600001</v>
      </c>
      <c r="C3" s="11">
        <f>IFERROR(VLOOKUP(B3,StageData!$A:$B,2,FALSE),"")</f>
        <v/>
      </c>
      <c r="D3" s="8" t="n">
        <v>1</v>
      </c>
      <c r="E3" s="8" t="n">
        <v>1</v>
      </c>
      <c r="F3" s="8" t="inlineStr">
        <is>
          <t>500001:70;500002:5</t>
        </is>
      </c>
      <c r="G3" s="11">
        <f>IF(F3="","",TEXTJOIN("; ",TRUE,IF(TRIM(MID(SUBSTITUTE(F3,";",REPT(" ",99)),1,99))="","",IFERROR(VLOOKUP(--LEFT(TRIM(MID(SUBSTITUTE(F3,";",REPT(" ",99)),1,99)),FIND(":",TRIM(MID(SUBSTITUTE(F3,";",REPT(" ",99)),1,99)))-1),_Lookup!$A:$B,2,FALSE),"?")&amp;"×"&amp;MID(TRIM(MID(SUBSTITUTE(F3,";",REPT(" ",99)),1,99)),FIND(":",TRIM(MID(SUBSTITUTE(F3,";",REPT(" ",99)),1,99)))+1,99)),IF(TRIM(MID(SUBSTITUTE(F3,";",REPT(" ",99)),100,99))="","",IFERROR(VLOOKUP(--LEFT(TRIM(MID(SUBSTITUTE(F3,";",REPT(" ",99)),100,99)),FIND(":",TRIM(MID(SUBSTITUTE(F3,";",REPT(" ",99)),100,99)))-1),_Lookup!$A:$B,2,FALSE),"?")&amp;"×"&amp;MID(TRIM(MID(SUBSTITUTE(F3,";",REPT(" ",99)),100,99)),FIND(":",TRIM(MID(SUBSTITUTE(F3,";",REPT(" ",99)),100,99)))+1,99)),IF(TRIM(MID(SUBSTITUTE(F3,";",REPT(" ",99)),199,99))="","",IFERROR(VLOOKUP(--LEFT(TRIM(MID(SUBSTITUTE(F3,";",REPT(" ",99)),199,99)),FIND(":",TRIM(MID(SUBSTITUTE(F3,";",REPT(" ",99)),199,99)))-1),_Lookup!$A:$B,2,FALSE),"?")&amp;"×"&amp;MID(TRIM(MID(SUBSTITUTE(F3,";",REPT(" ",99)),199,99)),FIND(":",TRIM(MID(SUBSTITUTE(F3,";",REPT(" ",99)),199,99)))+1,99)),IF(TRIM(MID(SUBSTITUTE(F3,";",REPT(" ",99)),298,99))="","",IFERROR(VLOOKUP(--LEFT(TRIM(MID(SUBSTITUTE(F3,";",REPT(" ",99)),298,99)),FIND(":",TRIM(MID(SUBSTITUTE(F3,";",REPT(" ",99)),298,99)))-1),_Lookup!$A:$B,2,FALSE),"?")&amp;"×"&amp;MID(TRIM(MID(SUBSTITUTE(F3,";",REPT(" ",99)),298,99)),FIND(":",TRIM(MID(SUBSTITUTE(F3,";",REPT(" ",99)),298,99)))+1,99)),IF(TRIM(MID(SUBSTITUTE(F3,";",REPT(" ",99)),397,99))="","",IFERROR(VLOOKUP(--LEFT(TRIM(MID(SUBSTITUTE(F3,";",REPT(" ",99)),397,99)),FIND(":",TRIM(MID(SUBSTITUTE(F3,";",REPT(" ",99)),397,99)))-1),_Lookup!$A:$B,2,FALSE),"?")&amp;"×"&amp;MID(TRIM(MID(SUBSTITUTE(F3,";",REPT(" ",99)),397,99)),FIND(":",TRIM(MID(SUBSTITUTE(F3,";",REPT(" ",99)),397,99)))+1,99))))</f>
        <v/>
      </c>
    </row>
    <row r="4">
      <c r="A4" s="8" t="inlineStr">
        <is>
          <t>600001_2</t>
        </is>
      </c>
      <c r="B4" s="8" t="n">
        <v>600001</v>
      </c>
      <c r="C4" s="11">
        <f>IFERROR(VLOOKUP(B4,StageData!$A:$B,2,FALSE),"")</f>
        <v/>
      </c>
      <c r="D4" s="8" t="n">
        <v>4</v>
      </c>
      <c r="E4" s="8" t="n">
        <v>2</v>
      </c>
      <c r="F4" s="8" t="inlineStr">
        <is>
          <t>500001:40</t>
        </is>
      </c>
      <c r="G4" s="11">
        <f>IF(F4="","",TEXTJOIN("; ",TRUE,IF(TRIM(MID(SUBSTITUTE(F4,";",REPT(" ",99)),1,99))="","",IFERROR(VLOOKUP(--LEFT(TRIM(MID(SUBSTITUTE(F4,";",REPT(" ",99)),1,99)),FIND(":",TRIM(MID(SUBSTITUTE(F4,";",REPT(" ",99)),1,99)))-1),_Lookup!$A:$B,2,FALSE),"?")&amp;"×"&amp;MID(TRIM(MID(SUBSTITUTE(F4,";",REPT(" ",99)),1,99)),FIND(":",TRIM(MID(SUBSTITUTE(F4,";",REPT(" ",99)),1,99)))+1,99)),IF(TRIM(MID(SUBSTITUTE(F4,";",REPT(" ",99)),100,99))="","",IFERROR(VLOOKUP(--LEFT(TRIM(MID(SUBSTITUTE(F4,";",REPT(" ",99)),100,99)),FIND(":",TRIM(MID(SUBSTITUTE(F4,";",REPT(" ",99)),100,99)))-1),_Lookup!$A:$B,2,FALSE),"?")&amp;"×"&amp;MID(TRIM(MID(SUBSTITUTE(F4,";",REPT(" ",99)),100,99)),FIND(":",TRIM(MID(SUBSTITUTE(F4,";",REPT(" ",99)),100,99)))+1,99)),IF(TRIM(MID(SUBSTITUTE(F4,";",REPT(" ",99)),199,99))="","",IFERROR(VLOOKUP(--LEFT(TRIM(MID(SUBSTITUTE(F4,";",REPT(" ",99)),199,99)),FIND(":",TRIM(MID(SUBSTITUTE(F4,";",REPT(" ",99)),199,99)))-1),_Lookup!$A:$B,2,FALSE),"?")&amp;"×"&amp;MID(TRIM(MID(SUBSTITUTE(F4,";",REPT(" ",99)),199,99)),FIND(":",TRIM(MID(SUBSTITUTE(F4,";",REPT(" ",99)),199,99)))+1,99)),IF(TRIM(MID(SUBSTITUTE(F4,";",REPT(" ",99)),298,99))="","",IFERROR(VLOOKUP(--LEFT(TRIM(MID(SUBSTITUTE(F4,";",REPT(" ",99)),298,99)),FIND(":",TRIM(MID(SUBSTITUTE(F4,";",REPT(" ",99)),298,99)))-1),_Lookup!$A:$B,2,FALSE),"?")&amp;"×"&amp;MID(TRIM(MID(SUBSTITUTE(F4,";",REPT(" ",99)),298,99)),FIND(":",TRIM(MID(SUBSTITUTE(F4,";",REPT(" ",99)),298,99)))+1,99)),IF(TRIM(MID(SUBSTITUTE(F4,";",REPT(" ",99)),397,99))="","",IFERROR(VLOOKUP(--LEFT(TRIM(MID(SUBSTITUTE(F4,";",REPT(" ",99)),397,99)),FIND(":",TRIM(MID(SUBSTITUTE(F4,";",REPT(" ",99)),397,99)))-1),_Lookup!$A:$B,2,FALSE),"?")&amp;"×"&amp;MID(TRIM(MID(SUBSTITUTE(F4,";",REPT(" ",99)),397,99)),FIND(":",TRIM(MID(SUBSTITUTE(F4,";",REPT(" ",99)),397,99)))+1,99))))</f>
        <v/>
      </c>
    </row>
    <row r="5">
      <c r="A5" s="8" t="inlineStr">
        <is>
          <t>600002_1</t>
        </is>
      </c>
      <c r="B5" s="8" t="n">
        <v>600002</v>
      </c>
      <c r="C5" s="11">
        <f>IFERROR(VLOOKUP(B5,StageData!$A:$B,2,FALSE),"")</f>
        <v/>
      </c>
      <c r="D5" s="8" t="n">
        <v>2</v>
      </c>
      <c r="E5" s="8" t="n">
        <v>2</v>
      </c>
      <c r="F5" s="8" t="inlineStr">
        <is>
          <t>500001:60</t>
        </is>
      </c>
      <c r="G5" s="11">
        <f>IF(F5="","",TEXTJOIN("; ",TRUE,IF(TRIM(MID(SUBSTITUTE(F5,";",REPT(" ",99)),1,99))="","",IFERROR(VLOOKUP(--LEFT(TRIM(MID(SUBSTITUTE(F5,";",REPT(" ",99)),1,99)),FIND(":",TRIM(MID(SUBSTITUTE(F5,";",REPT(" ",99)),1,99)))-1),_Lookup!$A:$B,2,FALSE),"?")&amp;"×"&amp;MID(TRIM(MID(SUBSTITUTE(F5,";",REPT(" ",99)),1,99)),FIND(":",TRIM(MID(SUBSTITUTE(F5,";",REPT(" ",99)),1,99)))+1,99)),IF(TRIM(MID(SUBSTITUTE(F5,";",REPT(" ",99)),100,99))="","",IFERROR(VLOOKUP(--LEFT(TRIM(MID(SUBSTITUTE(F5,";",REPT(" ",99)),100,99)),FIND(":",TRIM(MID(SUBSTITUTE(F5,";",REPT(" ",99)),100,99)))-1),_Lookup!$A:$B,2,FALSE),"?")&amp;"×"&amp;MID(TRIM(MID(SUBSTITUTE(F5,";",REPT(" ",99)),100,99)),FIND(":",TRIM(MID(SUBSTITUTE(F5,";",REPT(" ",99)),100,99)))+1,99)),IF(TRIM(MID(SUBSTITUTE(F5,";",REPT(" ",99)),199,99))="","",IFERROR(VLOOKUP(--LEFT(TRIM(MID(SUBSTITUTE(F5,";",REPT(" ",99)),199,99)),FIND(":",TRIM(MID(SUBSTITUTE(F5,";",REPT(" ",99)),199,99)))-1),_Lookup!$A:$B,2,FALSE),"?")&amp;"×"&amp;MID(TRIM(MID(SUBSTITUTE(F5,";",REPT(" ",99)),199,99)),FIND(":",TRIM(MID(SUBSTITUTE(F5,";",REPT(" ",99)),199,99)))+1,99)),IF(TRIM(MID(SUBSTITUTE(F5,";",REPT(" ",99)),298,99))="","",IFERROR(VLOOKUP(--LEFT(TRIM(MID(SUBSTITUTE(F5,";",REPT(" ",99)),298,99)),FIND(":",TRIM(MID(SUBSTITUTE(F5,";",REPT(" ",99)),298,99)))-1),_Lookup!$A:$B,2,FALSE),"?")&amp;"×"&amp;MID(TRIM(MID(SUBSTITUTE(F5,";",REPT(" ",99)),298,99)),FIND(":",TRIM(MID(SUBSTITUTE(F5,";",REPT(" ",99)),298,99)))+1,99)),IF(TRIM(MID(SUBSTITUTE(F5,";",REPT(" ",99)),397,99))="","",IFERROR(VLOOKUP(--LEFT(TRIM(MID(SUBSTITUTE(F5,";",REPT(" ",99)),397,99)),FIND(":",TRIM(MID(SUBSTITUTE(F5,";",REPT(" ",99)),397,99)))-1),_Lookup!$A:$B,2,FALSE),"?")&amp;"×"&amp;MID(TRIM(MID(SUBSTITUTE(F5,";",REPT(" ",99)),397,99)),FIND(":",TRIM(MID(SUBSTITUTE(F5,";",REPT(" ",99)),397,99)))+1,99))))</f>
        <v/>
      </c>
    </row>
    <row r="6">
      <c r="C6" s="11">
        <f>IFERROR(VLOOKUP(B6,StageData!$A:$B,2,FALSE),"")</f>
        <v/>
      </c>
      <c r="G6" s="11">
        <f>IF(F6="","",TEXTJOIN("; ",TRUE,IF(TRIM(MID(SUBSTITUTE(F6,";",REPT(" ",99)),1,99))="","",IFERROR(VLOOKUP(--LEFT(TRIM(MID(SUBSTITUTE(F6,";",REPT(" ",99)),1,99)),FIND(":",TRIM(MID(SUBSTITUTE(F6,";",REPT(" ",99)),1,99)))-1),_Lookup!$A:$B,2,FALSE),"?")&amp;"×"&amp;MID(TRIM(MID(SUBSTITUTE(F6,";",REPT(" ",99)),1,99)),FIND(":",TRIM(MID(SUBSTITUTE(F6,";",REPT(" ",99)),1,99)))+1,99)),IF(TRIM(MID(SUBSTITUTE(F6,";",REPT(" ",99)),100,99))="","",IFERROR(VLOOKUP(--LEFT(TRIM(MID(SUBSTITUTE(F6,";",REPT(" ",99)),100,99)),FIND(":",TRIM(MID(SUBSTITUTE(F6,";",REPT(" ",99)),100,99)))-1),_Lookup!$A:$B,2,FALSE),"?")&amp;"×"&amp;MID(TRIM(MID(SUBSTITUTE(F6,";",REPT(" ",99)),100,99)),FIND(":",TRIM(MID(SUBSTITUTE(F6,";",REPT(" ",99)),100,99)))+1,99)),IF(TRIM(MID(SUBSTITUTE(F6,";",REPT(" ",99)),199,99))="","",IFERROR(VLOOKUP(--LEFT(TRIM(MID(SUBSTITUTE(F6,";",REPT(" ",99)),199,99)),FIND(":",TRIM(MID(SUBSTITUTE(F6,";",REPT(" ",99)),199,99)))-1),_Lookup!$A:$B,2,FALSE),"?")&amp;"×"&amp;MID(TRIM(MID(SUBSTITUTE(F6,";",REPT(" ",99)),199,99)),FIND(":",TRIM(MID(SUBSTITUTE(F6,";",REPT(" ",99)),199,99)))+1,99)),IF(TRIM(MID(SUBSTITUTE(F6,";",REPT(" ",99)),298,99))="","",IFERROR(VLOOKUP(--LEFT(TRIM(MID(SUBSTITUTE(F6,";",REPT(" ",99)),298,99)),FIND(":",TRIM(MID(SUBSTITUTE(F6,";",REPT(" ",99)),298,99)))-1),_Lookup!$A:$B,2,FALSE),"?")&amp;"×"&amp;MID(TRIM(MID(SUBSTITUTE(F6,";",REPT(" ",99)),298,99)),FIND(":",TRIM(MID(SUBSTITUTE(F6,";",REPT(" ",99)),298,99)))+1,99)),IF(TRIM(MID(SUBSTITUTE(F6,";",REPT(" ",99)),397,99))="","",IFERROR(VLOOKUP(--LEFT(TRIM(MID(SUBSTITUTE(F6,";",REPT(" ",99)),397,99)),FIND(":",TRIM(MID(SUBSTITUTE(F6,";",REPT(" ",99)),397,99)))-1),_Lookup!$A:$B,2,FALSE),"?")&amp;"×"&amp;MID(TRIM(MID(SUBSTITUTE(F6,";",REPT(" ",99)),397,99)),FIND(":",TRIM(MID(SUBSTITUTE(F6,";",REPT(" ",99)),397,99)))+1,99))))</f>
        <v/>
      </c>
    </row>
    <row r="7">
      <c r="C7" s="11">
        <f>IFERROR(VLOOKUP(B7,StageData!$A:$B,2,FALSE),"")</f>
        <v/>
      </c>
      <c r="G7" s="11">
        <f>IF(F7="","",TEXTJOIN("; ",TRUE,IF(TRIM(MID(SUBSTITUTE(F7,";",REPT(" ",99)),1,99))="","",IFERROR(VLOOKUP(--LEFT(TRIM(MID(SUBSTITUTE(F7,";",REPT(" ",99)),1,99)),FIND(":",TRIM(MID(SUBSTITUTE(F7,";",REPT(" ",99)),1,99)))-1),_Lookup!$A:$B,2,FALSE),"?")&amp;"×"&amp;MID(TRIM(MID(SUBSTITUTE(F7,";",REPT(" ",99)),1,99)),FIND(":",TRIM(MID(SUBSTITUTE(F7,";",REPT(" ",99)),1,99)))+1,99)),IF(TRIM(MID(SUBSTITUTE(F7,";",REPT(" ",99)),100,99))="","",IFERROR(VLOOKUP(--LEFT(TRIM(MID(SUBSTITUTE(F7,";",REPT(" ",99)),100,99)),FIND(":",TRIM(MID(SUBSTITUTE(F7,";",REPT(" ",99)),100,99)))-1),_Lookup!$A:$B,2,FALSE),"?")&amp;"×"&amp;MID(TRIM(MID(SUBSTITUTE(F7,";",REPT(" ",99)),100,99)),FIND(":",TRIM(MID(SUBSTITUTE(F7,";",REPT(" ",99)),100,99)))+1,99)),IF(TRIM(MID(SUBSTITUTE(F7,";",REPT(" ",99)),199,99))="","",IFERROR(VLOOKUP(--LEFT(TRIM(MID(SUBSTITUTE(F7,";",REPT(" ",99)),199,99)),FIND(":",TRIM(MID(SUBSTITUTE(F7,";",REPT(" ",99)),199,99)))-1),_Lookup!$A:$B,2,FALSE),"?")&amp;"×"&amp;MID(TRIM(MID(SUBSTITUTE(F7,";",REPT(" ",99)),199,99)),FIND(":",TRIM(MID(SUBSTITUTE(F7,";",REPT(" ",99)),199,99)))+1,99)),IF(TRIM(MID(SUBSTITUTE(F7,";",REPT(" ",99)),298,99))="","",IFERROR(VLOOKUP(--LEFT(TRIM(MID(SUBSTITUTE(F7,";",REPT(" ",99)),298,99)),FIND(":",TRIM(MID(SUBSTITUTE(F7,";",REPT(" ",99)),298,99)))-1),_Lookup!$A:$B,2,FALSE),"?")&amp;"×"&amp;MID(TRIM(MID(SUBSTITUTE(F7,";",REPT(" ",99)),298,99)),FIND(":",TRIM(MID(SUBSTITUTE(F7,";",REPT(" ",99)),298,99)))+1,99)),IF(TRIM(MID(SUBSTITUTE(F7,";",REPT(" ",99)),397,99))="","",IFERROR(VLOOKUP(--LEFT(TRIM(MID(SUBSTITUTE(F7,";",REPT(" ",99)),397,99)),FIND(":",TRIM(MID(SUBSTITUTE(F7,";",REPT(" ",99)),397,99)))-1),_Lookup!$A:$B,2,FALSE),"?")&amp;"×"&amp;MID(TRIM(MID(SUBSTITUTE(F7,";",REPT(" ",99)),397,99)),FIND(":",TRIM(MID(SUBSTITUTE(F7,";",REPT(" ",99)),397,99)))+1,99))))</f>
        <v/>
      </c>
    </row>
    <row r="8">
      <c r="C8" s="11">
        <f>IFERROR(VLOOKUP(B8,StageData!$A:$B,2,FALSE),"")</f>
        <v/>
      </c>
      <c r="G8" s="11">
        <f>IF(F8="","",TEXTJOIN("; ",TRUE,IF(TRIM(MID(SUBSTITUTE(F8,";",REPT(" ",99)),1,99))="","",IFERROR(VLOOKUP(--LEFT(TRIM(MID(SUBSTITUTE(F8,";",REPT(" ",99)),1,99)),FIND(":",TRIM(MID(SUBSTITUTE(F8,";",REPT(" ",99)),1,99)))-1),_Lookup!$A:$B,2,FALSE),"?")&amp;"×"&amp;MID(TRIM(MID(SUBSTITUTE(F8,";",REPT(" ",99)),1,99)),FIND(":",TRIM(MID(SUBSTITUTE(F8,";",REPT(" ",99)),1,99)))+1,99)),IF(TRIM(MID(SUBSTITUTE(F8,";",REPT(" ",99)),100,99))="","",IFERROR(VLOOKUP(--LEFT(TRIM(MID(SUBSTITUTE(F8,";",REPT(" ",99)),100,99)),FIND(":",TRIM(MID(SUBSTITUTE(F8,";",REPT(" ",99)),100,99)))-1),_Lookup!$A:$B,2,FALSE),"?")&amp;"×"&amp;MID(TRIM(MID(SUBSTITUTE(F8,";",REPT(" ",99)),100,99)),FIND(":",TRIM(MID(SUBSTITUTE(F8,";",REPT(" ",99)),100,99)))+1,99)),IF(TRIM(MID(SUBSTITUTE(F8,";",REPT(" ",99)),199,99))="","",IFERROR(VLOOKUP(--LEFT(TRIM(MID(SUBSTITUTE(F8,";",REPT(" ",99)),199,99)),FIND(":",TRIM(MID(SUBSTITUTE(F8,";",REPT(" ",99)),199,99)))-1),_Lookup!$A:$B,2,FALSE),"?")&amp;"×"&amp;MID(TRIM(MID(SUBSTITUTE(F8,";",REPT(" ",99)),199,99)),FIND(":",TRIM(MID(SUBSTITUTE(F8,";",REPT(" ",99)),199,99)))+1,99)),IF(TRIM(MID(SUBSTITUTE(F8,";",REPT(" ",99)),298,99))="","",IFERROR(VLOOKUP(--LEFT(TRIM(MID(SUBSTITUTE(F8,";",REPT(" ",99)),298,99)),FIND(":",TRIM(MID(SUBSTITUTE(F8,";",REPT(" ",99)),298,99)))-1),_Lookup!$A:$B,2,FALSE),"?")&amp;"×"&amp;MID(TRIM(MID(SUBSTITUTE(F8,";",REPT(" ",99)),298,99)),FIND(":",TRIM(MID(SUBSTITUTE(F8,";",REPT(" ",99)),298,99)))+1,99)),IF(TRIM(MID(SUBSTITUTE(F8,";",REPT(" ",99)),397,99))="","",IFERROR(VLOOKUP(--LEFT(TRIM(MID(SUBSTITUTE(F8,";",REPT(" ",99)),397,99)),FIND(":",TRIM(MID(SUBSTITUTE(F8,";",REPT(" ",99)),397,99)))-1),_Lookup!$A:$B,2,FALSE),"?")&amp;"×"&amp;MID(TRIM(MID(SUBSTITUTE(F8,";",REPT(" ",99)),397,99)),FIND(":",TRIM(MID(SUBSTITUTE(F8,";",REPT(" ",99)),397,99)))+1,99))))</f>
        <v/>
      </c>
    </row>
    <row r="9">
      <c r="C9" s="11">
        <f>IFERROR(VLOOKUP(B9,StageData!$A:$B,2,FALSE),"")</f>
        <v/>
      </c>
      <c r="G9" s="11">
        <f>IF(F9="","",TEXTJOIN("; ",TRUE,IF(TRIM(MID(SUBSTITUTE(F9,";",REPT(" ",99)),1,99))="","",IFERROR(VLOOKUP(--LEFT(TRIM(MID(SUBSTITUTE(F9,";",REPT(" ",99)),1,99)),FIND(":",TRIM(MID(SUBSTITUTE(F9,";",REPT(" ",99)),1,99)))-1),_Lookup!$A:$B,2,FALSE),"?")&amp;"×"&amp;MID(TRIM(MID(SUBSTITUTE(F9,";",REPT(" ",99)),1,99)),FIND(":",TRIM(MID(SUBSTITUTE(F9,";",REPT(" ",99)),1,99)))+1,99)),IF(TRIM(MID(SUBSTITUTE(F9,";",REPT(" ",99)),100,99))="","",IFERROR(VLOOKUP(--LEFT(TRIM(MID(SUBSTITUTE(F9,";",REPT(" ",99)),100,99)),FIND(":",TRIM(MID(SUBSTITUTE(F9,";",REPT(" ",99)),100,99)))-1),_Lookup!$A:$B,2,FALSE),"?")&amp;"×"&amp;MID(TRIM(MID(SUBSTITUTE(F9,";",REPT(" ",99)),100,99)),FIND(":",TRIM(MID(SUBSTITUTE(F9,";",REPT(" ",99)),100,99)))+1,99)),IF(TRIM(MID(SUBSTITUTE(F9,";",REPT(" ",99)),199,99))="","",IFERROR(VLOOKUP(--LEFT(TRIM(MID(SUBSTITUTE(F9,";",REPT(" ",99)),199,99)),FIND(":",TRIM(MID(SUBSTITUTE(F9,";",REPT(" ",99)),199,99)))-1),_Lookup!$A:$B,2,FALSE),"?")&amp;"×"&amp;MID(TRIM(MID(SUBSTITUTE(F9,";",REPT(" ",99)),199,99)),FIND(":",TRIM(MID(SUBSTITUTE(F9,";",REPT(" ",99)),199,99)))+1,99)),IF(TRIM(MID(SUBSTITUTE(F9,";",REPT(" ",99)),298,99))="","",IFERROR(VLOOKUP(--LEFT(TRIM(MID(SUBSTITUTE(F9,";",REPT(" ",99)),298,99)),FIND(":",TRIM(MID(SUBSTITUTE(F9,";",REPT(" ",99)),298,99)))-1),_Lookup!$A:$B,2,FALSE),"?")&amp;"×"&amp;MID(TRIM(MID(SUBSTITUTE(F9,";",REPT(" ",99)),298,99)),FIND(":",TRIM(MID(SUBSTITUTE(F9,";",REPT(" ",99)),298,99)))+1,99)),IF(TRIM(MID(SUBSTITUTE(F9,";",REPT(" ",99)),397,99))="","",IFERROR(VLOOKUP(--LEFT(TRIM(MID(SUBSTITUTE(F9,";",REPT(" ",99)),397,99)),FIND(":",TRIM(MID(SUBSTITUTE(F9,";",REPT(" ",99)),397,99)))-1),_Lookup!$A:$B,2,FALSE),"?")&amp;"×"&amp;MID(TRIM(MID(SUBSTITUTE(F9,";",REPT(" ",99)),397,99)),FIND(":",TRIM(MID(SUBSTITUTE(F9,";",REPT(" ",99)),397,99)))+1,99))))</f>
        <v/>
      </c>
    </row>
    <row r="10">
      <c r="C10" s="11">
        <f>IFERROR(VLOOKUP(B10,StageData!$A:$B,2,FALSE),"")</f>
        <v/>
      </c>
      <c r="G10" s="11">
        <f>IF(F10="","",TEXTJOIN("; ",TRUE,IF(TRIM(MID(SUBSTITUTE(F10,";",REPT(" ",99)),1,99))="","",IFERROR(VLOOKUP(--LEFT(TRIM(MID(SUBSTITUTE(F10,";",REPT(" ",99)),1,99)),FIND(":",TRIM(MID(SUBSTITUTE(F10,";",REPT(" ",99)),1,99)))-1),_Lookup!$A:$B,2,FALSE),"?")&amp;"×"&amp;MID(TRIM(MID(SUBSTITUTE(F10,";",REPT(" ",99)),1,99)),FIND(":",TRIM(MID(SUBSTITUTE(F10,";",REPT(" ",99)),1,99)))+1,99)),IF(TRIM(MID(SUBSTITUTE(F10,";",REPT(" ",99)),100,99))="","",IFERROR(VLOOKUP(--LEFT(TRIM(MID(SUBSTITUTE(F10,";",REPT(" ",99)),100,99)),FIND(":",TRIM(MID(SUBSTITUTE(F10,";",REPT(" ",99)),100,99)))-1),_Lookup!$A:$B,2,FALSE),"?")&amp;"×"&amp;MID(TRIM(MID(SUBSTITUTE(F10,";",REPT(" ",99)),100,99)),FIND(":",TRIM(MID(SUBSTITUTE(F10,";",REPT(" ",99)),100,99)))+1,99)),IF(TRIM(MID(SUBSTITUTE(F10,";",REPT(" ",99)),199,99))="","",IFERROR(VLOOKUP(--LEFT(TRIM(MID(SUBSTITUTE(F10,";",REPT(" ",99)),199,99)),FIND(":",TRIM(MID(SUBSTITUTE(F10,";",REPT(" ",99)),199,99)))-1),_Lookup!$A:$B,2,FALSE),"?")&amp;"×"&amp;MID(TRIM(MID(SUBSTITUTE(F10,";",REPT(" ",99)),199,99)),FIND(":",TRIM(MID(SUBSTITUTE(F10,";",REPT(" ",99)),199,99)))+1,99)),IF(TRIM(MID(SUBSTITUTE(F10,";",REPT(" ",99)),298,99))="","",IFERROR(VLOOKUP(--LEFT(TRIM(MID(SUBSTITUTE(F10,";",REPT(" ",99)),298,99)),FIND(":",TRIM(MID(SUBSTITUTE(F10,";",REPT(" ",99)),298,99)))-1),_Lookup!$A:$B,2,FALSE),"?")&amp;"×"&amp;MID(TRIM(MID(SUBSTITUTE(F10,";",REPT(" ",99)),298,99)),FIND(":",TRIM(MID(SUBSTITUTE(F10,";",REPT(" ",99)),298,99)))+1,99)),IF(TRIM(MID(SUBSTITUTE(F10,";",REPT(" ",99)),397,99))="","",IFERROR(VLOOKUP(--LEFT(TRIM(MID(SUBSTITUTE(F10,";",REPT(" ",99)),397,99)),FIND(":",TRIM(MID(SUBSTITUTE(F10,";",REPT(" ",99)),397,99)))-1),_Lookup!$A:$B,2,FALSE),"?")&amp;"×"&amp;MID(TRIM(MID(SUBSTITUTE(F10,";",REPT(" ",99)),397,99)),FIND(":",TRIM(MID(SUBSTITUTE(F10,";",REPT(" ",99)),397,99)))+1,99))))</f>
        <v/>
      </c>
    </row>
    <row r="11">
      <c r="C11" s="11">
        <f>IFERROR(VLOOKUP(B11,StageData!$A:$B,2,FALSE),"")</f>
        <v/>
      </c>
      <c r="G11" s="11">
        <f>IF(F11="","",TEXTJOIN("; ",TRUE,IF(TRIM(MID(SUBSTITUTE(F11,";",REPT(" ",99)),1,99))="","",IFERROR(VLOOKUP(--LEFT(TRIM(MID(SUBSTITUTE(F11,";",REPT(" ",99)),1,99)),FIND(":",TRIM(MID(SUBSTITUTE(F11,";",REPT(" ",99)),1,99)))-1),_Lookup!$A:$B,2,FALSE),"?")&amp;"×"&amp;MID(TRIM(MID(SUBSTITUTE(F11,";",REPT(" ",99)),1,99)),FIND(":",TRIM(MID(SUBSTITUTE(F11,";",REPT(" ",99)),1,99)))+1,99)),IF(TRIM(MID(SUBSTITUTE(F11,";",REPT(" ",99)),100,99))="","",IFERROR(VLOOKUP(--LEFT(TRIM(MID(SUBSTITUTE(F11,";",REPT(" ",99)),100,99)),FIND(":",TRIM(MID(SUBSTITUTE(F11,";",REPT(" ",99)),100,99)))-1),_Lookup!$A:$B,2,FALSE),"?")&amp;"×"&amp;MID(TRIM(MID(SUBSTITUTE(F11,";",REPT(" ",99)),100,99)),FIND(":",TRIM(MID(SUBSTITUTE(F11,";",REPT(" ",99)),100,99)))+1,99)),IF(TRIM(MID(SUBSTITUTE(F11,";",REPT(" ",99)),199,99))="","",IFERROR(VLOOKUP(--LEFT(TRIM(MID(SUBSTITUTE(F11,";",REPT(" ",99)),199,99)),FIND(":",TRIM(MID(SUBSTITUTE(F11,";",REPT(" ",99)),199,99)))-1),_Lookup!$A:$B,2,FALSE),"?")&amp;"×"&amp;MID(TRIM(MID(SUBSTITUTE(F11,";",REPT(" ",99)),199,99)),FIND(":",TRIM(MID(SUBSTITUTE(F11,";",REPT(" ",99)),199,99)))+1,99)),IF(TRIM(MID(SUBSTITUTE(F11,";",REPT(" ",99)),298,99))="","",IFERROR(VLOOKUP(--LEFT(TRIM(MID(SUBSTITUTE(F11,";",REPT(" ",99)),298,99)),FIND(":",TRIM(MID(SUBSTITUTE(F11,";",REPT(" ",99)),298,99)))-1),_Lookup!$A:$B,2,FALSE),"?")&amp;"×"&amp;MID(TRIM(MID(SUBSTITUTE(F11,";",REPT(" ",99)),298,99)),FIND(":",TRIM(MID(SUBSTITUTE(F11,";",REPT(" ",99)),298,99)))+1,99)),IF(TRIM(MID(SUBSTITUTE(F11,";",REPT(" ",99)),397,99))="","",IFERROR(VLOOKUP(--LEFT(TRIM(MID(SUBSTITUTE(F11,";",REPT(" ",99)),397,99)),FIND(":",TRIM(MID(SUBSTITUTE(F11,";",REPT(" ",99)),397,99)))-1),_Lookup!$A:$B,2,FALSE),"?")&amp;"×"&amp;MID(TRIM(MID(SUBSTITUTE(F11,";",REPT(" ",99)),397,99)),FIND(":",TRIM(MID(SUBSTITUTE(F11,";",REPT(" ",99)),397,99)))+1,99))))</f>
        <v/>
      </c>
    </row>
    <row r="12">
      <c r="C12" s="11">
        <f>IFERROR(VLOOKUP(B12,StageData!$A:$B,2,FALSE),"")</f>
        <v/>
      </c>
      <c r="G12" s="11">
        <f>IF(F12="","",TEXTJOIN("; ",TRUE,IF(TRIM(MID(SUBSTITUTE(F12,";",REPT(" ",99)),1,99))="","",IFERROR(VLOOKUP(--LEFT(TRIM(MID(SUBSTITUTE(F12,";",REPT(" ",99)),1,99)),FIND(":",TRIM(MID(SUBSTITUTE(F12,";",REPT(" ",99)),1,99)))-1),_Lookup!$A:$B,2,FALSE),"?")&amp;"×"&amp;MID(TRIM(MID(SUBSTITUTE(F12,";",REPT(" ",99)),1,99)),FIND(":",TRIM(MID(SUBSTITUTE(F12,";",REPT(" ",99)),1,99)))+1,99)),IF(TRIM(MID(SUBSTITUTE(F12,";",REPT(" ",99)),100,99))="","",IFERROR(VLOOKUP(--LEFT(TRIM(MID(SUBSTITUTE(F12,";",REPT(" ",99)),100,99)),FIND(":",TRIM(MID(SUBSTITUTE(F12,";",REPT(" ",99)),100,99)))-1),_Lookup!$A:$B,2,FALSE),"?")&amp;"×"&amp;MID(TRIM(MID(SUBSTITUTE(F12,";",REPT(" ",99)),100,99)),FIND(":",TRIM(MID(SUBSTITUTE(F12,";",REPT(" ",99)),100,99)))+1,99)),IF(TRIM(MID(SUBSTITUTE(F12,";",REPT(" ",99)),199,99))="","",IFERROR(VLOOKUP(--LEFT(TRIM(MID(SUBSTITUTE(F12,";",REPT(" ",99)),199,99)),FIND(":",TRIM(MID(SUBSTITUTE(F12,";",REPT(" ",99)),199,99)))-1),_Lookup!$A:$B,2,FALSE),"?")&amp;"×"&amp;MID(TRIM(MID(SUBSTITUTE(F12,";",REPT(" ",99)),199,99)),FIND(":",TRIM(MID(SUBSTITUTE(F12,";",REPT(" ",99)),199,99)))+1,99)),IF(TRIM(MID(SUBSTITUTE(F12,";",REPT(" ",99)),298,99))="","",IFERROR(VLOOKUP(--LEFT(TRIM(MID(SUBSTITUTE(F12,";",REPT(" ",99)),298,99)),FIND(":",TRIM(MID(SUBSTITUTE(F12,";",REPT(" ",99)),298,99)))-1),_Lookup!$A:$B,2,FALSE),"?")&amp;"×"&amp;MID(TRIM(MID(SUBSTITUTE(F12,";",REPT(" ",99)),298,99)),FIND(":",TRIM(MID(SUBSTITUTE(F12,";",REPT(" ",99)),298,99)))+1,99)),IF(TRIM(MID(SUBSTITUTE(F12,";",REPT(" ",99)),397,99))="","",IFERROR(VLOOKUP(--LEFT(TRIM(MID(SUBSTITUTE(F12,";",REPT(" ",99)),397,99)),FIND(":",TRIM(MID(SUBSTITUTE(F12,";",REPT(" ",99)),397,99)))-1),_Lookup!$A:$B,2,FALSE),"?")&amp;"×"&amp;MID(TRIM(MID(SUBSTITUTE(F12,";",REPT(" ",99)),397,99)),FIND(":",TRIM(MID(SUBSTITUTE(F12,";",REPT(" ",99)),397,99)))+1,99))))</f>
        <v/>
      </c>
    </row>
    <row r="13">
      <c r="C13" s="11">
        <f>IFERROR(VLOOKUP(B13,StageData!$A:$B,2,FALSE),"")</f>
        <v/>
      </c>
      <c r="G13" s="11">
        <f>IF(F13="","",TEXTJOIN("; ",TRUE,IF(TRIM(MID(SUBSTITUTE(F13,";",REPT(" ",99)),1,99))="","",IFERROR(VLOOKUP(--LEFT(TRIM(MID(SUBSTITUTE(F13,";",REPT(" ",99)),1,99)),FIND(":",TRIM(MID(SUBSTITUTE(F13,";",REPT(" ",99)),1,99)))-1),_Lookup!$A:$B,2,FALSE),"?")&amp;"×"&amp;MID(TRIM(MID(SUBSTITUTE(F13,";",REPT(" ",99)),1,99)),FIND(":",TRIM(MID(SUBSTITUTE(F13,";",REPT(" ",99)),1,99)))+1,99)),IF(TRIM(MID(SUBSTITUTE(F13,";",REPT(" ",99)),100,99))="","",IFERROR(VLOOKUP(--LEFT(TRIM(MID(SUBSTITUTE(F13,";",REPT(" ",99)),100,99)),FIND(":",TRIM(MID(SUBSTITUTE(F13,";",REPT(" ",99)),100,99)))-1),_Lookup!$A:$B,2,FALSE),"?")&amp;"×"&amp;MID(TRIM(MID(SUBSTITUTE(F13,";",REPT(" ",99)),100,99)),FIND(":",TRIM(MID(SUBSTITUTE(F13,";",REPT(" ",99)),100,99)))+1,99)),IF(TRIM(MID(SUBSTITUTE(F13,";",REPT(" ",99)),199,99))="","",IFERROR(VLOOKUP(--LEFT(TRIM(MID(SUBSTITUTE(F13,";",REPT(" ",99)),199,99)),FIND(":",TRIM(MID(SUBSTITUTE(F13,";",REPT(" ",99)),199,99)))-1),_Lookup!$A:$B,2,FALSE),"?")&amp;"×"&amp;MID(TRIM(MID(SUBSTITUTE(F13,";",REPT(" ",99)),199,99)),FIND(":",TRIM(MID(SUBSTITUTE(F13,";",REPT(" ",99)),199,99)))+1,99)),IF(TRIM(MID(SUBSTITUTE(F13,";",REPT(" ",99)),298,99))="","",IFERROR(VLOOKUP(--LEFT(TRIM(MID(SUBSTITUTE(F13,";",REPT(" ",99)),298,99)),FIND(":",TRIM(MID(SUBSTITUTE(F13,";",REPT(" ",99)),298,99)))-1),_Lookup!$A:$B,2,FALSE),"?")&amp;"×"&amp;MID(TRIM(MID(SUBSTITUTE(F13,";",REPT(" ",99)),298,99)),FIND(":",TRIM(MID(SUBSTITUTE(F13,";",REPT(" ",99)),298,99)))+1,99)),IF(TRIM(MID(SUBSTITUTE(F13,";",REPT(" ",99)),397,99))="","",IFERROR(VLOOKUP(--LEFT(TRIM(MID(SUBSTITUTE(F13,";",REPT(" ",99)),397,99)),FIND(":",TRIM(MID(SUBSTITUTE(F13,";",REPT(" ",99)),397,99)))-1),_Lookup!$A:$B,2,FALSE),"?")&amp;"×"&amp;MID(TRIM(MID(SUBSTITUTE(F13,";",REPT(" ",99)),397,99)),FIND(":",TRIM(MID(SUBSTITUTE(F13,";",REPT(" ",99)),397,99)))+1,99))))</f>
        <v/>
      </c>
    </row>
    <row r="14">
      <c r="C14" s="11">
        <f>IFERROR(VLOOKUP(B14,StageData!$A:$B,2,FALSE),"")</f>
        <v/>
      </c>
      <c r="G14" s="11">
        <f>IF(F14="","",TEXTJOIN("; ",TRUE,IF(TRIM(MID(SUBSTITUTE(F14,";",REPT(" ",99)),1,99))="","",IFERROR(VLOOKUP(--LEFT(TRIM(MID(SUBSTITUTE(F14,";",REPT(" ",99)),1,99)),FIND(":",TRIM(MID(SUBSTITUTE(F14,";",REPT(" ",99)),1,99)))-1),_Lookup!$A:$B,2,FALSE),"?")&amp;"×"&amp;MID(TRIM(MID(SUBSTITUTE(F14,";",REPT(" ",99)),1,99)),FIND(":",TRIM(MID(SUBSTITUTE(F14,";",REPT(" ",99)),1,99)))+1,99)),IF(TRIM(MID(SUBSTITUTE(F14,";",REPT(" ",99)),100,99))="","",IFERROR(VLOOKUP(--LEFT(TRIM(MID(SUBSTITUTE(F14,";",REPT(" ",99)),100,99)),FIND(":",TRIM(MID(SUBSTITUTE(F14,";",REPT(" ",99)),100,99)))-1),_Lookup!$A:$B,2,FALSE),"?")&amp;"×"&amp;MID(TRIM(MID(SUBSTITUTE(F14,";",REPT(" ",99)),100,99)),FIND(":",TRIM(MID(SUBSTITUTE(F14,";",REPT(" ",99)),100,99)))+1,99)),IF(TRIM(MID(SUBSTITUTE(F14,";",REPT(" ",99)),199,99))="","",IFERROR(VLOOKUP(--LEFT(TRIM(MID(SUBSTITUTE(F14,";",REPT(" ",99)),199,99)),FIND(":",TRIM(MID(SUBSTITUTE(F14,";",REPT(" ",99)),199,99)))-1),_Lookup!$A:$B,2,FALSE),"?")&amp;"×"&amp;MID(TRIM(MID(SUBSTITUTE(F14,";",REPT(" ",99)),199,99)),FIND(":",TRIM(MID(SUBSTITUTE(F14,";",REPT(" ",99)),199,99)))+1,99)),IF(TRIM(MID(SUBSTITUTE(F14,";",REPT(" ",99)),298,99))="","",IFERROR(VLOOKUP(--LEFT(TRIM(MID(SUBSTITUTE(F14,";",REPT(" ",99)),298,99)),FIND(":",TRIM(MID(SUBSTITUTE(F14,";",REPT(" ",99)),298,99)))-1),_Lookup!$A:$B,2,FALSE),"?")&amp;"×"&amp;MID(TRIM(MID(SUBSTITUTE(F14,";",REPT(" ",99)),298,99)),FIND(":",TRIM(MID(SUBSTITUTE(F14,";",REPT(" ",99)),298,99)))+1,99)),IF(TRIM(MID(SUBSTITUTE(F14,";",REPT(" ",99)),397,99))="","",IFERROR(VLOOKUP(--LEFT(TRIM(MID(SUBSTITUTE(F14,";",REPT(" ",99)),397,99)),FIND(":",TRIM(MID(SUBSTITUTE(F14,";",REPT(" ",99)),397,99)))-1),_Lookup!$A:$B,2,FALSE),"?")&amp;"×"&amp;MID(TRIM(MID(SUBSTITUTE(F14,";",REPT(" ",99)),397,99)),FIND(":",TRIM(MID(SUBSTITUTE(F14,";",REPT(" ",99)),397,99)))+1,99))))</f>
        <v/>
      </c>
    </row>
    <row r="15">
      <c r="C15" s="11">
        <f>IFERROR(VLOOKUP(B15,StageData!$A:$B,2,FALSE),"")</f>
        <v/>
      </c>
      <c r="G15" s="11">
        <f>IF(F15="","",TEXTJOIN("; ",TRUE,IF(TRIM(MID(SUBSTITUTE(F15,";",REPT(" ",99)),1,99))="","",IFERROR(VLOOKUP(--LEFT(TRIM(MID(SUBSTITUTE(F15,";",REPT(" ",99)),1,99)),FIND(":",TRIM(MID(SUBSTITUTE(F15,";",REPT(" ",99)),1,99)))-1),_Lookup!$A:$B,2,FALSE),"?")&amp;"×"&amp;MID(TRIM(MID(SUBSTITUTE(F15,";",REPT(" ",99)),1,99)),FIND(":",TRIM(MID(SUBSTITUTE(F15,";",REPT(" ",99)),1,99)))+1,99)),IF(TRIM(MID(SUBSTITUTE(F15,";",REPT(" ",99)),100,99))="","",IFERROR(VLOOKUP(--LEFT(TRIM(MID(SUBSTITUTE(F15,";",REPT(" ",99)),100,99)),FIND(":",TRIM(MID(SUBSTITUTE(F15,";",REPT(" ",99)),100,99)))-1),_Lookup!$A:$B,2,FALSE),"?")&amp;"×"&amp;MID(TRIM(MID(SUBSTITUTE(F15,";",REPT(" ",99)),100,99)),FIND(":",TRIM(MID(SUBSTITUTE(F15,";",REPT(" ",99)),100,99)))+1,99)),IF(TRIM(MID(SUBSTITUTE(F15,";",REPT(" ",99)),199,99))="","",IFERROR(VLOOKUP(--LEFT(TRIM(MID(SUBSTITUTE(F15,";",REPT(" ",99)),199,99)),FIND(":",TRIM(MID(SUBSTITUTE(F15,";",REPT(" ",99)),199,99)))-1),_Lookup!$A:$B,2,FALSE),"?")&amp;"×"&amp;MID(TRIM(MID(SUBSTITUTE(F15,";",REPT(" ",99)),199,99)),FIND(":",TRIM(MID(SUBSTITUTE(F15,";",REPT(" ",99)),199,99)))+1,99)),IF(TRIM(MID(SUBSTITUTE(F15,";",REPT(" ",99)),298,99))="","",IFERROR(VLOOKUP(--LEFT(TRIM(MID(SUBSTITUTE(F15,";",REPT(" ",99)),298,99)),FIND(":",TRIM(MID(SUBSTITUTE(F15,";",REPT(" ",99)),298,99)))-1),_Lookup!$A:$B,2,FALSE),"?")&amp;"×"&amp;MID(TRIM(MID(SUBSTITUTE(F15,";",REPT(" ",99)),298,99)),FIND(":",TRIM(MID(SUBSTITUTE(F15,";",REPT(" ",99)),298,99)))+1,99)),IF(TRIM(MID(SUBSTITUTE(F15,";",REPT(" ",99)),397,99))="","",IFERROR(VLOOKUP(--LEFT(TRIM(MID(SUBSTITUTE(F15,";",REPT(" ",99)),397,99)),FIND(":",TRIM(MID(SUBSTITUTE(F15,";",REPT(" ",99)),397,99)))-1),_Lookup!$A:$B,2,FALSE),"?")&amp;"×"&amp;MID(TRIM(MID(SUBSTITUTE(F15,";",REPT(" ",99)),397,99)),FIND(":",TRIM(MID(SUBSTITUTE(F15,";",REPT(" ",99)),397,99)))+1,99))))</f>
        <v/>
      </c>
    </row>
    <row r="16">
      <c r="C16" s="11">
        <f>IFERROR(VLOOKUP(B16,StageData!$A:$B,2,FALSE),"")</f>
        <v/>
      </c>
      <c r="G16" s="11">
        <f>IF(F16="","",TEXTJOIN("; ",TRUE,IF(TRIM(MID(SUBSTITUTE(F16,";",REPT(" ",99)),1,99))="","",IFERROR(VLOOKUP(--LEFT(TRIM(MID(SUBSTITUTE(F16,";",REPT(" ",99)),1,99)),FIND(":",TRIM(MID(SUBSTITUTE(F16,";",REPT(" ",99)),1,99)))-1),_Lookup!$A:$B,2,FALSE),"?")&amp;"×"&amp;MID(TRIM(MID(SUBSTITUTE(F16,";",REPT(" ",99)),1,99)),FIND(":",TRIM(MID(SUBSTITUTE(F16,";",REPT(" ",99)),1,99)))+1,99)),IF(TRIM(MID(SUBSTITUTE(F16,";",REPT(" ",99)),100,99))="","",IFERROR(VLOOKUP(--LEFT(TRIM(MID(SUBSTITUTE(F16,";",REPT(" ",99)),100,99)),FIND(":",TRIM(MID(SUBSTITUTE(F16,";",REPT(" ",99)),100,99)))-1),_Lookup!$A:$B,2,FALSE),"?")&amp;"×"&amp;MID(TRIM(MID(SUBSTITUTE(F16,";",REPT(" ",99)),100,99)),FIND(":",TRIM(MID(SUBSTITUTE(F16,";",REPT(" ",99)),100,99)))+1,99)),IF(TRIM(MID(SUBSTITUTE(F16,";",REPT(" ",99)),199,99))="","",IFERROR(VLOOKUP(--LEFT(TRIM(MID(SUBSTITUTE(F16,";",REPT(" ",99)),199,99)),FIND(":",TRIM(MID(SUBSTITUTE(F16,";",REPT(" ",99)),199,99)))-1),_Lookup!$A:$B,2,FALSE),"?")&amp;"×"&amp;MID(TRIM(MID(SUBSTITUTE(F16,";",REPT(" ",99)),199,99)),FIND(":",TRIM(MID(SUBSTITUTE(F16,";",REPT(" ",99)),199,99)))+1,99)),IF(TRIM(MID(SUBSTITUTE(F16,";",REPT(" ",99)),298,99))="","",IFERROR(VLOOKUP(--LEFT(TRIM(MID(SUBSTITUTE(F16,";",REPT(" ",99)),298,99)),FIND(":",TRIM(MID(SUBSTITUTE(F16,";",REPT(" ",99)),298,99)))-1),_Lookup!$A:$B,2,FALSE),"?")&amp;"×"&amp;MID(TRIM(MID(SUBSTITUTE(F16,";",REPT(" ",99)),298,99)),FIND(":",TRIM(MID(SUBSTITUTE(F16,";",REPT(" ",99)),298,99)))+1,99)),IF(TRIM(MID(SUBSTITUTE(F16,";",REPT(" ",99)),397,99))="","",IFERROR(VLOOKUP(--LEFT(TRIM(MID(SUBSTITUTE(F16,";",REPT(" ",99)),397,99)),FIND(":",TRIM(MID(SUBSTITUTE(F16,";",REPT(" ",99)),397,99)))-1),_Lookup!$A:$B,2,FALSE),"?")&amp;"×"&amp;MID(TRIM(MID(SUBSTITUTE(F16,";",REPT(" ",99)),397,99)),FIND(":",TRIM(MID(SUBSTITUTE(F16,";",REPT(" ",99)),397,99)))+1,99))))</f>
        <v/>
      </c>
    </row>
    <row r="17">
      <c r="C17" s="11">
        <f>IFERROR(VLOOKUP(B17,StageData!$A:$B,2,FALSE),"")</f>
        <v/>
      </c>
      <c r="G17" s="11">
        <f>IF(F17="","",TEXTJOIN("; ",TRUE,IF(TRIM(MID(SUBSTITUTE(F17,";",REPT(" ",99)),1,99))="","",IFERROR(VLOOKUP(--LEFT(TRIM(MID(SUBSTITUTE(F17,";",REPT(" ",99)),1,99)),FIND(":",TRIM(MID(SUBSTITUTE(F17,";",REPT(" ",99)),1,99)))-1),_Lookup!$A:$B,2,FALSE),"?")&amp;"×"&amp;MID(TRIM(MID(SUBSTITUTE(F17,";",REPT(" ",99)),1,99)),FIND(":",TRIM(MID(SUBSTITUTE(F17,";",REPT(" ",99)),1,99)))+1,99)),IF(TRIM(MID(SUBSTITUTE(F17,";",REPT(" ",99)),100,99))="","",IFERROR(VLOOKUP(--LEFT(TRIM(MID(SUBSTITUTE(F17,";",REPT(" ",99)),100,99)),FIND(":",TRIM(MID(SUBSTITUTE(F17,";",REPT(" ",99)),100,99)))-1),_Lookup!$A:$B,2,FALSE),"?")&amp;"×"&amp;MID(TRIM(MID(SUBSTITUTE(F17,";",REPT(" ",99)),100,99)),FIND(":",TRIM(MID(SUBSTITUTE(F17,";",REPT(" ",99)),100,99)))+1,99)),IF(TRIM(MID(SUBSTITUTE(F17,";",REPT(" ",99)),199,99))="","",IFERROR(VLOOKUP(--LEFT(TRIM(MID(SUBSTITUTE(F17,";",REPT(" ",99)),199,99)),FIND(":",TRIM(MID(SUBSTITUTE(F17,";",REPT(" ",99)),199,99)))-1),_Lookup!$A:$B,2,FALSE),"?")&amp;"×"&amp;MID(TRIM(MID(SUBSTITUTE(F17,";",REPT(" ",99)),199,99)),FIND(":",TRIM(MID(SUBSTITUTE(F17,";",REPT(" ",99)),199,99)))+1,99)),IF(TRIM(MID(SUBSTITUTE(F17,";",REPT(" ",99)),298,99))="","",IFERROR(VLOOKUP(--LEFT(TRIM(MID(SUBSTITUTE(F17,";",REPT(" ",99)),298,99)),FIND(":",TRIM(MID(SUBSTITUTE(F17,";",REPT(" ",99)),298,99)))-1),_Lookup!$A:$B,2,FALSE),"?")&amp;"×"&amp;MID(TRIM(MID(SUBSTITUTE(F17,";",REPT(" ",99)),298,99)),FIND(":",TRIM(MID(SUBSTITUTE(F17,";",REPT(" ",99)),298,99)))+1,99)),IF(TRIM(MID(SUBSTITUTE(F17,";",REPT(" ",99)),397,99))="","",IFERROR(VLOOKUP(--LEFT(TRIM(MID(SUBSTITUTE(F17,";",REPT(" ",99)),397,99)),FIND(":",TRIM(MID(SUBSTITUTE(F17,";",REPT(" ",99)),397,99)))-1),_Lookup!$A:$B,2,FALSE),"?")&amp;"×"&amp;MID(TRIM(MID(SUBSTITUTE(F17,";",REPT(" ",99)),397,99)),FIND(":",TRIM(MID(SUBSTITUTE(F17,";",REPT(" ",99)),397,99)))+1,99))))</f>
        <v/>
      </c>
    </row>
    <row r="18">
      <c r="C18" s="11">
        <f>IFERROR(VLOOKUP(B18,StageData!$A:$B,2,FALSE),"")</f>
        <v/>
      </c>
      <c r="G18" s="11">
        <f>IF(F18="","",TEXTJOIN("; ",TRUE,IF(TRIM(MID(SUBSTITUTE(F18,";",REPT(" ",99)),1,99))="","",IFERROR(VLOOKUP(--LEFT(TRIM(MID(SUBSTITUTE(F18,";",REPT(" ",99)),1,99)),FIND(":",TRIM(MID(SUBSTITUTE(F18,";",REPT(" ",99)),1,99)))-1),_Lookup!$A:$B,2,FALSE),"?")&amp;"×"&amp;MID(TRIM(MID(SUBSTITUTE(F18,";",REPT(" ",99)),1,99)),FIND(":",TRIM(MID(SUBSTITUTE(F18,";",REPT(" ",99)),1,99)))+1,99)),IF(TRIM(MID(SUBSTITUTE(F18,";",REPT(" ",99)),100,99))="","",IFERROR(VLOOKUP(--LEFT(TRIM(MID(SUBSTITUTE(F18,";",REPT(" ",99)),100,99)),FIND(":",TRIM(MID(SUBSTITUTE(F18,";",REPT(" ",99)),100,99)))-1),_Lookup!$A:$B,2,FALSE),"?")&amp;"×"&amp;MID(TRIM(MID(SUBSTITUTE(F18,";",REPT(" ",99)),100,99)),FIND(":",TRIM(MID(SUBSTITUTE(F18,";",REPT(" ",99)),100,99)))+1,99)),IF(TRIM(MID(SUBSTITUTE(F18,";",REPT(" ",99)),199,99))="","",IFERROR(VLOOKUP(--LEFT(TRIM(MID(SUBSTITUTE(F18,";",REPT(" ",99)),199,99)),FIND(":",TRIM(MID(SUBSTITUTE(F18,";",REPT(" ",99)),199,99)))-1),_Lookup!$A:$B,2,FALSE),"?")&amp;"×"&amp;MID(TRIM(MID(SUBSTITUTE(F18,";",REPT(" ",99)),199,99)),FIND(":",TRIM(MID(SUBSTITUTE(F18,";",REPT(" ",99)),199,99)))+1,99)),IF(TRIM(MID(SUBSTITUTE(F18,";",REPT(" ",99)),298,99))="","",IFERROR(VLOOKUP(--LEFT(TRIM(MID(SUBSTITUTE(F18,";",REPT(" ",99)),298,99)),FIND(":",TRIM(MID(SUBSTITUTE(F18,";",REPT(" ",99)),298,99)))-1),_Lookup!$A:$B,2,FALSE),"?")&amp;"×"&amp;MID(TRIM(MID(SUBSTITUTE(F18,";",REPT(" ",99)),298,99)),FIND(":",TRIM(MID(SUBSTITUTE(F18,";",REPT(" ",99)),298,99)))+1,99)),IF(TRIM(MID(SUBSTITUTE(F18,";",REPT(" ",99)),397,99))="","",IFERROR(VLOOKUP(--LEFT(TRIM(MID(SUBSTITUTE(F18,";",REPT(" ",99)),397,99)),FIND(":",TRIM(MID(SUBSTITUTE(F18,";",REPT(" ",99)),397,99)))-1),_Lookup!$A:$B,2,FALSE),"?")&amp;"×"&amp;MID(TRIM(MID(SUBSTITUTE(F18,";",REPT(" ",99)),397,99)),FIND(":",TRIM(MID(SUBSTITUTE(F18,";",REPT(" ",99)),397,99)))+1,99))))</f>
        <v/>
      </c>
    </row>
    <row r="19">
      <c r="C19" s="11">
        <f>IFERROR(VLOOKUP(B19,StageData!$A:$B,2,FALSE),"")</f>
        <v/>
      </c>
      <c r="G19" s="11">
        <f>IF(F19="","",TEXTJOIN("; ",TRUE,IF(TRIM(MID(SUBSTITUTE(F19,";",REPT(" ",99)),1,99))="","",IFERROR(VLOOKUP(--LEFT(TRIM(MID(SUBSTITUTE(F19,";",REPT(" ",99)),1,99)),FIND(":",TRIM(MID(SUBSTITUTE(F19,";",REPT(" ",99)),1,99)))-1),_Lookup!$A:$B,2,FALSE),"?")&amp;"×"&amp;MID(TRIM(MID(SUBSTITUTE(F19,";",REPT(" ",99)),1,99)),FIND(":",TRIM(MID(SUBSTITUTE(F19,";",REPT(" ",99)),1,99)))+1,99)),IF(TRIM(MID(SUBSTITUTE(F19,";",REPT(" ",99)),100,99))="","",IFERROR(VLOOKUP(--LEFT(TRIM(MID(SUBSTITUTE(F19,";",REPT(" ",99)),100,99)),FIND(":",TRIM(MID(SUBSTITUTE(F19,";",REPT(" ",99)),100,99)))-1),_Lookup!$A:$B,2,FALSE),"?")&amp;"×"&amp;MID(TRIM(MID(SUBSTITUTE(F19,";",REPT(" ",99)),100,99)),FIND(":",TRIM(MID(SUBSTITUTE(F19,";",REPT(" ",99)),100,99)))+1,99)),IF(TRIM(MID(SUBSTITUTE(F19,";",REPT(" ",99)),199,99))="","",IFERROR(VLOOKUP(--LEFT(TRIM(MID(SUBSTITUTE(F19,";",REPT(" ",99)),199,99)),FIND(":",TRIM(MID(SUBSTITUTE(F19,";",REPT(" ",99)),199,99)))-1),_Lookup!$A:$B,2,FALSE),"?")&amp;"×"&amp;MID(TRIM(MID(SUBSTITUTE(F19,";",REPT(" ",99)),199,99)),FIND(":",TRIM(MID(SUBSTITUTE(F19,";",REPT(" ",99)),199,99)))+1,99)),IF(TRIM(MID(SUBSTITUTE(F19,";",REPT(" ",99)),298,99))="","",IFERROR(VLOOKUP(--LEFT(TRIM(MID(SUBSTITUTE(F19,";",REPT(" ",99)),298,99)),FIND(":",TRIM(MID(SUBSTITUTE(F19,";",REPT(" ",99)),298,99)))-1),_Lookup!$A:$B,2,FALSE),"?")&amp;"×"&amp;MID(TRIM(MID(SUBSTITUTE(F19,";",REPT(" ",99)),298,99)),FIND(":",TRIM(MID(SUBSTITUTE(F19,";",REPT(" ",99)),298,99)))+1,99)),IF(TRIM(MID(SUBSTITUTE(F19,";",REPT(" ",99)),397,99))="","",IFERROR(VLOOKUP(--LEFT(TRIM(MID(SUBSTITUTE(F19,";",REPT(" ",99)),397,99)),FIND(":",TRIM(MID(SUBSTITUTE(F19,";",REPT(" ",99)),397,99)))-1),_Lookup!$A:$B,2,FALSE),"?")&amp;"×"&amp;MID(TRIM(MID(SUBSTITUTE(F19,";",REPT(" ",99)),397,99)),FIND(":",TRIM(MID(SUBSTITUTE(F19,";",REPT(" ",99)),397,99)))+1,99))))</f>
        <v/>
      </c>
    </row>
    <row r="20">
      <c r="C20" s="11">
        <f>IFERROR(VLOOKUP(B20,StageData!$A:$B,2,FALSE),"")</f>
        <v/>
      </c>
      <c r="G20" s="11">
        <f>IF(F20="","",TEXTJOIN("; ",TRUE,IF(TRIM(MID(SUBSTITUTE(F20,";",REPT(" ",99)),1,99))="","",IFERROR(VLOOKUP(--LEFT(TRIM(MID(SUBSTITUTE(F20,";",REPT(" ",99)),1,99)),FIND(":",TRIM(MID(SUBSTITUTE(F20,";",REPT(" ",99)),1,99)))-1),_Lookup!$A:$B,2,FALSE),"?")&amp;"×"&amp;MID(TRIM(MID(SUBSTITUTE(F20,";",REPT(" ",99)),1,99)),FIND(":",TRIM(MID(SUBSTITUTE(F20,";",REPT(" ",99)),1,99)))+1,99)),IF(TRIM(MID(SUBSTITUTE(F20,";",REPT(" ",99)),100,99))="","",IFERROR(VLOOKUP(--LEFT(TRIM(MID(SUBSTITUTE(F20,";",REPT(" ",99)),100,99)),FIND(":",TRIM(MID(SUBSTITUTE(F20,";",REPT(" ",99)),100,99)))-1),_Lookup!$A:$B,2,FALSE),"?")&amp;"×"&amp;MID(TRIM(MID(SUBSTITUTE(F20,";",REPT(" ",99)),100,99)),FIND(":",TRIM(MID(SUBSTITUTE(F20,";",REPT(" ",99)),100,99)))+1,99)),IF(TRIM(MID(SUBSTITUTE(F20,";",REPT(" ",99)),199,99))="","",IFERROR(VLOOKUP(--LEFT(TRIM(MID(SUBSTITUTE(F20,";",REPT(" ",99)),199,99)),FIND(":",TRIM(MID(SUBSTITUTE(F20,";",REPT(" ",99)),199,99)))-1),_Lookup!$A:$B,2,FALSE),"?")&amp;"×"&amp;MID(TRIM(MID(SUBSTITUTE(F20,";",REPT(" ",99)),199,99)),FIND(":",TRIM(MID(SUBSTITUTE(F20,";",REPT(" ",99)),199,99)))+1,99)),IF(TRIM(MID(SUBSTITUTE(F20,";",REPT(" ",99)),298,99))="","",IFERROR(VLOOKUP(--LEFT(TRIM(MID(SUBSTITUTE(F20,";",REPT(" ",99)),298,99)),FIND(":",TRIM(MID(SUBSTITUTE(F20,";",REPT(" ",99)),298,99)))-1),_Lookup!$A:$B,2,FALSE),"?")&amp;"×"&amp;MID(TRIM(MID(SUBSTITUTE(F20,";",REPT(" ",99)),298,99)),FIND(":",TRIM(MID(SUBSTITUTE(F20,";",REPT(" ",99)),298,99)))+1,99)),IF(TRIM(MID(SUBSTITUTE(F20,";",REPT(" ",99)),397,99))="","",IFERROR(VLOOKUP(--LEFT(TRIM(MID(SUBSTITUTE(F20,";",REPT(" ",99)),397,99)),FIND(":",TRIM(MID(SUBSTITUTE(F20,";",REPT(" ",99)),397,99)))-1),_Lookup!$A:$B,2,FALSE),"?")&amp;"×"&amp;MID(TRIM(MID(SUBSTITUTE(F20,";",REPT(" ",99)),397,99)),FIND(":",TRIM(MID(SUBSTITUTE(F20,";",REPT(" ",99)),397,99)))+1,99))))</f>
        <v/>
      </c>
    </row>
    <row r="21">
      <c r="C21" s="11">
        <f>IFERROR(VLOOKUP(B21,StageData!$A:$B,2,FALSE),"")</f>
        <v/>
      </c>
      <c r="G21" s="11">
        <f>IF(F21="","",TEXTJOIN("; ",TRUE,IF(TRIM(MID(SUBSTITUTE(F21,";",REPT(" ",99)),1,99))="","",IFERROR(VLOOKUP(--LEFT(TRIM(MID(SUBSTITUTE(F21,";",REPT(" ",99)),1,99)),FIND(":",TRIM(MID(SUBSTITUTE(F21,";",REPT(" ",99)),1,99)))-1),_Lookup!$A:$B,2,FALSE),"?")&amp;"×"&amp;MID(TRIM(MID(SUBSTITUTE(F21,";",REPT(" ",99)),1,99)),FIND(":",TRIM(MID(SUBSTITUTE(F21,";",REPT(" ",99)),1,99)))+1,99)),IF(TRIM(MID(SUBSTITUTE(F21,";",REPT(" ",99)),100,99))="","",IFERROR(VLOOKUP(--LEFT(TRIM(MID(SUBSTITUTE(F21,";",REPT(" ",99)),100,99)),FIND(":",TRIM(MID(SUBSTITUTE(F21,";",REPT(" ",99)),100,99)))-1),_Lookup!$A:$B,2,FALSE),"?")&amp;"×"&amp;MID(TRIM(MID(SUBSTITUTE(F21,";",REPT(" ",99)),100,99)),FIND(":",TRIM(MID(SUBSTITUTE(F21,";",REPT(" ",99)),100,99)))+1,99)),IF(TRIM(MID(SUBSTITUTE(F21,";",REPT(" ",99)),199,99))="","",IFERROR(VLOOKUP(--LEFT(TRIM(MID(SUBSTITUTE(F21,";",REPT(" ",99)),199,99)),FIND(":",TRIM(MID(SUBSTITUTE(F21,";",REPT(" ",99)),199,99)))-1),_Lookup!$A:$B,2,FALSE),"?")&amp;"×"&amp;MID(TRIM(MID(SUBSTITUTE(F21,";",REPT(" ",99)),199,99)),FIND(":",TRIM(MID(SUBSTITUTE(F21,";",REPT(" ",99)),199,99)))+1,99)),IF(TRIM(MID(SUBSTITUTE(F21,";",REPT(" ",99)),298,99))="","",IFERROR(VLOOKUP(--LEFT(TRIM(MID(SUBSTITUTE(F21,";",REPT(" ",99)),298,99)),FIND(":",TRIM(MID(SUBSTITUTE(F21,";",REPT(" ",99)),298,99)))-1),_Lookup!$A:$B,2,FALSE),"?")&amp;"×"&amp;MID(TRIM(MID(SUBSTITUTE(F21,";",REPT(" ",99)),298,99)),FIND(":",TRIM(MID(SUBSTITUTE(F21,";",REPT(" ",99)),298,99)))+1,99)),IF(TRIM(MID(SUBSTITUTE(F21,";",REPT(" ",99)),397,99))="","",IFERROR(VLOOKUP(--LEFT(TRIM(MID(SUBSTITUTE(F21,";",REPT(" ",99)),397,99)),FIND(":",TRIM(MID(SUBSTITUTE(F21,";",REPT(" ",99)),397,99)))-1),_Lookup!$A:$B,2,FALSE),"?")&amp;"×"&amp;MID(TRIM(MID(SUBSTITUTE(F21,";",REPT(" ",99)),397,99)),FIND(":",TRIM(MID(SUBSTITUTE(F21,";",REPT(" ",99)),397,99)))+1,99))))</f>
        <v/>
      </c>
    </row>
    <row r="22">
      <c r="C22" s="11">
        <f>IFERROR(VLOOKUP(B22,StageData!$A:$B,2,FALSE),"")</f>
        <v/>
      </c>
      <c r="G22" s="11">
        <f>IF(F22="","",TEXTJOIN("; ",TRUE,IF(TRIM(MID(SUBSTITUTE(F22,";",REPT(" ",99)),1,99))="","",IFERROR(VLOOKUP(--LEFT(TRIM(MID(SUBSTITUTE(F22,";",REPT(" ",99)),1,99)),FIND(":",TRIM(MID(SUBSTITUTE(F22,";",REPT(" ",99)),1,99)))-1),_Lookup!$A:$B,2,FALSE),"?")&amp;"×"&amp;MID(TRIM(MID(SUBSTITUTE(F22,";",REPT(" ",99)),1,99)),FIND(":",TRIM(MID(SUBSTITUTE(F22,";",REPT(" ",99)),1,99)))+1,99)),IF(TRIM(MID(SUBSTITUTE(F22,";",REPT(" ",99)),100,99))="","",IFERROR(VLOOKUP(--LEFT(TRIM(MID(SUBSTITUTE(F22,";",REPT(" ",99)),100,99)),FIND(":",TRIM(MID(SUBSTITUTE(F22,";",REPT(" ",99)),100,99)))-1),_Lookup!$A:$B,2,FALSE),"?")&amp;"×"&amp;MID(TRIM(MID(SUBSTITUTE(F22,";",REPT(" ",99)),100,99)),FIND(":",TRIM(MID(SUBSTITUTE(F22,";",REPT(" ",99)),100,99)))+1,99)),IF(TRIM(MID(SUBSTITUTE(F22,";",REPT(" ",99)),199,99))="","",IFERROR(VLOOKUP(--LEFT(TRIM(MID(SUBSTITUTE(F22,";",REPT(" ",99)),199,99)),FIND(":",TRIM(MID(SUBSTITUTE(F22,";",REPT(" ",99)),199,99)))-1),_Lookup!$A:$B,2,FALSE),"?")&amp;"×"&amp;MID(TRIM(MID(SUBSTITUTE(F22,";",REPT(" ",99)),199,99)),FIND(":",TRIM(MID(SUBSTITUTE(F22,";",REPT(" ",99)),199,99)))+1,99)),IF(TRIM(MID(SUBSTITUTE(F22,";",REPT(" ",99)),298,99))="","",IFERROR(VLOOKUP(--LEFT(TRIM(MID(SUBSTITUTE(F22,";",REPT(" ",99)),298,99)),FIND(":",TRIM(MID(SUBSTITUTE(F22,";",REPT(" ",99)),298,99)))-1),_Lookup!$A:$B,2,FALSE),"?")&amp;"×"&amp;MID(TRIM(MID(SUBSTITUTE(F22,";",REPT(" ",99)),298,99)),FIND(":",TRIM(MID(SUBSTITUTE(F22,";",REPT(" ",99)),298,99)))+1,99)),IF(TRIM(MID(SUBSTITUTE(F22,";",REPT(" ",99)),397,99))="","",IFERROR(VLOOKUP(--LEFT(TRIM(MID(SUBSTITUTE(F22,";",REPT(" ",99)),397,99)),FIND(":",TRIM(MID(SUBSTITUTE(F22,";",REPT(" ",99)),397,99)))-1),_Lookup!$A:$B,2,FALSE),"?")&amp;"×"&amp;MID(TRIM(MID(SUBSTITUTE(F22,";",REPT(" ",99)),397,99)),FIND(":",TRIM(MID(SUBSTITUTE(F22,";",REPT(" ",99)),397,99)))+1,99))))</f>
        <v/>
      </c>
    </row>
    <row r="23">
      <c r="C23" s="11">
        <f>IFERROR(VLOOKUP(B23,StageData!$A:$B,2,FALSE),"")</f>
        <v/>
      </c>
      <c r="G23" s="11">
        <f>IF(F23="","",TEXTJOIN("; ",TRUE,IF(TRIM(MID(SUBSTITUTE(F23,";",REPT(" ",99)),1,99))="","",IFERROR(VLOOKUP(--LEFT(TRIM(MID(SUBSTITUTE(F23,";",REPT(" ",99)),1,99)),FIND(":",TRIM(MID(SUBSTITUTE(F23,";",REPT(" ",99)),1,99)))-1),_Lookup!$A:$B,2,FALSE),"?")&amp;"×"&amp;MID(TRIM(MID(SUBSTITUTE(F23,";",REPT(" ",99)),1,99)),FIND(":",TRIM(MID(SUBSTITUTE(F23,";",REPT(" ",99)),1,99)))+1,99)),IF(TRIM(MID(SUBSTITUTE(F23,";",REPT(" ",99)),100,99))="","",IFERROR(VLOOKUP(--LEFT(TRIM(MID(SUBSTITUTE(F23,";",REPT(" ",99)),100,99)),FIND(":",TRIM(MID(SUBSTITUTE(F23,";",REPT(" ",99)),100,99)))-1),_Lookup!$A:$B,2,FALSE),"?")&amp;"×"&amp;MID(TRIM(MID(SUBSTITUTE(F23,";",REPT(" ",99)),100,99)),FIND(":",TRIM(MID(SUBSTITUTE(F23,";",REPT(" ",99)),100,99)))+1,99)),IF(TRIM(MID(SUBSTITUTE(F23,";",REPT(" ",99)),199,99))="","",IFERROR(VLOOKUP(--LEFT(TRIM(MID(SUBSTITUTE(F23,";",REPT(" ",99)),199,99)),FIND(":",TRIM(MID(SUBSTITUTE(F23,";",REPT(" ",99)),199,99)))-1),_Lookup!$A:$B,2,FALSE),"?")&amp;"×"&amp;MID(TRIM(MID(SUBSTITUTE(F23,";",REPT(" ",99)),199,99)),FIND(":",TRIM(MID(SUBSTITUTE(F23,";",REPT(" ",99)),199,99)))+1,99)),IF(TRIM(MID(SUBSTITUTE(F23,";",REPT(" ",99)),298,99))="","",IFERROR(VLOOKUP(--LEFT(TRIM(MID(SUBSTITUTE(F23,";",REPT(" ",99)),298,99)),FIND(":",TRIM(MID(SUBSTITUTE(F23,";",REPT(" ",99)),298,99)))-1),_Lookup!$A:$B,2,FALSE),"?")&amp;"×"&amp;MID(TRIM(MID(SUBSTITUTE(F23,";",REPT(" ",99)),298,99)),FIND(":",TRIM(MID(SUBSTITUTE(F23,";",REPT(" ",99)),298,99)))+1,99)),IF(TRIM(MID(SUBSTITUTE(F23,";",REPT(" ",99)),397,99))="","",IFERROR(VLOOKUP(--LEFT(TRIM(MID(SUBSTITUTE(F23,";",REPT(" ",99)),397,99)),FIND(":",TRIM(MID(SUBSTITUTE(F23,";",REPT(" ",99)),397,99)))-1),_Lookup!$A:$B,2,FALSE),"?")&amp;"×"&amp;MID(TRIM(MID(SUBSTITUTE(F23,";",REPT(" ",99)),397,99)),FIND(":",TRIM(MID(SUBSTITUTE(F23,";",REPT(" ",99)),397,99)))+1,99))))</f>
        <v/>
      </c>
    </row>
    <row r="24">
      <c r="C24" s="11">
        <f>IFERROR(VLOOKUP(B24,StageData!$A:$B,2,FALSE),"")</f>
        <v/>
      </c>
      <c r="G24" s="11">
        <f>IF(F24="","",TEXTJOIN("; ",TRUE,IF(TRIM(MID(SUBSTITUTE(F24,";",REPT(" ",99)),1,99))="","",IFERROR(VLOOKUP(--LEFT(TRIM(MID(SUBSTITUTE(F24,";",REPT(" ",99)),1,99)),FIND(":",TRIM(MID(SUBSTITUTE(F24,";",REPT(" ",99)),1,99)))-1),_Lookup!$A:$B,2,FALSE),"?")&amp;"×"&amp;MID(TRIM(MID(SUBSTITUTE(F24,";",REPT(" ",99)),1,99)),FIND(":",TRIM(MID(SUBSTITUTE(F24,";",REPT(" ",99)),1,99)))+1,99)),IF(TRIM(MID(SUBSTITUTE(F24,";",REPT(" ",99)),100,99))="","",IFERROR(VLOOKUP(--LEFT(TRIM(MID(SUBSTITUTE(F24,";",REPT(" ",99)),100,99)),FIND(":",TRIM(MID(SUBSTITUTE(F24,";",REPT(" ",99)),100,99)))-1),_Lookup!$A:$B,2,FALSE),"?")&amp;"×"&amp;MID(TRIM(MID(SUBSTITUTE(F24,";",REPT(" ",99)),100,99)),FIND(":",TRIM(MID(SUBSTITUTE(F24,";",REPT(" ",99)),100,99)))+1,99)),IF(TRIM(MID(SUBSTITUTE(F24,";",REPT(" ",99)),199,99))="","",IFERROR(VLOOKUP(--LEFT(TRIM(MID(SUBSTITUTE(F24,";",REPT(" ",99)),199,99)),FIND(":",TRIM(MID(SUBSTITUTE(F24,";",REPT(" ",99)),199,99)))-1),_Lookup!$A:$B,2,FALSE),"?")&amp;"×"&amp;MID(TRIM(MID(SUBSTITUTE(F24,";",REPT(" ",99)),199,99)),FIND(":",TRIM(MID(SUBSTITUTE(F24,";",REPT(" ",99)),199,99)))+1,99)),IF(TRIM(MID(SUBSTITUTE(F24,";",REPT(" ",99)),298,99))="","",IFERROR(VLOOKUP(--LEFT(TRIM(MID(SUBSTITUTE(F24,";",REPT(" ",99)),298,99)),FIND(":",TRIM(MID(SUBSTITUTE(F24,";",REPT(" ",99)),298,99)))-1),_Lookup!$A:$B,2,FALSE),"?")&amp;"×"&amp;MID(TRIM(MID(SUBSTITUTE(F24,";",REPT(" ",99)),298,99)),FIND(":",TRIM(MID(SUBSTITUTE(F24,";",REPT(" ",99)),298,99)))+1,99)),IF(TRIM(MID(SUBSTITUTE(F24,";",REPT(" ",99)),397,99))="","",IFERROR(VLOOKUP(--LEFT(TRIM(MID(SUBSTITUTE(F24,";",REPT(" ",99)),397,99)),FIND(":",TRIM(MID(SUBSTITUTE(F24,";",REPT(" ",99)),397,99)))-1),_Lookup!$A:$B,2,FALSE),"?")&amp;"×"&amp;MID(TRIM(MID(SUBSTITUTE(F24,";",REPT(" ",99)),397,99)),FIND(":",TRIM(MID(SUBSTITUTE(F24,";",REPT(" ",99)),397,99)))+1,99))))</f>
        <v/>
      </c>
    </row>
    <row r="25">
      <c r="C25" s="11">
        <f>IFERROR(VLOOKUP(B25,StageData!$A:$B,2,FALSE),"")</f>
        <v/>
      </c>
      <c r="G25" s="11">
        <f>IF(F25="","",TEXTJOIN("; ",TRUE,IF(TRIM(MID(SUBSTITUTE(F25,";",REPT(" ",99)),1,99))="","",IFERROR(VLOOKUP(--LEFT(TRIM(MID(SUBSTITUTE(F25,";",REPT(" ",99)),1,99)),FIND(":",TRIM(MID(SUBSTITUTE(F25,";",REPT(" ",99)),1,99)))-1),_Lookup!$A:$B,2,FALSE),"?")&amp;"×"&amp;MID(TRIM(MID(SUBSTITUTE(F25,";",REPT(" ",99)),1,99)),FIND(":",TRIM(MID(SUBSTITUTE(F25,";",REPT(" ",99)),1,99)))+1,99)),IF(TRIM(MID(SUBSTITUTE(F25,";",REPT(" ",99)),100,99))="","",IFERROR(VLOOKUP(--LEFT(TRIM(MID(SUBSTITUTE(F25,";",REPT(" ",99)),100,99)),FIND(":",TRIM(MID(SUBSTITUTE(F25,";",REPT(" ",99)),100,99)))-1),_Lookup!$A:$B,2,FALSE),"?")&amp;"×"&amp;MID(TRIM(MID(SUBSTITUTE(F25,";",REPT(" ",99)),100,99)),FIND(":",TRIM(MID(SUBSTITUTE(F25,";",REPT(" ",99)),100,99)))+1,99)),IF(TRIM(MID(SUBSTITUTE(F25,";",REPT(" ",99)),199,99))="","",IFERROR(VLOOKUP(--LEFT(TRIM(MID(SUBSTITUTE(F25,";",REPT(" ",99)),199,99)),FIND(":",TRIM(MID(SUBSTITUTE(F25,";",REPT(" ",99)),199,99)))-1),_Lookup!$A:$B,2,FALSE),"?")&amp;"×"&amp;MID(TRIM(MID(SUBSTITUTE(F25,";",REPT(" ",99)),199,99)),FIND(":",TRIM(MID(SUBSTITUTE(F25,";",REPT(" ",99)),199,99)))+1,99)),IF(TRIM(MID(SUBSTITUTE(F25,";",REPT(" ",99)),298,99))="","",IFERROR(VLOOKUP(--LEFT(TRIM(MID(SUBSTITUTE(F25,";",REPT(" ",99)),298,99)),FIND(":",TRIM(MID(SUBSTITUTE(F25,";",REPT(" ",99)),298,99)))-1),_Lookup!$A:$B,2,FALSE),"?")&amp;"×"&amp;MID(TRIM(MID(SUBSTITUTE(F25,";",REPT(" ",99)),298,99)),FIND(":",TRIM(MID(SUBSTITUTE(F25,";",REPT(" ",99)),298,99)))+1,99)),IF(TRIM(MID(SUBSTITUTE(F25,";",REPT(" ",99)),397,99))="","",IFERROR(VLOOKUP(--LEFT(TRIM(MID(SUBSTITUTE(F25,";",REPT(" ",99)),397,99)),FIND(":",TRIM(MID(SUBSTITUTE(F25,";",REPT(" ",99)),397,99)))-1),_Lookup!$A:$B,2,FALSE),"?")&amp;"×"&amp;MID(TRIM(MID(SUBSTITUTE(F25,";",REPT(" ",99)),397,99)),FIND(":",TRIM(MID(SUBSTITUTE(F25,";",REPT(" ",99)),397,99)))+1,99))))</f>
        <v/>
      </c>
    </row>
    <row r="26">
      <c r="C26" s="11">
        <f>IFERROR(VLOOKUP(B26,StageData!$A:$B,2,FALSE),"")</f>
        <v/>
      </c>
      <c r="G26" s="11">
        <f>IF(F26="","",TEXTJOIN("; ",TRUE,IF(TRIM(MID(SUBSTITUTE(F26,";",REPT(" ",99)),1,99))="","",IFERROR(VLOOKUP(--LEFT(TRIM(MID(SUBSTITUTE(F26,";",REPT(" ",99)),1,99)),FIND(":",TRIM(MID(SUBSTITUTE(F26,";",REPT(" ",99)),1,99)))-1),_Lookup!$A:$B,2,FALSE),"?")&amp;"×"&amp;MID(TRIM(MID(SUBSTITUTE(F26,";",REPT(" ",99)),1,99)),FIND(":",TRIM(MID(SUBSTITUTE(F26,";",REPT(" ",99)),1,99)))+1,99)),IF(TRIM(MID(SUBSTITUTE(F26,";",REPT(" ",99)),100,99))="","",IFERROR(VLOOKUP(--LEFT(TRIM(MID(SUBSTITUTE(F26,";",REPT(" ",99)),100,99)),FIND(":",TRIM(MID(SUBSTITUTE(F26,";",REPT(" ",99)),100,99)))-1),_Lookup!$A:$B,2,FALSE),"?")&amp;"×"&amp;MID(TRIM(MID(SUBSTITUTE(F26,";",REPT(" ",99)),100,99)),FIND(":",TRIM(MID(SUBSTITUTE(F26,";",REPT(" ",99)),100,99)))+1,99)),IF(TRIM(MID(SUBSTITUTE(F26,";",REPT(" ",99)),199,99))="","",IFERROR(VLOOKUP(--LEFT(TRIM(MID(SUBSTITUTE(F26,";",REPT(" ",99)),199,99)),FIND(":",TRIM(MID(SUBSTITUTE(F26,";",REPT(" ",99)),199,99)))-1),_Lookup!$A:$B,2,FALSE),"?")&amp;"×"&amp;MID(TRIM(MID(SUBSTITUTE(F26,";",REPT(" ",99)),199,99)),FIND(":",TRIM(MID(SUBSTITUTE(F26,";",REPT(" ",99)),199,99)))+1,99)),IF(TRIM(MID(SUBSTITUTE(F26,";",REPT(" ",99)),298,99))="","",IFERROR(VLOOKUP(--LEFT(TRIM(MID(SUBSTITUTE(F26,";",REPT(" ",99)),298,99)),FIND(":",TRIM(MID(SUBSTITUTE(F26,";",REPT(" ",99)),298,99)))-1),_Lookup!$A:$B,2,FALSE),"?")&amp;"×"&amp;MID(TRIM(MID(SUBSTITUTE(F26,";",REPT(" ",99)),298,99)),FIND(":",TRIM(MID(SUBSTITUTE(F26,";",REPT(" ",99)),298,99)))+1,99)),IF(TRIM(MID(SUBSTITUTE(F26,";",REPT(" ",99)),397,99))="","",IFERROR(VLOOKUP(--LEFT(TRIM(MID(SUBSTITUTE(F26,";",REPT(" ",99)),397,99)),FIND(":",TRIM(MID(SUBSTITUTE(F26,";",REPT(" ",99)),397,99)))-1),_Lookup!$A:$B,2,FALSE),"?")&amp;"×"&amp;MID(TRIM(MID(SUBSTITUTE(F26,";",REPT(" ",99)),397,99)),FIND(":",TRIM(MID(SUBSTITUTE(F26,";",REPT(" ",99)),397,99)))+1,99))))</f>
        <v/>
      </c>
    </row>
    <row r="27">
      <c r="C27" s="11">
        <f>IFERROR(VLOOKUP(B27,StageData!$A:$B,2,FALSE),"")</f>
        <v/>
      </c>
      <c r="G27" s="11">
        <f>IF(F27="","",TEXTJOIN("; ",TRUE,IF(TRIM(MID(SUBSTITUTE(F27,";",REPT(" ",99)),1,99))="","",IFERROR(VLOOKUP(--LEFT(TRIM(MID(SUBSTITUTE(F27,";",REPT(" ",99)),1,99)),FIND(":",TRIM(MID(SUBSTITUTE(F27,";",REPT(" ",99)),1,99)))-1),_Lookup!$A:$B,2,FALSE),"?")&amp;"×"&amp;MID(TRIM(MID(SUBSTITUTE(F27,";",REPT(" ",99)),1,99)),FIND(":",TRIM(MID(SUBSTITUTE(F27,";",REPT(" ",99)),1,99)))+1,99)),IF(TRIM(MID(SUBSTITUTE(F27,";",REPT(" ",99)),100,99))="","",IFERROR(VLOOKUP(--LEFT(TRIM(MID(SUBSTITUTE(F27,";",REPT(" ",99)),100,99)),FIND(":",TRIM(MID(SUBSTITUTE(F27,";",REPT(" ",99)),100,99)))-1),_Lookup!$A:$B,2,FALSE),"?")&amp;"×"&amp;MID(TRIM(MID(SUBSTITUTE(F27,";",REPT(" ",99)),100,99)),FIND(":",TRIM(MID(SUBSTITUTE(F27,";",REPT(" ",99)),100,99)))+1,99)),IF(TRIM(MID(SUBSTITUTE(F27,";",REPT(" ",99)),199,99))="","",IFERROR(VLOOKUP(--LEFT(TRIM(MID(SUBSTITUTE(F27,";",REPT(" ",99)),199,99)),FIND(":",TRIM(MID(SUBSTITUTE(F27,";",REPT(" ",99)),199,99)))-1),_Lookup!$A:$B,2,FALSE),"?")&amp;"×"&amp;MID(TRIM(MID(SUBSTITUTE(F27,";",REPT(" ",99)),199,99)),FIND(":",TRIM(MID(SUBSTITUTE(F27,";",REPT(" ",99)),199,99)))+1,99)),IF(TRIM(MID(SUBSTITUTE(F27,";",REPT(" ",99)),298,99))="","",IFERROR(VLOOKUP(--LEFT(TRIM(MID(SUBSTITUTE(F27,";",REPT(" ",99)),298,99)),FIND(":",TRIM(MID(SUBSTITUTE(F27,";",REPT(" ",99)),298,99)))-1),_Lookup!$A:$B,2,FALSE),"?")&amp;"×"&amp;MID(TRIM(MID(SUBSTITUTE(F27,";",REPT(" ",99)),298,99)),FIND(":",TRIM(MID(SUBSTITUTE(F27,";",REPT(" ",99)),298,99)))+1,99)),IF(TRIM(MID(SUBSTITUTE(F27,";",REPT(" ",99)),397,99))="","",IFERROR(VLOOKUP(--LEFT(TRIM(MID(SUBSTITUTE(F27,";",REPT(" ",99)),397,99)),FIND(":",TRIM(MID(SUBSTITUTE(F27,";",REPT(" ",99)),397,99)))-1),_Lookup!$A:$B,2,FALSE),"?")&amp;"×"&amp;MID(TRIM(MID(SUBSTITUTE(F27,";",REPT(" ",99)),397,99)),FIND(":",TRIM(MID(SUBSTITUTE(F27,";",REPT(" ",99)),397,99)))+1,99))))</f>
        <v/>
      </c>
    </row>
    <row r="28">
      <c r="C28" s="11">
        <f>IFERROR(VLOOKUP(B28,StageData!$A:$B,2,FALSE),"")</f>
        <v/>
      </c>
      <c r="G28" s="11">
        <f>IF(F28="","",TEXTJOIN("; ",TRUE,IF(TRIM(MID(SUBSTITUTE(F28,";",REPT(" ",99)),1,99))="","",IFERROR(VLOOKUP(--LEFT(TRIM(MID(SUBSTITUTE(F28,";",REPT(" ",99)),1,99)),FIND(":",TRIM(MID(SUBSTITUTE(F28,";",REPT(" ",99)),1,99)))-1),_Lookup!$A:$B,2,FALSE),"?")&amp;"×"&amp;MID(TRIM(MID(SUBSTITUTE(F28,";",REPT(" ",99)),1,99)),FIND(":",TRIM(MID(SUBSTITUTE(F28,";",REPT(" ",99)),1,99)))+1,99)),IF(TRIM(MID(SUBSTITUTE(F28,";",REPT(" ",99)),100,99))="","",IFERROR(VLOOKUP(--LEFT(TRIM(MID(SUBSTITUTE(F28,";",REPT(" ",99)),100,99)),FIND(":",TRIM(MID(SUBSTITUTE(F28,";",REPT(" ",99)),100,99)))-1),_Lookup!$A:$B,2,FALSE),"?")&amp;"×"&amp;MID(TRIM(MID(SUBSTITUTE(F28,";",REPT(" ",99)),100,99)),FIND(":",TRIM(MID(SUBSTITUTE(F28,";",REPT(" ",99)),100,99)))+1,99)),IF(TRIM(MID(SUBSTITUTE(F28,";",REPT(" ",99)),199,99))="","",IFERROR(VLOOKUP(--LEFT(TRIM(MID(SUBSTITUTE(F28,";",REPT(" ",99)),199,99)),FIND(":",TRIM(MID(SUBSTITUTE(F28,";",REPT(" ",99)),199,99)))-1),_Lookup!$A:$B,2,FALSE),"?")&amp;"×"&amp;MID(TRIM(MID(SUBSTITUTE(F28,";",REPT(" ",99)),199,99)),FIND(":",TRIM(MID(SUBSTITUTE(F28,";",REPT(" ",99)),199,99)))+1,99)),IF(TRIM(MID(SUBSTITUTE(F28,";",REPT(" ",99)),298,99))="","",IFERROR(VLOOKUP(--LEFT(TRIM(MID(SUBSTITUTE(F28,";",REPT(" ",99)),298,99)),FIND(":",TRIM(MID(SUBSTITUTE(F28,";",REPT(" ",99)),298,99)))-1),_Lookup!$A:$B,2,FALSE),"?")&amp;"×"&amp;MID(TRIM(MID(SUBSTITUTE(F28,";",REPT(" ",99)),298,99)),FIND(":",TRIM(MID(SUBSTITUTE(F28,";",REPT(" ",99)),298,99)))+1,99)),IF(TRIM(MID(SUBSTITUTE(F28,";",REPT(" ",99)),397,99))="","",IFERROR(VLOOKUP(--LEFT(TRIM(MID(SUBSTITUTE(F28,";",REPT(" ",99)),397,99)),FIND(":",TRIM(MID(SUBSTITUTE(F28,";",REPT(" ",99)),397,99)))-1),_Lookup!$A:$B,2,FALSE),"?")&amp;"×"&amp;MID(TRIM(MID(SUBSTITUTE(F28,";",REPT(" ",99)),397,99)),FIND(":",TRIM(MID(SUBSTITUTE(F28,";",REPT(" ",99)),397,99)))+1,99))))</f>
        <v/>
      </c>
    </row>
    <row r="29">
      <c r="C29" s="11">
        <f>IFERROR(VLOOKUP(B29,StageData!$A:$B,2,FALSE),"")</f>
        <v/>
      </c>
      <c r="G29" s="11">
        <f>IF(F29="","",TEXTJOIN("; ",TRUE,IF(TRIM(MID(SUBSTITUTE(F29,";",REPT(" ",99)),1,99))="","",IFERROR(VLOOKUP(--LEFT(TRIM(MID(SUBSTITUTE(F29,";",REPT(" ",99)),1,99)),FIND(":",TRIM(MID(SUBSTITUTE(F29,";",REPT(" ",99)),1,99)))-1),_Lookup!$A:$B,2,FALSE),"?")&amp;"×"&amp;MID(TRIM(MID(SUBSTITUTE(F29,";",REPT(" ",99)),1,99)),FIND(":",TRIM(MID(SUBSTITUTE(F29,";",REPT(" ",99)),1,99)))+1,99)),IF(TRIM(MID(SUBSTITUTE(F29,";",REPT(" ",99)),100,99))="","",IFERROR(VLOOKUP(--LEFT(TRIM(MID(SUBSTITUTE(F29,";",REPT(" ",99)),100,99)),FIND(":",TRIM(MID(SUBSTITUTE(F29,";",REPT(" ",99)),100,99)))-1),_Lookup!$A:$B,2,FALSE),"?")&amp;"×"&amp;MID(TRIM(MID(SUBSTITUTE(F29,";",REPT(" ",99)),100,99)),FIND(":",TRIM(MID(SUBSTITUTE(F29,";",REPT(" ",99)),100,99)))+1,99)),IF(TRIM(MID(SUBSTITUTE(F29,";",REPT(" ",99)),199,99))="","",IFERROR(VLOOKUP(--LEFT(TRIM(MID(SUBSTITUTE(F29,";",REPT(" ",99)),199,99)),FIND(":",TRIM(MID(SUBSTITUTE(F29,";",REPT(" ",99)),199,99)))-1),_Lookup!$A:$B,2,FALSE),"?")&amp;"×"&amp;MID(TRIM(MID(SUBSTITUTE(F29,";",REPT(" ",99)),199,99)),FIND(":",TRIM(MID(SUBSTITUTE(F29,";",REPT(" ",99)),199,99)))+1,99)),IF(TRIM(MID(SUBSTITUTE(F29,";",REPT(" ",99)),298,99))="","",IFERROR(VLOOKUP(--LEFT(TRIM(MID(SUBSTITUTE(F29,";",REPT(" ",99)),298,99)),FIND(":",TRIM(MID(SUBSTITUTE(F29,";",REPT(" ",99)),298,99)))-1),_Lookup!$A:$B,2,FALSE),"?")&amp;"×"&amp;MID(TRIM(MID(SUBSTITUTE(F29,";",REPT(" ",99)),298,99)),FIND(":",TRIM(MID(SUBSTITUTE(F29,";",REPT(" ",99)),298,99)))+1,99)),IF(TRIM(MID(SUBSTITUTE(F29,";",REPT(" ",99)),397,99))="","",IFERROR(VLOOKUP(--LEFT(TRIM(MID(SUBSTITUTE(F29,";",REPT(" ",99)),397,99)),FIND(":",TRIM(MID(SUBSTITUTE(F29,";",REPT(" ",99)),397,99)))-1),_Lookup!$A:$B,2,FALSE),"?")&amp;"×"&amp;MID(TRIM(MID(SUBSTITUTE(F29,";",REPT(" ",99)),397,99)),FIND(":",TRIM(MID(SUBSTITUTE(F29,";",REPT(" ",99)),397,99)))+1,99))))</f>
        <v/>
      </c>
    </row>
    <row r="30">
      <c r="C30" s="11">
        <f>IFERROR(VLOOKUP(B30,StageData!$A:$B,2,FALSE),"")</f>
        <v/>
      </c>
      <c r="G30" s="11">
        <f>IF(F30="","",TEXTJOIN("; ",TRUE,IF(TRIM(MID(SUBSTITUTE(F30,";",REPT(" ",99)),1,99))="","",IFERROR(VLOOKUP(--LEFT(TRIM(MID(SUBSTITUTE(F30,";",REPT(" ",99)),1,99)),FIND(":",TRIM(MID(SUBSTITUTE(F30,";",REPT(" ",99)),1,99)))-1),_Lookup!$A:$B,2,FALSE),"?")&amp;"×"&amp;MID(TRIM(MID(SUBSTITUTE(F30,";",REPT(" ",99)),1,99)),FIND(":",TRIM(MID(SUBSTITUTE(F30,";",REPT(" ",99)),1,99)))+1,99)),IF(TRIM(MID(SUBSTITUTE(F30,";",REPT(" ",99)),100,99))="","",IFERROR(VLOOKUP(--LEFT(TRIM(MID(SUBSTITUTE(F30,";",REPT(" ",99)),100,99)),FIND(":",TRIM(MID(SUBSTITUTE(F30,";",REPT(" ",99)),100,99)))-1),_Lookup!$A:$B,2,FALSE),"?")&amp;"×"&amp;MID(TRIM(MID(SUBSTITUTE(F30,";",REPT(" ",99)),100,99)),FIND(":",TRIM(MID(SUBSTITUTE(F30,";",REPT(" ",99)),100,99)))+1,99)),IF(TRIM(MID(SUBSTITUTE(F30,";",REPT(" ",99)),199,99))="","",IFERROR(VLOOKUP(--LEFT(TRIM(MID(SUBSTITUTE(F30,";",REPT(" ",99)),199,99)),FIND(":",TRIM(MID(SUBSTITUTE(F30,";",REPT(" ",99)),199,99)))-1),_Lookup!$A:$B,2,FALSE),"?")&amp;"×"&amp;MID(TRIM(MID(SUBSTITUTE(F30,";",REPT(" ",99)),199,99)),FIND(":",TRIM(MID(SUBSTITUTE(F30,";",REPT(" ",99)),199,99)))+1,99)),IF(TRIM(MID(SUBSTITUTE(F30,";",REPT(" ",99)),298,99))="","",IFERROR(VLOOKUP(--LEFT(TRIM(MID(SUBSTITUTE(F30,";",REPT(" ",99)),298,99)),FIND(":",TRIM(MID(SUBSTITUTE(F30,";",REPT(" ",99)),298,99)))-1),_Lookup!$A:$B,2,FALSE),"?")&amp;"×"&amp;MID(TRIM(MID(SUBSTITUTE(F30,";",REPT(" ",99)),298,99)),FIND(":",TRIM(MID(SUBSTITUTE(F30,";",REPT(" ",99)),298,99)))+1,99)),IF(TRIM(MID(SUBSTITUTE(F30,";",REPT(" ",99)),397,99))="","",IFERROR(VLOOKUP(--LEFT(TRIM(MID(SUBSTITUTE(F30,";",REPT(" ",99)),397,99)),FIND(":",TRIM(MID(SUBSTITUTE(F30,";",REPT(" ",99)),397,99)))-1),_Lookup!$A:$B,2,FALSE),"?")&amp;"×"&amp;MID(TRIM(MID(SUBSTITUTE(F30,";",REPT(" ",99)),397,99)),FIND(":",TRIM(MID(SUBSTITUTE(F30,";",REPT(" ",99)),397,99)))+1,99))))</f>
        <v/>
      </c>
    </row>
    <row r="31">
      <c r="C31" s="11">
        <f>IFERROR(VLOOKUP(B31,StageData!$A:$B,2,FALSE),"")</f>
        <v/>
      </c>
      <c r="G31" s="11">
        <f>IF(F31="","",TEXTJOIN("; ",TRUE,IF(TRIM(MID(SUBSTITUTE(F31,";",REPT(" ",99)),1,99))="","",IFERROR(VLOOKUP(--LEFT(TRIM(MID(SUBSTITUTE(F31,";",REPT(" ",99)),1,99)),FIND(":",TRIM(MID(SUBSTITUTE(F31,";",REPT(" ",99)),1,99)))-1),_Lookup!$A:$B,2,FALSE),"?")&amp;"×"&amp;MID(TRIM(MID(SUBSTITUTE(F31,";",REPT(" ",99)),1,99)),FIND(":",TRIM(MID(SUBSTITUTE(F31,";",REPT(" ",99)),1,99)))+1,99)),IF(TRIM(MID(SUBSTITUTE(F31,";",REPT(" ",99)),100,99))="","",IFERROR(VLOOKUP(--LEFT(TRIM(MID(SUBSTITUTE(F31,";",REPT(" ",99)),100,99)),FIND(":",TRIM(MID(SUBSTITUTE(F31,";",REPT(" ",99)),100,99)))-1),_Lookup!$A:$B,2,FALSE),"?")&amp;"×"&amp;MID(TRIM(MID(SUBSTITUTE(F31,";",REPT(" ",99)),100,99)),FIND(":",TRIM(MID(SUBSTITUTE(F31,";",REPT(" ",99)),100,99)))+1,99)),IF(TRIM(MID(SUBSTITUTE(F31,";",REPT(" ",99)),199,99))="","",IFERROR(VLOOKUP(--LEFT(TRIM(MID(SUBSTITUTE(F31,";",REPT(" ",99)),199,99)),FIND(":",TRIM(MID(SUBSTITUTE(F31,";",REPT(" ",99)),199,99)))-1),_Lookup!$A:$B,2,FALSE),"?")&amp;"×"&amp;MID(TRIM(MID(SUBSTITUTE(F31,";",REPT(" ",99)),199,99)),FIND(":",TRIM(MID(SUBSTITUTE(F31,";",REPT(" ",99)),199,99)))+1,99)),IF(TRIM(MID(SUBSTITUTE(F31,";",REPT(" ",99)),298,99))="","",IFERROR(VLOOKUP(--LEFT(TRIM(MID(SUBSTITUTE(F31,";",REPT(" ",99)),298,99)),FIND(":",TRIM(MID(SUBSTITUTE(F31,";",REPT(" ",99)),298,99)))-1),_Lookup!$A:$B,2,FALSE),"?")&amp;"×"&amp;MID(TRIM(MID(SUBSTITUTE(F31,";",REPT(" ",99)),298,99)),FIND(":",TRIM(MID(SUBSTITUTE(F31,";",REPT(" ",99)),298,99)))+1,99)),IF(TRIM(MID(SUBSTITUTE(F31,";",REPT(" ",99)),397,99))="","",IFERROR(VLOOKUP(--LEFT(TRIM(MID(SUBSTITUTE(F31,";",REPT(" ",99)),397,99)),FIND(":",TRIM(MID(SUBSTITUTE(F31,";",REPT(" ",99)),397,99)))-1),_Lookup!$A:$B,2,FALSE),"?")&amp;"×"&amp;MID(TRIM(MID(SUBSTITUTE(F31,";",REPT(" ",99)),397,99)),FIND(":",TRIM(MID(SUBSTITUTE(F31,";",REPT(" ",99)),397,99)))+1,99))))</f>
        <v/>
      </c>
    </row>
    <row r="32">
      <c r="C32" s="11">
        <f>IFERROR(VLOOKUP(B32,StageData!$A:$B,2,FALSE),"")</f>
        <v/>
      </c>
      <c r="G32" s="11">
        <f>IF(F32="","",TEXTJOIN("; ",TRUE,IF(TRIM(MID(SUBSTITUTE(F32,";",REPT(" ",99)),1,99))="","",IFERROR(VLOOKUP(--LEFT(TRIM(MID(SUBSTITUTE(F32,";",REPT(" ",99)),1,99)),FIND(":",TRIM(MID(SUBSTITUTE(F32,";",REPT(" ",99)),1,99)))-1),_Lookup!$A:$B,2,FALSE),"?")&amp;"×"&amp;MID(TRIM(MID(SUBSTITUTE(F32,";",REPT(" ",99)),1,99)),FIND(":",TRIM(MID(SUBSTITUTE(F32,";",REPT(" ",99)),1,99)))+1,99)),IF(TRIM(MID(SUBSTITUTE(F32,";",REPT(" ",99)),100,99))="","",IFERROR(VLOOKUP(--LEFT(TRIM(MID(SUBSTITUTE(F32,";",REPT(" ",99)),100,99)),FIND(":",TRIM(MID(SUBSTITUTE(F32,";",REPT(" ",99)),100,99)))-1),_Lookup!$A:$B,2,FALSE),"?")&amp;"×"&amp;MID(TRIM(MID(SUBSTITUTE(F32,";",REPT(" ",99)),100,99)),FIND(":",TRIM(MID(SUBSTITUTE(F32,";",REPT(" ",99)),100,99)))+1,99)),IF(TRIM(MID(SUBSTITUTE(F32,";",REPT(" ",99)),199,99))="","",IFERROR(VLOOKUP(--LEFT(TRIM(MID(SUBSTITUTE(F32,";",REPT(" ",99)),199,99)),FIND(":",TRIM(MID(SUBSTITUTE(F32,";",REPT(" ",99)),199,99)))-1),_Lookup!$A:$B,2,FALSE),"?")&amp;"×"&amp;MID(TRIM(MID(SUBSTITUTE(F32,";",REPT(" ",99)),199,99)),FIND(":",TRIM(MID(SUBSTITUTE(F32,";",REPT(" ",99)),199,99)))+1,99)),IF(TRIM(MID(SUBSTITUTE(F32,";",REPT(" ",99)),298,99))="","",IFERROR(VLOOKUP(--LEFT(TRIM(MID(SUBSTITUTE(F32,";",REPT(" ",99)),298,99)),FIND(":",TRIM(MID(SUBSTITUTE(F32,";",REPT(" ",99)),298,99)))-1),_Lookup!$A:$B,2,FALSE),"?")&amp;"×"&amp;MID(TRIM(MID(SUBSTITUTE(F32,";",REPT(" ",99)),298,99)),FIND(":",TRIM(MID(SUBSTITUTE(F32,";",REPT(" ",99)),298,99)))+1,99)),IF(TRIM(MID(SUBSTITUTE(F32,";",REPT(" ",99)),397,99))="","",IFERROR(VLOOKUP(--LEFT(TRIM(MID(SUBSTITUTE(F32,";",REPT(" ",99)),397,99)),FIND(":",TRIM(MID(SUBSTITUTE(F32,";",REPT(" ",99)),397,99)))-1),_Lookup!$A:$B,2,FALSE),"?")&amp;"×"&amp;MID(TRIM(MID(SUBSTITUTE(F32,";",REPT(" ",99)),397,99)),FIND(":",TRIM(MID(SUBSTITUTE(F32,";",REPT(" ",99)),397,99)))+1,99))))</f>
        <v/>
      </c>
    </row>
    <row r="33">
      <c r="C33" s="11">
        <f>IFERROR(VLOOKUP(B33,StageData!$A:$B,2,FALSE),"")</f>
        <v/>
      </c>
      <c r="G33" s="11">
        <f>IF(F33="","",TEXTJOIN("; ",TRUE,IF(TRIM(MID(SUBSTITUTE(F33,";",REPT(" ",99)),1,99))="","",IFERROR(VLOOKUP(--LEFT(TRIM(MID(SUBSTITUTE(F33,";",REPT(" ",99)),1,99)),FIND(":",TRIM(MID(SUBSTITUTE(F33,";",REPT(" ",99)),1,99)))-1),_Lookup!$A:$B,2,FALSE),"?")&amp;"×"&amp;MID(TRIM(MID(SUBSTITUTE(F33,";",REPT(" ",99)),1,99)),FIND(":",TRIM(MID(SUBSTITUTE(F33,";",REPT(" ",99)),1,99)))+1,99)),IF(TRIM(MID(SUBSTITUTE(F33,";",REPT(" ",99)),100,99))="","",IFERROR(VLOOKUP(--LEFT(TRIM(MID(SUBSTITUTE(F33,";",REPT(" ",99)),100,99)),FIND(":",TRIM(MID(SUBSTITUTE(F33,";",REPT(" ",99)),100,99)))-1),_Lookup!$A:$B,2,FALSE),"?")&amp;"×"&amp;MID(TRIM(MID(SUBSTITUTE(F33,";",REPT(" ",99)),100,99)),FIND(":",TRIM(MID(SUBSTITUTE(F33,";",REPT(" ",99)),100,99)))+1,99)),IF(TRIM(MID(SUBSTITUTE(F33,";",REPT(" ",99)),199,99))="","",IFERROR(VLOOKUP(--LEFT(TRIM(MID(SUBSTITUTE(F33,";",REPT(" ",99)),199,99)),FIND(":",TRIM(MID(SUBSTITUTE(F33,";",REPT(" ",99)),199,99)))-1),_Lookup!$A:$B,2,FALSE),"?")&amp;"×"&amp;MID(TRIM(MID(SUBSTITUTE(F33,";",REPT(" ",99)),199,99)),FIND(":",TRIM(MID(SUBSTITUTE(F33,";",REPT(" ",99)),199,99)))+1,99)),IF(TRIM(MID(SUBSTITUTE(F33,";",REPT(" ",99)),298,99))="","",IFERROR(VLOOKUP(--LEFT(TRIM(MID(SUBSTITUTE(F33,";",REPT(" ",99)),298,99)),FIND(":",TRIM(MID(SUBSTITUTE(F33,";",REPT(" ",99)),298,99)))-1),_Lookup!$A:$B,2,FALSE),"?")&amp;"×"&amp;MID(TRIM(MID(SUBSTITUTE(F33,";",REPT(" ",99)),298,99)),FIND(":",TRIM(MID(SUBSTITUTE(F33,";",REPT(" ",99)),298,99)))+1,99)),IF(TRIM(MID(SUBSTITUTE(F33,";",REPT(" ",99)),397,99))="","",IFERROR(VLOOKUP(--LEFT(TRIM(MID(SUBSTITUTE(F33,";",REPT(" ",99)),397,99)),FIND(":",TRIM(MID(SUBSTITUTE(F33,";",REPT(" ",99)),397,99)))-1),_Lookup!$A:$B,2,FALSE),"?")&amp;"×"&amp;MID(TRIM(MID(SUBSTITUTE(F33,";",REPT(" ",99)),397,99)),FIND(":",TRIM(MID(SUBSTITUTE(F33,";",REPT(" ",99)),397,99)))+1,99))))</f>
        <v/>
      </c>
    </row>
    <row r="34">
      <c r="C34" s="11">
        <f>IFERROR(VLOOKUP(B34,StageData!$A:$B,2,FALSE),"")</f>
        <v/>
      </c>
      <c r="G34" s="11">
        <f>IF(F34="","",TEXTJOIN("; ",TRUE,IF(TRIM(MID(SUBSTITUTE(F34,";",REPT(" ",99)),1,99))="","",IFERROR(VLOOKUP(--LEFT(TRIM(MID(SUBSTITUTE(F34,";",REPT(" ",99)),1,99)),FIND(":",TRIM(MID(SUBSTITUTE(F34,";",REPT(" ",99)),1,99)))-1),_Lookup!$A:$B,2,FALSE),"?")&amp;"×"&amp;MID(TRIM(MID(SUBSTITUTE(F34,";",REPT(" ",99)),1,99)),FIND(":",TRIM(MID(SUBSTITUTE(F34,";",REPT(" ",99)),1,99)))+1,99)),IF(TRIM(MID(SUBSTITUTE(F34,";",REPT(" ",99)),100,99))="","",IFERROR(VLOOKUP(--LEFT(TRIM(MID(SUBSTITUTE(F34,";",REPT(" ",99)),100,99)),FIND(":",TRIM(MID(SUBSTITUTE(F34,";",REPT(" ",99)),100,99)))-1),_Lookup!$A:$B,2,FALSE),"?")&amp;"×"&amp;MID(TRIM(MID(SUBSTITUTE(F34,";",REPT(" ",99)),100,99)),FIND(":",TRIM(MID(SUBSTITUTE(F34,";",REPT(" ",99)),100,99)))+1,99)),IF(TRIM(MID(SUBSTITUTE(F34,";",REPT(" ",99)),199,99))="","",IFERROR(VLOOKUP(--LEFT(TRIM(MID(SUBSTITUTE(F34,";",REPT(" ",99)),199,99)),FIND(":",TRIM(MID(SUBSTITUTE(F34,";",REPT(" ",99)),199,99)))-1),_Lookup!$A:$B,2,FALSE),"?")&amp;"×"&amp;MID(TRIM(MID(SUBSTITUTE(F34,";",REPT(" ",99)),199,99)),FIND(":",TRIM(MID(SUBSTITUTE(F34,";",REPT(" ",99)),199,99)))+1,99)),IF(TRIM(MID(SUBSTITUTE(F34,";",REPT(" ",99)),298,99))="","",IFERROR(VLOOKUP(--LEFT(TRIM(MID(SUBSTITUTE(F34,";",REPT(" ",99)),298,99)),FIND(":",TRIM(MID(SUBSTITUTE(F34,";",REPT(" ",99)),298,99)))-1),_Lookup!$A:$B,2,FALSE),"?")&amp;"×"&amp;MID(TRIM(MID(SUBSTITUTE(F34,";",REPT(" ",99)),298,99)),FIND(":",TRIM(MID(SUBSTITUTE(F34,";",REPT(" ",99)),298,99)))+1,99)),IF(TRIM(MID(SUBSTITUTE(F34,";",REPT(" ",99)),397,99))="","",IFERROR(VLOOKUP(--LEFT(TRIM(MID(SUBSTITUTE(F34,";",REPT(" ",99)),397,99)),FIND(":",TRIM(MID(SUBSTITUTE(F34,";",REPT(" ",99)),397,99)))-1),_Lookup!$A:$B,2,FALSE),"?")&amp;"×"&amp;MID(TRIM(MID(SUBSTITUTE(F34,";",REPT(" ",99)),397,99)),FIND(":",TRIM(MID(SUBSTITUTE(F34,";",REPT(" ",99)),397,99)))+1,99))))</f>
        <v/>
      </c>
    </row>
    <row r="35">
      <c r="C35" s="11">
        <f>IFERROR(VLOOKUP(B35,StageData!$A:$B,2,FALSE),"")</f>
        <v/>
      </c>
      <c r="G35" s="11">
        <f>IF(F35="","",TEXTJOIN("; ",TRUE,IF(TRIM(MID(SUBSTITUTE(F35,";",REPT(" ",99)),1,99))="","",IFERROR(VLOOKUP(--LEFT(TRIM(MID(SUBSTITUTE(F35,";",REPT(" ",99)),1,99)),FIND(":",TRIM(MID(SUBSTITUTE(F35,";",REPT(" ",99)),1,99)))-1),_Lookup!$A:$B,2,FALSE),"?")&amp;"×"&amp;MID(TRIM(MID(SUBSTITUTE(F35,";",REPT(" ",99)),1,99)),FIND(":",TRIM(MID(SUBSTITUTE(F35,";",REPT(" ",99)),1,99)))+1,99)),IF(TRIM(MID(SUBSTITUTE(F35,";",REPT(" ",99)),100,99))="","",IFERROR(VLOOKUP(--LEFT(TRIM(MID(SUBSTITUTE(F35,";",REPT(" ",99)),100,99)),FIND(":",TRIM(MID(SUBSTITUTE(F35,";",REPT(" ",99)),100,99)))-1),_Lookup!$A:$B,2,FALSE),"?")&amp;"×"&amp;MID(TRIM(MID(SUBSTITUTE(F35,";",REPT(" ",99)),100,99)),FIND(":",TRIM(MID(SUBSTITUTE(F35,";",REPT(" ",99)),100,99)))+1,99)),IF(TRIM(MID(SUBSTITUTE(F35,";",REPT(" ",99)),199,99))="","",IFERROR(VLOOKUP(--LEFT(TRIM(MID(SUBSTITUTE(F35,";",REPT(" ",99)),199,99)),FIND(":",TRIM(MID(SUBSTITUTE(F35,";",REPT(" ",99)),199,99)))-1),_Lookup!$A:$B,2,FALSE),"?")&amp;"×"&amp;MID(TRIM(MID(SUBSTITUTE(F35,";",REPT(" ",99)),199,99)),FIND(":",TRIM(MID(SUBSTITUTE(F35,";",REPT(" ",99)),199,99)))+1,99)),IF(TRIM(MID(SUBSTITUTE(F35,";",REPT(" ",99)),298,99))="","",IFERROR(VLOOKUP(--LEFT(TRIM(MID(SUBSTITUTE(F35,";",REPT(" ",99)),298,99)),FIND(":",TRIM(MID(SUBSTITUTE(F35,";",REPT(" ",99)),298,99)))-1),_Lookup!$A:$B,2,FALSE),"?")&amp;"×"&amp;MID(TRIM(MID(SUBSTITUTE(F35,";",REPT(" ",99)),298,99)),FIND(":",TRIM(MID(SUBSTITUTE(F35,";",REPT(" ",99)),298,99)))+1,99)),IF(TRIM(MID(SUBSTITUTE(F35,";",REPT(" ",99)),397,99))="","",IFERROR(VLOOKUP(--LEFT(TRIM(MID(SUBSTITUTE(F35,";",REPT(" ",99)),397,99)),FIND(":",TRIM(MID(SUBSTITUTE(F35,";",REPT(" ",99)),397,99)))-1),_Lookup!$A:$B,2,FALSE),"?")&amp;"×"&amp;MID(TRIM(MID(SUBSTITUTE(F35,";",REPT(" ",99)),397,99)),FIND(":",TRIM(MID(SUBSTITUTE(F35,";",REPT(" ",99)),397,99)))+1,99))))</f>
        <v/>
      </c>
    </row>
    <row r="36">
      <c r="C36" s="11">
        <f>IFERROR(VLOOKUP(B36,StageData!$A:$B,2,FALSE),"")</f>
        <v/>
      </c>
      <c r="G36" s="11">
        <f>IF(F36="","",TEXTJOIN("; ",TRUE,IF(TRIM(MID(SUBSTITUTE(F36,";",REPT(" ",99)),1,99))="","",IFERROR(VLOOKUP(--LEFT(TRIM(MID(SUBSTITUTE(F36,";",REPT(" ",99)),1,99)),FIND(":",TRIM(MID(SUBSTITUTE(F36,";",REPT(" ",99)),1,99)))-1),_Lookup!$A:$B,2,FALSE),"?")&amp;"×"&amp;MID(TRIM(MID(SUBSTITUTE(F36,";",REPT(" ",99)),1,99)),FIND(":",TRIM(MID(SUBSTITUTE(F36,";",REPT(" ",99)),1,99)))+1,99)),IF(TRIM(MID(SUBSTITUTE(F36,";",REPT(" ",99)),100,99))="","",IFERROR(VLOOKUP(--LEFT(TRIM(MID(SUBSTITUTE(F36,";",REPT(" ",99)),100,99)),FIND(":",TRIM(MID(SUBSTITUTE(F36,";",REPT(" ",99)),100,99)))-1),_Lookup!$A:$B,2,FALSE),"?")&amp;"×"&amp;MID(TRIM(MID(SUBSTITUTE(F36,";",REPT(" ",99)),100,99)),FIND(":",TRIM(MID(SUBSTITUTE(F36,";",REPT(" ",99)),100,99)))+1,99)),IF(TRIM(MID(SUBSTITUTE(F36,";",REPT(" ",99)),199,99))="","",IFERROR(VLOOKUP(--LEFT(TRIM(MID(SUBSTITUTE(F36,";",REPT(" ",99)),199,99)),FIND(":",TRIM(MID(SUBSTITUTE(F36,";",REPT(" ",99)),199,99)))-1),_Lookup!$A:$B,2,FALSE),"?")&amp;"×"&amp;MID(TRIM(MID(SUBSTITUTE(F36,";",REPT(" ",99)),199,99)),FIND(":",TRIM(MID(SUBSTITUTE(F36,";",REPT(" ",99)),199,99)))+1,99)),IF(TRIM(MID(SUBSTITUTE(F36,";",REPT(" ",99)),298,99))="","",IFERROR(VLOOKUP(--LEFT(TRIM(MID(SUBSTITUTE(F36,";",REPT(" ",99)),298,99)),FIND(":",TRIM(MID(SUBSTITUTE(F36,";",REPT(" ",99)),298,99)))-1),_Lookup!$A:$B,2,FALSE),"?")&amp;"×"&amp;MID(TRIM(MID(SUBSTITUTE(F36,";",REPT(" ",99)),298,99)),FIND(":",TRIM(MID(SUBSTITUTE(F36,";",REPT(" ",99)),298,99)))+1,99)),IF(TRIM(MID(SUBSTITUTE(F36,";",REPT(" ",99)),397,99))="","",IFERROR(VLOOKUP(--LEFT(TRIM(MID(SUBSTITUTE(F36,";",REPT(" ",99)),397,99)),FIND(":",TRIM(MID(SUBSTITUTE(F36,";",REPT(" ",99)),397,99)))-1),_Lookup!$A:$B,2,FALSE),"?")&amp;"×"&amp;MID(TRIM(MID(SUBSTITUTE(F36,";",REPT(" ",99)),397,99)),FIND(":",TRIM(MID(SUBSTITUTE(F36,";",REPT(" ",99)),397,99)))+1,99))))</f>
        <v/>
      </c>
    </row>
    <row r="37">
      <c r="C37" s="11">
        <f>IFERROR(VLOOKUP(B37,StageData!$A:$B,2,FALSE),"")</f>
        <v/>
      </c>
      <c r="G37" s="11">
        <f>IF(F37="","",TEXTJOIN("; ",TRUE,IF(TRIM(MID(SUBSTITUTE(F37,";",REPT(" ",99)),1,99))="","",IFERROR(VLOOKUP(--LEFT(TRIM(MID(SUBSTITUTE(F37,";",REPT(" ",99)),1,99)),FIND(":",TRIM(MID(SUBSTITUTE(F37,";",REPT(" ",99)),1,99)))-1),_Lookup!$A:$B,2,FALSE),"?")&amp;"×"&amp;MID(TRIM(MID(SUBSTITUTE(F37,";",REPT(" ",99)),1,99)),FIND(":",TRIM(MID(SUBSTITUTE(F37,";",REPT(" ",99)),1,99)))+1,99)),IF(TRIM(MID(SUBSTITUTE(F37,";",REPT(" ",99)),100,99))="","",IFERROR(VLOOKUP(--LEFT(TRIM(MID(SUBSTITUTE(F37,";",REPT(" ",99)),100,99)),FIND(":",TRIM(MID(SUBSTITUTE(F37,";",REPT(" ",99)),100,99)))-1),_Lookup!$A:$B,2,FALSE),"?")&amp;"×"&amp;MID(TRIM(MID(SUBSTITUTE(F37,";",REPT(" ",99)),100,99)),FIND(":",TRIM(MID(SUBSTITUTE(F37,";",REPT(" ",99)),100,99)))+1,99)),IF(TRIM(MID(SUBSTITUTE(F37,";",REPT(" ",99)),199,99))="","",IFERROR(VLOOKUP(--LEFT(TRIM(MID(SUBSTITUTE(F37,";",REPT(" ",99)),199,99)),FIND(":",TRIM(MID(SUBSTITUTE(F37,";",REPT(" ",99)),199,99)))-1),_Lookup!$A:$B,2,FALSE),"?")&amp;"×"&amp;MID(TRIM(MID(SUBSTITUTE(F37,";",REPT(" ",99)),199,99)),FIND(":",TRIM(MID(SUBSTITUTE(F37,";",REPT(" ",99)),199,99)))+1,99)),IF(TRIM(MID(SUBSTITUTE(F37,";",REPT(" ",99)),298,99))="","",IFERROR(VLOOKUP(--LEFT(TRIM(MID(SUBSTITUTE(F37,";",REPT(" ",99)),298,99)),FIND(":",TRIM(MID(SUBSTITUTE(F37,";",REPT(" ",99)),298,99)))-1),_Lookup!$A:$B,2,FALSE),"?")&amp;"×"&amp;MID(TRIM(MID(SUBSTITUTE(F37,";",REPT(" ",99)),298,99)),FIND(":",TRIM(MID(SUBSTITUTE(F37,";",REPT(" ",99)),298,99)))+1,99)),IF(TRIM(MID(SUBSTITUTE(F37,";",REPT(" ",99)),397,99))="","",IFERROR(VLOOKUP(--LEFT(TRIM(MID(SUBSTITUTE(F37,";",REPT(" ",99)),397,99)),FIND(":",TRIM(MID(SUBSTITUTE(F37,";",REPT(" ",99)),397,99)))-1),_Lookup!$A:$B,2,FALSE),"?")&amp;"×"&amp;MID(TRIM(MID(SUBSTITUTE(F37,";",REPT(" ",99)),397,99)),FIND(":",TRIM(MID(SUBSTITUTE(F37,";",REPT(" ",99)),397,99)))+1,99))))</f>
        <v/>
      </c>
    </row>
    <row r="38">
      <c r="C38" s="11">
        <f>IFERROR(VLOOKUP(B38,StageData!$A:$B,2,FALSE),"")</f>
        <v/>
      </c>
      <c r="G38" s="11">
        <f>IF(F38="","",TEXTJOIN("; ",TRUE,IF(TRIM(MID(SUBSTITUTE(F38,";",REPT(" ",99)),1,99))="","",IFERROR(VLOOKUP(--LEFT(TRIM(MID(SUBSTITUTE(F38,";",REPT(" ",99)),1,99)),FIND(":",TRIM(MID(SUBSTITUTE(F38,";",REPT(" ",99)),1,99)))-1),_Lookup!$A:$B,2,FALSE),"?")&amp;"×"&amp;MID(TRIM(MID(SUBSTITUTE(F38,";",REPT(" ",99)),1,99)),FIND(":",TRIM(MID(SUBSTITUTE(F38,";",REPT(" ",99)),1,99)))+1,99)),IF(TRIM(MID(SUBSTITUTE(F38,";",REPT(" ",99)),100,99))="","",IFERROR(VLOOKUP(--LEFT(TRIM(MID(SUBSTITUTE(F38,";",REPT(" ",99)),100,99)),FIND(":",TRIM(MID(SUBSTITUTE(F38,";",REPT(" ",99)),100,99)))-1),_Lookup!$A:$B,2,FALSE),"?")&amp;"×"&amp;MID(TRIM(MID(SUBSTITUTE(F38,";",REPT(" ",99)),100,99)),FIND(":",TRIM(MID(SUBSTITUTE(F38,";",REPT(" ",99)),100,99)))+1,99)),IF(TRIM(MID(SUBSTITUTE(F38,";",REPT(" ",99)),199,99))="","",IFERROR(VLOOKUP(--LEFT(TRIM(MID(SUBSTITUTE(F38,";",REPT(" ",99)),199,99)),FIND(":",TRIM(MID(SUBSTITUTE(F38,";",REPT(" ",99)),199,99)))-1),_Lookup!$A:$B,2,FALSE),"?")&amp;"×"&amp;MID(TRIM(MID(SUBSTITUTE(F38,";",REPT(" ",99)),199,99)),FIND(":",TRIM(MID(SUBSTITUTE(F38,";",REPT(" ",99)),199,99)))+1,99)),IF(TRIM(MID(SUBSTITUTE(F38,";",REPT(" ",99)),298,99))="","",IFERROR(VLOOKUP(--LEFT(TRIM(MID(SUBSTITUTE(F38,";",REPT(" ",99)),298,99)),FIND(":",TRIM(MID(SUBSTITUTE(F38,";",REPT(" ",99)),298,99)))-1),_Lookup!$A:$B,2,FALSE),"?")&amp;"×"&amp;MID(TRIM(MID(SUBSTITUTE(F38,";",REPT(" ",99)),298,99)),FIND(":",TRIM(MID(SUBSTITUTE(F38,";",REPT(" ",99)),298,99)))+1,99)),IF(TRIM(MID(SUBSTITUTE(F38,";",REPT(" ",99)),397,99))="","",IFERROR(VLOOKUP(--LEFT(TRIM(MID(SUBSTITUTE(F38,";",REPT(" ",99)),397,99)),FIND(":",TRIM(MID(SUBSTITUTE(F38,";",REPT(" ",99)),397,99)))-1),_Lookup!$A:$B,2,FALSE),"?")&amp;"×"&amp;MID(TRIM(MID(SUBSTITUTE(F38,";",REPT(" ",99)),397,99)),FIND(":",TRIM(MID(SUBSTITUTE(F38,";",REPT(" ",99)),397,99)))+1,99))))</f>
        <v/>
      </c>
    </row>
    <row r="39">
      <c r="C39" s="11">
        <f>IFERROR(VLOOKUP(B39,StageData!$A:$B,2,FALSE),"")</f>
        <v/>
      </c>
      <c r="G39" s="11">
        <f>IF(F39="","",TEXTJOIN("; ",TRUE,IF(TRIM(MID(SUBSTITUTE(F39,";",REPT(" ",99)),1,99))="","",IFERROR(VLOOKUP(--LEFT(TRIM(MID(SUBSTITUTE(F39,";",REPT(" ",99)),1,99)),FIND(":",TRIM(MID(SUBSTITUTE(F39,";",REPT(" ",99)),1,99)))-1),_Lookup!$A:$B,2,FALSE),"?")&amp;"×"&amp;MID(TRIM(MID(SUBSTITUTE(F39,";",REPT(" ",99)),1,99)),FIND(":",TRIM(MID(SUBSTITUTE(F39,";",REPT(" ",99)),1,99)))+1,99)),IF(TRIM(MID(SUBSTITUTE(F39,";",REPT(" ",99)),100,99))="","",IFERROR(VLOOKUP(--LEFT(TRIM(MID(SUBSTITUTE(F39,";",REPT(" ",99)),100,99)),FIND(":",TRIM(MID(SUBSTITUTE(F39,";",REPT(" ",99)),100,99)))-1),_Lookup!$A:$B,2,FALSE),"?")&amp;"×"&amp;MID(TRIM(MID(SUBSTITUTE(F39,";",REPT(" ",99)),100,99)),FIND(":",TRIM(MID(SUBSTITUTE(F39,";",REPT(" ",99)),100,99)))+1,99)),IF(TRIM(MID(SUBSTITUTE(F39,";",REPT(" ",99)),199,99))="","",IFERROR(VLOOKUP(--LEFT(TRIM(MID(SUBSTITUTE(F39,";",REPT(" ",99)),199,99)),FIND(":",TRIM(MID(SUBSTITUTE(F39,";",REPT(" ",99)),199,99)))-1),_Lookup!$A:$B,2,FALSE),"?")&amp;"×"&amp;MID(TRIM(MID(SUBSTITUTE(F39,";",REPT(" ",99)),199,99)),FIND(":",TRIM(MID(SUBSTITUTE(F39,";",REPT(" ",99)),199,99)))+1,99)),IF(TRIM(MID(SUBSTITUTE(F39,";",REPT(" ",99)),298,99))="","",IFERROR(VLOOKUP(--LEFT(TRIM(MID(SUBSTITUTE(F39,";",REPT(" ",99)),298,99)),FIND(":",TRIM(MID(SUBSTITUTE(F39,";",REPT(" ",99)),298,99)))-1),_Lookup!$A:$B,2,FALSE),"?")&amp;"×"&amp;MID(TRIM(MID(SUBSTITUTE(F39,";",REPT(" ",99)),298,99)),FIND(":",TRIM(MID(SUBSTITUTE(F39,";",REPT(" ",99)),298,99)))+1,99)),IF(TRIM(MID(SUBSTITUTE(F39,";",REPT(" ",99)),397,99))="","",IFERROR(VLOOKUP(--LEFT(TRIM(MID(SUBSTITUTE(F39,";",REPT(" ",99)),397,99)),FIND(":",TRIM(MID(SUBSTITUTE(F39,";",REPT(" ",99)),397,99)))-1),_Lookup!$A:$B,2,FALSE),"?")&amp;"×"&amp;MID(TRIM(MID(SUBSTITUTE(F39,";",REPT(" ",99)),397,99)),FIND(":",TRIM(MID(SUBSTITUTE(F39,";",REPT(" ",99)),397,99)))+1,99))))</f>
        <v/>
      </c>
    </row>
    <row r="40">
      <c r="C40" s="11">
        <f>IFERROR(VLOOKUP(B40,StageData!$A:$B,2,FALSE),"")</f>
        <v/>
      </c>
      <c r="G40" s="11">
        <f>IF(F40="","",TEXTJOIN("; ",TRUE,IF(TRIM(MID(SUBSTITUTE(F40,";",REPT(" ",99)),1,99))="","",IFERROR(VLOOKUP(--LEFT(TRIM(MID(SUBSTITUTE(F40,";",REPT(" ",99)),1,99)),FIND(":",TRIM(MID(SUBSTITUTE(F40,";",REPT(" ",99)),1,99)))-1),_Lookup!$A:$B,2,FALSE),"?")&amp;"×"&amp;MID(TRIM(MID(SUBSTITUTE(F40,";",REPT(" ",99)),1,99)),FIND(":",TRIM(MID(SUBSTITUTE(F40,";",REPT(" ",99)),1,99)))+1,99)),IF(TRIM(MID(SUBSTITUTE(F40,";",REPT(" ",99)),100,99))="","",IFERROR(VLOOKUP(--LEFT(TRIM(MID(SUBSTITUTE(F40,";",REPT(" ",99)),100,99)),FIND(":",TRIM(MID(SUBSTITUTE(F40,";",REPT(" ",99)),100,99)))-1),_Lookup!$A:$B,2,FALSE),"?")&amp;"×"&amp;MID(TRIM(MID(SUBSTITUTE(F40,";",REPT(" ",99)),100,99)),FIND(":",TRIM(MID(SUBSTITUTE(F40,";",REPT(" ",99)),100,99)))+1,99)),IF(TRIM(MID(SUBSTITUTE(F40,";",REPT(" ",99)),199,99))="","",IFERROR(VLOOKUP(--LEFT(TRIM(MID(SUBSTITUTE(F40,";",REPT(" ",99)),199,99)),FIND(":",TRIM(MID(SUBSTITUTE(F40,";",REPT(" ",99)),199,99)))-1),_Lookup!$A:$B,2,FALSE),"?")&amp;"×"&amp;MID(TRIM(MID(SUBSTITUTE(F40,";",REPT(" ",99)),199,99)),FIND(":",TRIM(MID(SUBSTITUTE(F40,";",REPT(" ",99)),199,99)))+1,99)),IF(TRIM(MID(SUBSTITUTE(F40,";",REPT(" ",99)),298,99))="","",IFERROR(VLOOKUP(--LEFT(TRIM(MID(SUBSTITUTE(F40,";",REPT(" ",99)),298,99)),FIND(":",TRIM(MID(SUBSTITUTE(F40,";",REPT(" ",99)),298,99)))-1),_Lookup!$A:$B,2,FALSE),"?")&amp;"×"&amp;MID(TRIM(MID(SUBSTITUTE(F40,";",REPT(" ",99)),298,99)),FIND(":",TRIM(MID(SUBSTITUTE(F40,";",REPT(" ",99)),298,99)))+1,99)),IF(TRIM(MID(SUBSTITUTE(F40,";",REPT(" ",99)),397,99))="","",IFERROR(VLOOKUP(--LEFT(TRIM(MID(SUBSTITUTE(F40,";",REPT(" ",99)),397,99)),FIND(":",TRIM(MID(SUBSTITUTE(F40,";",REPT(" ",99)),397,99)))-1),_Lookup!$A:$B,2,FALSE),"?")&amp;"×"&amp;MID(TRIM(MID(SUBSTITUTE(F40,";",REPT(" ",99)),397,99)),FIND(":",TRIM(MID(SUBSTITUTE(F40,";",REPT(" ",99)),397,99)))+1,99))))</f>
        <v/>
      </c>
    </row>
    <row r="41">
      <c r="C41" s="11">
        <f>IFERROR(VLOOKUP(B41,StageData!$A:$B,2,FALSE),"")</f>
        <v/>
      </c>
      <c r="G41" s="11">
        <f>IF(F41="","",TEXTJOIN("; ",TRUE,IF(TRIM(MID(SUBSTITUTE(F41,";",REPT(" ",99)),1,99))="","",IFERROR(VLOOKUP(--LEFT(TRIM(MID(SUBSTITUTE(F41,";",REPT(" ",99)),1,99)),FIND(":",TRIM(MID(SUBSTITUTE(F41,";",REPT(" ",99)),1,99)))-1),_Lookup!$A:$B,2,FALSE),"?")&amp;"×"&amp;MID(TRIM(MID(SUBSTITUTE(F41,";",REPT(" ",99)),1,99)),FIND(":",TRIM(MID(SUBSTITUTE(F41,";",REPT(" ",99)),1,99)))+1,99)),IF(TRIM(MID(SUBSTITUTE(F41,";",REPT(" ",99)),100,99))="","",IFERROR(VLOOKUP(--LEFT(TRIM(MID(SUBSTITUTE(F41,";",REPT(" ",99)),100,99)),FIND(":",TRIM(MID(SUBSTITUTE(F41,";",REPT(" ",99)),100,99)))-1),_Lookup!$A:$B,2,FALSE),"?")&amp;"×"&amp;MID(TRIM(MID(SUBSTITUTE(F41,";",REPT(" ",99)),100,99)),FIND(":",TRIM(MID(SUBSTITUTE(F41,";",REPT(" ",99)),100,99)))+1,99)),IF(TRIM(MID(SUBSTITUTE(F41,";",REPT(" ",99)),199,99))="","",IFERROR(VLOOKUP(--LEFT(TRIM(MID(SUBSTITUTE(F41,";",REPT(" ",99)),199,99)),FIND(":",TRIM(MID(SUBSTITUTE(F41,";",REPT(" ",99)),199,99)))-1),_Lookup!$A:$B,2,FALSE),"?")&amp;"×"&amp;MID(TRIM(MID(SUBSTITUTE(F41,";",REPT(" ",99)),199,99)),FIND(":",TRIM(MID(SUBSTITUTE(F41,";",REPT(" ",99)),199,99)))+1,99)),IF(TRIM(MID(SUBSTITUTE(F41,";",REPT(" ",99)),298,99))="","",IFERROR(VLOOKUP(--LEFT(TRIM(MID(SUBSTITUTE(F41,";",REPT(" ",99)),298,99)),FIND(":",TRIM(MID(SUBSTITUTE(F41,";",REPT(" ",99)),298,99)))-1),_Lookup!$A:$B,2,FALSE),"?")&amp;"×"&amp;MID(TRIM(MID(SUBSTITUTE(F41,";",REPT(" ",99)),298,99)),FIND(":",TRIM(MID(SUBSTITUTE(F41,";",REPT(" ",99)),298,99)))+1,99)),IF(TRIM(MID(SUBSTITUTE(F41,";",REPT(" ",99)),397,99))="","",IFERROR(VLOOKUP(--LEFT(TRIM(MID(SUBSTITUTE(F41,";",REPT(" ",99)),397,99)),FIND(":",TRIM(MID(SUBSTITUTE(F41,";",REPT(" ",99)),397,99)))-1),_Lookup!$A:$B,2,FALSE),"?")&amp;"×"&amp;MID(TRIM(MID(SUBSTITUTE(F41,";",REPT(" ",99)),397,99)),FIND(":",TRIM(MID(SUBSTITUTE(F41,";",REPT(" ",99)),397,99)))+1,99))))</f>
        <v/>
      </c>
    </row>
    <row r="42">
      <c r="C42" s="11">
        <f>IFERROR(VLOOKUP(B42,StageData!$A:$B,2,FALSE),"")</f>
        <v/>
      </c>
      <c r="G42" s="11">
        <f>IF(F42="","",TEXTJOIN("; ",TRUE,IF(TRIM(MID(SUBSTITUTE(F42,";",REPT(" ",99)),1,99))="","",IFERROR(VLOOKUP(--LEFT(TRIM(MID(SUBSTITUTE(F42,";",REPT(" ",99)),1,99)),FIND(":",TRIM(MID(SUBSTITUTE(F42,";",REPT(" ",99)),1,99)))-1),_Lookup!$A:$B,2,FALSE),"?")&amp;"×"&amp;MID(TRIM(MID(SUBSTITUTE(F42,";",REPT(" ",99)),1,99)),FIND(":",TRIM(MID(SUBSTITUTE(F42,";",REPT(" ",99)),1,99)))+1,99)),IF(TRIM(MID(SUBSTITUTE(F42,";",REPT(" ",99)),100,99))="","",IFERROR(VLOOKUP(--LEFT(TRIM(MID(SUBSTITUTE(F42,";",REPT(" ",99)),100,99)),FIND(":",TRIM(MID(SUBSTITUTE(F42,";",REPT(" ",99)),100,99)))-1),_Lookup!$A:$B,2,FALSE),"?")&amp;"×"&amp;MID(TRIM(MID(SUBSTITUTE(F42,";",REPT(" ",99)),100,99)),FIND(":",TRIM(MID(SUBSTITUTE(F42,";",REPT(" ",99)),100,99)))+1,99)),IF(TRIM(MID(SUBSTITUTE(F42,";",REPT(" ",99)),199,99))="","",IFERROR(VLOOKUP(--LEFT(TRIM(MID(SUBSTITUTE(F42,";",REPT(" ",99)),199,99)),FIND(":",TRIM(MID(SUBSTITUTE(F42,";",REPT(" ",99)),199,99)))-1),_Lookup!$A:$B,2,FALSE),"?")&amp;"×"&amp;MID(TRIM(MID(SUBSTITUTE(F42,";",REPT(" ",99)),199,99)),FIND(":",TRIM(MID(SUBSTITUTE(F42,";",REPT(" ",99)),199,99)))+1,99)),IF(TRIM(MID(SUBSTITUTE(F42,";",REPT(" ",99)),298,99))="","",IFERROR(VLOOKUP(--LEFT(TRIM(MID(SUBSTITUTE(F42,";",REPT(" ",99)),298,99)),FIND(":",TRIM(MID(SUBSTITUTE(F42,";",REPT(" ",99)),298,99)))-1),_Lookup!$A:$B,2,FALSE),"?")&amp;"×"&amp;MID(TRIM(MID(SUBSTITUTE(F42,";",REPT(" ",99)),298,99)),FIND(":",TRIM(MID(SUBSTITUTE(F42,";",REPT(" ",99)),298,99)))+1,99)),IF(TRIM(MID(SUBSTITUTE(F42,";",REPT(" ",99)),397,99))="","",IFERROR(VLOOKUP(--LEFT(TRIM(MID(SUBSTITUTE(F42,";",REPT(" ",99)),397,99)),FIND(":",TRIM(MID(SUBSTITUTE(F42,";",REPT(" ",99)),397,99)))-1),_Lookup!$A:$B,2,FALSE),"?")&amp;"×"&amp;MID(TRIM(MID(SUBSTITUTE(F42,";",REPT(" ",99)),397,99)),FIND(":",TRIM(MID(SUBSTITUTE(F42,";",REPT(" ",99)),397,99)))+1,99))))</f>
        <v/>
      </c>
    </row>
    <row r="43">
      <c r="C43" s="11">
        <f>IFERROR(VLOOKUP(B43,StageData!$A:$B,2,FALSE),"")</f>
        <v/>
      </c>
      <c r="G43" s="11">
        <f>IF(F43="","",TEXTJOIN("; ",TRUE,IF(TRIM(MID(SUBSTITUTE(F43,";",REPT(" ",99)),1,99))="","",IFERROR(VLOOKUP(--LEFT(TRIM(MID(SUBSTITUTE(F43,";",REPT(" ",99)),1,99)),FIND(":",TRIM(MID(SUBSTITUTE(F43,";",REPT(" ",99)),1,99)))-1),_Lookup!$A:$B,2,FALSE),"?")&amp;"×"&amp;MID(TRIM(MID(SUBSTITUTE(F43,";",REPT(" ",99)),1,99)),FIND(":",TRIM(MID(SUBSTITUTE(F43,";",REPT(" ",99)),1,99)))+1,99)),IF(TRIM(MID(SUBSTITUTE(F43,";",REPT(" ",99)),100,99))="","",IFERROR(VLOOKUP(--LEFT(TRIM(MID(SUBSTITUTE(F43,";",REPT(" ",99)),100,99)),FIND(":",TRIM(MID(SUBSTITUTE(F43,";",REPT(" ",99)),100,99)))-1),_Lookup!$A:$B,2,FALSE),"?")&amp;"×"&amp;MID(TRIM(MID(SUBSTITUTE(F43,";",REPT(" ",99)),100,99)),FIND(":",TRIM(MID(SUBSTITUTE(F43,";",REPT(" ",99)),100,99)))+1,99)),IF(TRIM(MID(SUBSTITUTE(F43,";",REPT(" ",99)),199,99))="","",IFERROR(VLOOKUP(--LEFT(TRIM(MID(SUBSTITUTE(F43,";",REPT(" ",99)),199,99)),FIND(":",TRIM(MID(SUBSTITUTE(F43,";",REPT(" ",99)),199,99)))-1),_Lookup!$A:$B,2,FALSE),"?")&amp;"×"&amp;MID(TRIM(MID(SUBSTITUTE(F43,";",REPT(" ",99)),199,99)),FIND(":",TRIM(MID(SUBSTITUTE(F43,";",REPT(" ",99)),199,99)))+1,99)),IF(TRIM(MID(SUBSTITUTE(F43,";",REPT(" ",99)),298,99))="","",IFERROR(VLOOKUP(--LEFT(TRIM(MID(SUBSTITUTE(F43,";",REPT(" ",99)),298,99)),FIND(":",TRIM(MID(SUBSTITUTE(F43,";",REPT(" ",99)),298,99)))-1),_Lookup!$A:$B,2,FALSE),"?")&amp;"×"&amp;MID(TRIM(MID(SUBSTITUTE(F43,";",REPT(" ",99)),298,99)),FIND(":",TRIM(MID(SUBSTITUTE(F43,";",REPT(" ",99)),298,99)))+1,99)),IF(TRIM(MID(SUBSTITUTE(F43,";",REPT(" ",99)),397,99))="","",IFERROR(VLOOKUP(--LEFT(TRIM(MID(SUBSTITUTE(F43,";",REPT(" ",99)),397,99)),FIND(":",TRIM(MID(SUBSTITUTE(F43,";",REPT(" ",99)),397,99)))-1),_Lookup!$A:$B,2,FALSE),"?")&amp;"×"&amp;MID(TRIM(MID(SUBSTITUTE(F43,";",REPT(" ",99)),397,99)),FIND(":",TRIM(MID(SUBSTITUTE(F43,";",REPT(" ",99)),397,99)))+1,99))))</f>
        <v/>
      </c>
    </row>
    <row r="44">
      <c r="C44" s="11">
        <f>IFERROR(VLOOKUP(B44,StageData!$A:$B,2,FALSE),"")</f>
        <v/>
      </c>
      <c r="G44" s="11">
        <f>IF(F44="","",TEXTJOIN("; ",TRUE,IF(TRIM(MID(SUBSTITUTE(F44,";",REPT(" ",99)),1,99))="","",IFERROR(VLOOKUP(--LEFT(TRIM(MID(SUBSTITUTE(F44,";",REPT(" ",99)),1,99)),FIND(":",TRIM(MID(SUBSTITUTE(F44,";",REPT(" ",99)),1,99)))-1),_Lookup!$A:$B,2,FALSE),"?")&amp;"×"&amp;MID(TRIM(MID(SUBSTITUTE(F44,";",REPT(" ",99)),1,99)),FIND(":",TRIM(MID(SUBSTITUTE(F44,";",REPT(" ",99)),1,99)))+1,99)),IF(TRIM(MID(SUBSTITUTE(F44,";",REPT(" ",99)),100,99))="","",IFERROR(VLOOKUP(--LEFT(TRIM(MID(SUBSTITUTE(F44,";",REPT(" ",99)),100,99)),FIND(":",TRIM(MID(SUBSTITUTE(F44,";",REPT(" ",99)),100,99)))-1),_Lookup!$A:$B,2,FALSE),"?")&amp;"×"&amp;MID(TRIM(MID(SUBSTITUTE(F44,";",REPT(" ",99)),100,99)),FIND(":",TRIM(MID(SUBSTITUTE(F44,";",REPT(" ",99)),100,99)))+1,99)),IF(TRIM(MID(SUBSTITUTE(F44,";",REPT(" ",99)),199,99))="","",IFERROR(VLOOKUP(--LEFT(TRIM(MID(SUBSTITUTE(F44,";",REPT(" ",99)),199,99)),FIND(":",TRIM(MID(SUBSTITUTE(F44,";",REPT(" ",99)),199,99)))-1),_Lookup!$A:$B,2,FALSE),"?")&amp;"×"&amp;MID(TRIM(MID(SUBSTITUTE(F44,";",REPT(" ",99)),199,99)),FIND(":",TRIM(MID(SUBSTITUTE(F44,";",REPT(" ",99)),199,99)))+1,99)),IF(TRIM(MID(SUBSTITUTE(F44,";",REPT(" ",99)),298,99))="","",IFERROR(VLOOKUP(--LEFT(TRIM(MID(SUBSTITUTE(F44,";",REPT(" ",99)),298,99)),FIND(":",TRIM(MID(SUBSTITUTE(F44,";",REPT(" ",99)),298,99)))-1),_Lookup!$A:$B,2,FALSE),"?")&amp;"×"&amp;MID(TRIM(MID(SUBSTITUTE(F44,";",REPT(" ",99)),298,99)),FIND(":",TRIM(MID(SUBSTITUTE(F44,";",REPT(" ",99)),298,99)))+1,99)),IF(TRIM(MID(SUBSTITUTE(F44,";",REPT(" ",99)),397,99))="","",IFERROR(VLOOKUP(--LEFT(TRIM(MID(SUBSTITUTE(F44,";",REPT(" ",99)),397,99)),FIND(":",TRIM(MID(SUBSTITUTE(F44,";",REPT(" ",99)),397,99)))-1),_Lookup!$A:$B,2,FALSE),"?")&amp;"×"&amp;MID(TRIM(MID(SUBSTITUTE(F44,";",REPT(" ",99)),397,99)),FIND(":",TRIM(MID(SUBSTITUTE(F44,";",REPT(" ",99)),397,99)))+1,99))))</f>
        <v/>
      </c>
    </row>
    <row r="45">
      <c r="C45" s="11">
        <f>IFERROR(VLOOKUP(B45,StageData!$A:$B,2,FALSE),"")</f>
        <v/>
      </c>
      <c r="G45" s="11">
        <f>IF(F45="","",TEXTJOIN("; ",TRUE,IF(TRIM(MID(SUBSTITUTE(F45,";",REPT(" ",99)),1,99))="","",IFERROR(VLOOKUP(--LEFT(TRIM(MID(SUBSTITUTE(F45,";",REPT(" ",99)),1,99)),FIND(":",TRIM(MID(SUBSTITUTE(F45,";",REPT(" ",99)),1,99)))-1),_Lookup!$A:$B,2,FALSE),"?")&amp;"×"&amp;MID(TRIM(MID(SUBSTITUTE(F45,";",REPT(" ",99)),1,99)),FIND(":",TRIM(MID(SUBSTITUTE(F45,";",REPT(" ",99)),1,99)))+1,99)),IF(TRIM(MID(SUBSTITUTE(F45,";",REPT(" ",99)),100,99))="","",IFERROR(VLOOKUP(--LEFT(TRIM(MID(SUBSTITUTE(F45,";",REPT(" ",99)),100,99)),FIND(":",TRIM(MID(SUBSTITUTE(F45,";",REPT(" ",99)),100,99)))-1),_Lookup!$A:$B,2,FALSE),"?")&amp;"×"&amp;MID(TRIM(MID(SUBSTITUTE(F45,";",REPT(" ",99)),100,99)),FIND(":",TRIM(MID(SUBSTITUTE(F45,";",REPT(" ",99)),100,99)))+1,99)),IF(TRIM(MID(SUBSTITUTE(F45,";",REPT(" ",99)),199,99))="","",IFERROR(VLOOKUP(--LEFT(TRIM(MID(SUBSTITUTE(F45,";",REPT(" ",99)),199,99)),FIND(":",TRIM(MID(SUBSTITUTE(F45,";",REPT(" ",99)),199,99)))-1),_Lookup!$A:$B,2,FALSE),"?")&amp;"×"&amp;MID(TRIM(MID(SUBSTITUTE(F45,";",REPT(" ",99)),199,99)),FIND(":",TRIM(MID(SUBSTITUTE(F45,";",REPT(" ",99)),199,99)))+1,99)),IF(TRIM(MID(SUBSTITUTE(F45,";",REPT(" ",99)),298,99))="","",IFERROR(VLOOKUP(--LEFT(TRIM(MID(SUBSTITUTE(F45,";",REPT(" ",99)),298,99)),FIND(":",TRIM(MID(SUBSTITUTE(F45,";",REPT(" ",99)),298,99)))-1),_Lookup!$A:$B,2,FALSE),"?")&amp;"×"&amp;MID(TRIM(MID(SUBSTITUTE(F45,";",REPT(" ",99)),298,99)),FIND(":",TRIM(MID(SUBSTITUTE(F45,";",REPT(" ",99)),298,99)))+1,99)),IF(TRIM(MID(SUBSTITUTE(F45,";",REPT(" ",99)),397,99))="","",IFERROR(VLOOKUP(--LEFT(TRIM(MID(SUBSTITUTE(F45,";",REPT(" ",99)),397,99)),FIND(":",TRIM(MID(SUBSTITUTE(F45,";",REPT(" ",99)),397,99)))-1),_Lookup!$A:$B,2,FALSE),"?")&amp;"×"&amp;MID(TRIM(MID(SUBSTITUTE(F45,";",REPT(" ",99)),397,99)),FIND(":",TRIM(MID(SUBSTITUTE(F45,";",REPT(" ",99)),397,99)))+1,99))))</f>
        <v/>
      </c>
    </row>
    <row r="46">
      <c r="C46" s="11">
        <f>IFERROR(VLOOKUP(B46,StageData!$A:$B,2,FALSE),"")</f>
        <v/>
      </c>
      <c r="G46" s="11">
        <f>IF(F46="","",TEXTJOIN("; ",TRUE,IF(TRIM(MID(SUBSTITUTE(F46,";",REPT(" ",99)),1,99))="","",IFERROR(VLOOKUP(--LEFT(TRIM(MID(SUBSTITUTE(F46,";",REPT(" ",99)),1,99)),FIND(":",TRIM(MID(SUBSTITUTE(F46,";",REPT(" ",99)),1,99)))-1),_Lookup!$A:$B,2,FALSE),"?")&amp;"×"&amp;MID(TRIM(MID(SUBSTITUTE(F46,";",REPT(" ",99)),1,99)),FIND(":",TRIM(MID(SUBSTITUTE(F46,";",REPT(" ",99)),1,99)))+1,99)),IF(TRIM(MID(SUBSTITUTE(F46,";",REPT(" ",99)),100,99))="","",IFERROR(VLOOKUP(--LEFT(TRIM(MID(SUBSTITUTE(F46,";",REPT(" ",99)),100,99)),FIND(":",TRIM(MID(SUBSTITUTE(F46,";",REPT(" ",99)),100,99)))-1),_Lookup!$A:$B,2,FALSE),"?")&amp;"×"&amp;MID(TRIM(MID(SUBSTITUTE(F46,";",REPT(" ",99)),100,99)),FIND(":",TRIM(MID(SUBSTITUTE(F46,";",REPT(" ",99)),100,99)))+1,99)),IF(TRIM(MID(SUBSTITUTE(F46,";",REPT(" ",99)),199,99))="","",IFERROR(VLOOKUP(--LEFT(TRIM(MID(SUBSTITUTE(F46,";",REPT(" ",99)),199,99)),FIND(":",TRIM(MID(SUBSTITUTE(F46,";",REPT(" ",99)),199,99)))-1),_Lookup!$A:$B,2,FALSE),"?")&amp;"×"&amp;MID(TRIM(MID(SUBSTITUTE(F46,";",REPT(" ",99)),199,99)),FIND(":",TRIM(MID(SUBSTITUTE(F46,";",REPT(" ",99)),199,99)))+1,99)),IF(TRIM(MID(SUBSTITUTE(F46,";",REPT(" ",99)),298,99))="","",IFERROR(VLOOKUP(--LEFT(TRIM(MID(SUBSTITUTE(F46,";",REPT(" ",99)),298,99)),FIND(":",TRIM(MID(SUBSTITUTE(F46,";",REPT(" ",99)),298,99)))-1),_Lookup!$A:$B,2,FALSE),"?")&amp;"×"&amp;MID(TRIM(MID(SUBSTITUTE(F46,";",REPT(" ",99)),298,99)),FIND(":",TRIM(MID(SUBSTITUTE(F46,";",REPT(" ",99)),298,99)))+1,99)),IF(TRIM(MID(SUBSTITUTE(F46,";",REPT(" ",99)),397,99))="","",IFERROR(VLOOKUP(--LEFT(TRIM(MID(SUBSTITUTE(F46,";",REPT(" ",99)),397,99)),FIND(":",TRIM(MID(SUBSTITUTE(F46,";",REPT(" ",99)),397,99)))-1),_Lookup!$A:$B,2,FALSE),"?")&amp;"×"&amp;MID(TRIM(MID(SUBSTITUTE(F46,";",REPT(" ",99)),397,99)),FIND(":",TRIM(MID(SUBSTITUTE(F46,";",REPT(" ",99)),397,99)))+1,99))))</f>
        <v/>
      </c>
    </row>
    <row r="47">
      <c r="C47" s="11">
        <f>IFERROR(VLOOKUP(B47,StageData!$A:$B,2,FALSE),"")</f>
        <v/>
      </c>
      <c r="G47" s="11">
        <f>IF(F47="","",TEXTJOIN("; ",TRUE,IF(TRIM(MID(SUBSTITUTE(F47,";",REPT(" ",99)),1,99))="","",IFERROR(VLOOKUP(--LEFT(TRIM(MID(SUBSTITUTE(F47,";",REPT(" ",99)),1,99)),FIND(":",TRIM(MID(SUBSTITUTE(F47,";",REPT(" ",99)),1,99)))-1),_Lookup!$A:$B,2,FALSE),"?")&amp;"×"&amp;MID(TRIM(MID(SUBSTITUTE(F47,";",REPT(" ",99)),1,99)),FIND(":",TRIM(MID(SUBSTITUTE(F47,";",REPT(" ",99)),1,99)))+1,99)),IF(TRIM(MID(SUBSTITUTE(F47,";",REPT(" ",99)),100,99))="","",IFERROR(VLOOKUP(--LEFT(TRIM(MID(SUBSTITUTE(F47,";",REPT(" ",99)),100,99)),FIND(":",TRIM(MID(SUBSTITUTE(F47,";",REPT(" ",99)),100,99)))-1),_Lookup!$A:$B,2,FALSE),"?")&amp;"×"&amp;MID(TRIM(MID(SUBSTITUTE(F47,";",REPT(" ",99)),100,99)),FIND(":",TRIM(MID(SUBSTITUTE(F47,";",REPT(" ",99)),100,99)))+1,99)),IF(TRIM(MID(SUBSTITUTE(F47,";",REPT(" ",99)),199,99))="","",IFERROR(VLOOKUP(--LEFT(TRIM(MID(SUBSTITUTE(F47,";",REPT(" ",99)),199,99)),FIND(":",TRIM(MID(SUBSTITUTE(F47,";",REPT(" ",99)),199,99)))-1),_Lookup!$A:$B,2,FALSE),"?")&amp;"×"&amp;MID(TRIM(MID(SUBSTITUTE(F47,";",REPT(" ",99)),199,99)),FIND(":",TRIM(MID(SUBSTITUTE(F47,";",REPT(" ",99)),199,99)))+1,99)),IF(TRIM(MID(SUBSTITUTE(F47,";",REPT(" ",99)),298,99))="","",IFERROR(VLOOKUP(--LEFT(TRIM(MID(SUBSTITUTE(F47,";",REPT(" ",99)),298,99)),FIND(":",TRIM(MID(SUBSTITUTE(F47,";",REPT(" ",99)),298,99)))-1),_Lookup!$A:$B,2,FALSE),"?")&amp;"×"&amp;MID(TRIM(MID(SUBSTITUTE(F47,";",REPT(" ",99)),298,99)),FIND(":",TRIM(MID(SUBSTITUTE(F47,";",REPT(" ",99)),298,99)))+1,99)),IF(TRIM(MID(SUBSTITUTE(F47,";",REPT(" ",99)),397,99))="","",IFERROR(VLOOKUP(--LEFT(TRIM(MID(SUBSTITUTE(F47,";",REPT(" ",99)),397,99)),FIND(":",TRIM(MID(SUBSTITUTE(F47,";",REPT(" ",99)),397,99)))-1),_Lookup!$A:$B,2,FALSE),"?")&amp;"×"&amp;MID(TRIM(MID(SUBSTITUTE(F47,";",REPT(" ",99)),397,99)),FIND(":",TRIM(MID(SUBSTITUTE(F47,";",REPT(" ",99)),397,99)))+1,99))))</f>
        <v/>
      </c>
    </row>
    <row r="48">
      <c r="C48" s="11">
        <f>IFERROR(VLOOKUP(B48,StageData!$A:$B,2,FALSE),"")</f>
        <v/>
      </c>
      <c r="G48" s="11">
        <f>IF(F48="","",TEXTJOIN("; ",TRUE,IF(TRIM(MID(SUBSTITUTE(F48,";",REPT(" ",99)),1,99))="","",IFERROR(VLOOKUP(--LEFT(TRIM(MID(SUBSTITUTE(F48,";",REPT(" ",99)),1,99)),FIND(":",TRIM(MID(SUBSTITUTE(F48,";",REPT(" ",99)),1,99)))-1),_Lookup!$A:$B,2,FALSE),"?")&amp;"×"&amp;MID(TRIM(MID(SUBSTITUTE(F48,";",REPT(" ",99)),1,99)),FIND(":",TRIM(MID(SUBSTITUTE(F48,";",REPT(" ",99)),1,99)))+1,99)),IF(TRIM(MID(SUBSTITUTE(F48,";",REPT(" ",99)),100,99))="","",IFERROR(VLOOKUP(--LEFT(TRIM(MID(SUBSTITUTE(F48,";",REPT(" ",99)),100,99)),FIND(":",TRIM(MID(SUBSTITUTE(F48,";",REPT(" ",99)),100,99)))-1),_Lookup!$A:$B,2,FALSE),"?")&amp;"×"&amp;MID(TRIM(MID(SUBSTITUTE(F48,";",REPT(" ",99)),100,99)),FIND(":",TRIM(MID(SUBSTITUTE(F48,";",REPT(" ",99)),100,99)))+1,99)),IF(TRIM(MID(SUBSTITUTE(F48,";",REPT(" ",99)),199,99))="","",IFERROR(VLOOKUP(--LEFT(TRIM(MID(SUBSTITUTE(F48,";",REPT(" ",99)),199,99)),FIND(":",TRIM(MID(SUBSTITUTE(F48,";",REPT(" ",99)),199,99)))-1),_Lookup!$A:$B,2,FALSE),"?")&amp;"×"&amp;MID(TRIM(MID(SUBSTITUTE(F48,";",REPT(" ",99)),199,99)),FIND(":",TRIM(MID(SUBSTITUTE(F48,";",REPT(" ",99)),199,99)))+1,99)),IF(TRIM(MID(SUBSTITUTE(F48,";",REPT(" ",99)),298,99))="","",IFERROR(VLOOKUP(--LEFT(TRIM(MID(SUBSTITUTE(F48,";",REPT(" ",99)),298,99)),FIND(":",TRIM(MID(SUBSTITUTE(F48,";",REPT(" ",99)),298,99)))-1),_Lookup!$A:$B,2,FALSE),"?")&amp;"×"&amp;MID(TRIM(MID(SUBSTITUTE(F48,";",REPT(" ",99)),298,99)),FIND(":",TRIM(MID(SUBSTITUTE(F48,";",REPT(" ",99)),298,99)))+1,99)),IF(TRIM(MID(SUBSTITUTE(F48,";",REPT(" ",99)),397,99))="","",IFERROR(VLOOKUP(--LEFT(TRIM(MID(SUBSTITUTE(F48,";",REPT(" ",99)),397,99)),FIND(":",TRIM(MID(SUBSTITUTE(F48,";",REPT(" ",99)),397,99)))-1),_Lookup!$A:$B,2,FALSE),"?")&amp;"×"&amp;MID(TRIM(MID(SUBSTITUTE(F48,";",REPT(" ",99)),397,99)),FIND(":",TRIM(MID(SUBSTITUTE(F48,";",REPT(" ",99)),397,99)))+1,99))))</f>
        <v/>
      </c>
    </row>
    <row r="49">
      <c r="C49" s="11">
        <f>IFERROR(VLOOKUP(B49,StageData!$A:$B,2,FALSE),"")</f>
        <v/>
      </c>
      <c r="G49" s="11">
        <f>IF(F49="","",TEXTJOIN("; ",TRUE,IF(TRIM(MID(SUBSTITUTE(F49,";",REPT(" ",99)),1,99))="","",IFERROR(VLOOKUP(--LEFT(TRIM(MID(SUBSTITUTE(F49,";",REPT(" ",99)),1,99)),FIND(":",TRIM(MID(SUBSTITUTE(F49,";",REPT(" ",99)),1,99)))-1),_Lookup!$A:$B,2,FALSE),"?")&amp;"×"&amp;MID(TRIM(MID(SUBSTITUTE(F49,";",REPT(" ",99)),1,99)),FIND(":",TRIM(MID(SUBSTITUTE(F49,";",REPT(" ",99)),1,99)))+1,99)),IF(TRIM(MID(SUBSTITUTE(F49,";",REPT(" ",99)),100,99))="","",IFERROR(VLOOKUP(--LEFT(TRIM(MID(SUBSTITUTE(F49,";",REPT(" ",99)),100,99)),FIND(":",TRIM(MID(SUBSTITUTE(F49,";",REPT(" ",99)),100,99)))-1),_Lookup!$A:$B,2,FALSE),"?")&amp;"×"&amp;MID(TRIM(MID(SUBSTITUTE(F49,";",REPT(" ",99)),100,99)),FIND(":",TRIM(MID(SUBSTITUTE(F49,";",REPT(" ",99)),100,99)))+1,99)),IF(TRIM(MID(SUBSTITUTE(F49,";",REPT(" ",99)),199,99))="","",IFERROR(VLOOKUP(--LEFT(TRIM(MID(SUBSTITUTE(F49,";",REPT(" ",99)),199,99)),FIND(":",TRIM(MID(SUBSTITUTE(F49,";",REPT(" ",99)),199,99)))-1),_Lookup!$A:$B,2,FALSE),"?")&amp;"×"&amp;MID(TRIM(MID(SUBSTITUTE(F49,";",REPT(" ",99)),199,99)),FIND(":",TRIM(MID(SUBSTITUTE(F49,";",REPT(" ",99)),199,99)))+1,99)),IF(TRIM(MID(SUBSTITUTE(F49,";",REPT(" ",99)),298,99))="","",IFERROR(VLOOKUP(--LEFT(TRIM(MID(SUBSTITUTE(F49,";",REPT(" ",99)),298,99)),FIND(":",TRIM(MID(SUBSTITUTE(F49,";",REPT(" ",99)),298,99)))-1),_Lookup!$A:$B,2,FALSE),"?")&amp;"×"&amp;MID(TRIM(MID(SUBSTITUTE(F49,";",REPT(" ",99)),298,99)),FIND(":",TRIM(MID(SUBSTITUTE(F49,";",REPT(" ",99)),298,99)))+1,99)),IF(TRIM(MID(SUBSTITUTE(F49,";",REPT(" ",99)),397,99))="","",IFERROR(VLOOKUP(--LEFT(TRIM(MID(SUBSTITUTE(F49,";",REPT(" ",99)),397,99)),FIND(":",TRIM(MID(SUBSTITUTE(F49,";",REPT(" ",99)),397,99)))-1),_Lookup!$A:$B,2,FALSE),"?")&amp;"×"&amp;MID(TRIM(MID(SUBSTITUTE(F49,";",REPT(" ",99)),397,99)),FIND(":",TRIM(MID(SUBSTITUTE(F49,";",REPT(" ",99)),397,99)))+1,99))))</f>
        <v/>
      </c>
    </row>
    <row r="50">
      <c r="C50" s="11">
        <f>IFERROR(VLOOKUP(B50,StageData!$A:$B,2,FALSE),"")</f>
        <v/>
      </c>
      <c r="G50" s="11">
        <f>IF(F50="","",TEXTJOIN("; ",TRUE,IF(TRIM(MID(SUBSTITUTE(F50,";",REPT(" ",99)),1,99))="","",IFERROR(VLOOKUP(--LEFT(TRIM(MID(SUBSTITUTE(F50,";",REPT(" ",99)),1,99)),FIND(":",TRIM(MID(SUBSTITUTE(F50,";",REPT(" ",99)),1,99)))-1),_Lookup!$A:$B,2,FALSE),"?")&amp;"×"&amp;MID(TRIM(MID(SUBSTITUTE(F50,";",REPT(" ",99)),1,99)),FIND(":",TRIM(MID(SUBSTITUTE(F50,";",REPT(" ",99)),1,99)))+1,99)),IF(TRIM(MID(SUBSTITUTE(F50,";",REPT(" ",99)),100,99))="","",IFERROR(VLOOKUP(--LEFT(TRIM(MID(SUBSTITUTE(F50,";",REPT(" ",99)),100,99)),FIND(":",TRIM(MID(SUBSTITUTE(F50,";",REPT(" ",99)),100,99)))-1),_Lookup!$A:$B,2,FALSE),"?")&amp;"×"&amp;MID(TRIM(MID(SUBSTITUTE(F50,";",REPT(" ",99)),100,99)),FIND(":",TRIM(MID(SUBSTITUTE(F50,";",REPT(" ",99)),100,99)))+1,99)),IF(TRIM(MID(SUBSTITUTE(F50,";",REPT(" ",99)),199,99))="","",IFERROR(VLOOKUP(--LEFT(TRIM(MID(SUBSTITUTE(F50,";",REPT(" ",99)),199,99)),FIND(":",TRIM(MID(SUBSTITUTE(F50,";",REPT(" ",99)),199,99)))-1),_Lookup!$A:$B,2,FALSE),"?")&amp;"×"&amp;MID(TRIM(MID(SUBSTITUTE(F50,";",REPT(" ",99)),199,99)),FIND(":",TRIM(MID(SUBSTITUTE(F50,";",REPT(" ",99)),199,99)))+1,99)),IF(TRIM(MID(SUBSTITUTE(F50,";",REPT(" ",99)),298,99))="","",IFERROR(VLOOKUP(--LEFT(TRIM(MID(SUBSTITUTE(F50,";",REPT(" ",99)),298,99)),FIND(":",TRIM(MID(SUBSTITUTE(F50,";",REPT(" ",99)),298,99)))-1),_Lookup!$A:$B,2,FALSE),"?")&amp;"×"&amp;MID(TRIM(MID(SUBSTITUTE(F50,";",REPT(" ",99)),298,99)),FIND(":",TRIM(MID(SUBSTITUTE(F50,";",REPT(" ",99)),298,99)))+1,99)),IF(TRIM(MID(SUBSTITUTE(F50,";",REPT(" ",99)),397,99))="","",IFERROR(VLOOKUP(--LEFT(TRIM(MID(SUBSTITUTE(F50,";",REPT(" ",99)),397,99)),FIND(":",TRIM(MID(SUBSTITUTE(F50,";",REPT(" ",99)),397,99)))-1),_Lookup!$A:$B,2,FALSE),"?")&amp;"×"&amp;MID(TRIM(MID(SUBSTITUTE(F50,";",REPT(" ",99)),397,99)),FIND(":",TRIM(MID(SUBSTITUTE(F50,";",REPT(" ",99)),397,99)))+1,99))))</f>
        <v/>
      </c>
    </row>
    <row r="51">
      <c r="C51" s="11">
        <f>IFERROR(VLOOKUP(B51,StageData!$A:$B,2,FALSE),"")</f>
        <v/>
      </c>
      <c r="G51" s="11">
        <f>IF(F51="","",TEXTJOIN("; ",TRUE,IF(TRIM(MID(SUBSTITUTE(F51,";",REPT(" ",99)),1,99))="","",IFERROR(VLOOKUP(--LEFT(TRIM(MID(SUBSTITUTE(F51,";",REPT(" ",99)),1,99)),FIND(":",TRIM(MID(SUBSTITUTE(F51,";",REPT(" ",99)),1,99)))-1),_Lookup!$A:$B,2,FALSE),"?")&amp;"×"&amp;MID(TRIM(MID(SUBSTITUTE(F51,";",REPT(" ",99)),1,99)),FIND(":",TRIM(MID(SUBSTITUTE(F51,";",REPT(" ",99)),1,99)))+1,99)),IF(TRIM(MID(SUBSTITUTE(F51,";",REPT(" ",99)),100,99))="","",IFERROR(VLOOKUP(--LEFT(TRIM(MID(SUBSTITUTE(F51,";",REPT(" ",99)),100,99)),FIND(":",TRIM(MID(SUBSTITUTE(F51,";",REPT(" ",99)),100,99)))-1),_Lookup!$A:$B,2,FALSE),"?")&amp;"×"&amp;MID(TRIM(MID(SUBSTITUTE(F51,";",REPT(" ",99)),100,99)),FIND(":",TRIM(MID(SUBSTITUTE(F51,";",REPT(" ",99)),100,99)))+1,99)),IF(TRIM(MID(SUBSTITUTE(F51,";",REPT(" ",99)),199,99))="","",IFERROR(VLOOKUP(--LEFT(TRIM(MID(SUBSTITUTE(F51,";",REPT(" ",99)),199,99)),FIND(":",TRIM(MID(SUBSTITUTE(F51,";",REPT(" ",99)),199,99)))-1),_Lookup!$A:$B,2,FALSE),"?")&amp;"×"&amp;MID(TRIM(MID(SUBSTITUTE(F51,";",REPT(" ",99)),199,99)),FIND(":",TRIM(MID(SUBSTITUTE(F51,";",REPT(" ",99)),199,99)))+1,99)),IF(TRIM(MID(SUBSTITUTE(F51,";",REPT(" ",99)),298,99))="","",IFERROR(VLOOKUP(--LEFT(TRIM(MID(SUBSTITUTE(F51,";",REPT(" ",99)),298,99)),FIND(":",TRIM(MID(SUBSTITUTE(F51,";",REPT(" ",99)),298,99)))-1),_Lookup!$A:$B,2,FALSE),"?")&amp;"×"&amp;MID(TRIM(MID(SUBSTITUTE(F51,";",REPT(" ",99)),298,99)),FIND(":",TRIM(MID(SUBSTITUTE(F51,";",REPT(" ",99)),298,99)))+1,99)),IF(TRIM(MID(SUBSTITUTE(F51,";",REPT(" ",99)),397,99))="","",IFERROR(VLOOKUP(--LEFT(TRIM(MID(SUBSTITUTE(F51,";",REPT(" ",99)),397,99)),FIND(":",TRIM(MID(SUBSTITUTE(F51,";",REPT(" ",99)),397,99)))-1),_Lookup!$A:$B,2,FALSE),"?")&amp;"×"&amp;MID(TRIM(MID(SUBSTITUTE(F51,";",REPT(" ",99)),397,99)),FIND(":",TRIM(MID(SUBSTITUTE(F51,";",REPT(" ",99)),397,99)))+1,99))))</f>
        <v/>
      </c>
    </row>
    <row r="52">
      <c r="C52" s="11">
        <f>IFERROR(VLOOKUP(B52,StageData!$A:$B,2,FALSE),"")</f>
        <v/>
      </c>
      <c r="G52" s="11">
        <f>IF(F52="","",TEXTJOIN("; ",TRUE,IF(TRIM(MID(SUBSTITUTE(F52,";",REPT(" ",99)),1,99))="","",IFERROR(VLOOKUP(--LEFT(TRIM(MID(SUBSTITUTE(F52,";",REPT(" ",99)),1,99)),FIND(":",TRIM(MID(SUBSTITUTE(F52,";",REPT(" ",99)),1,99)))-1),_Lookup!$A:$B,2,FALSE),"?")&amp;"×"&amp;MID(TRIM(MID(SUBSTITUTE(F52,";",REPT(" ",99)),1,99)),FIND(":",TRIM(MID(SUBSTITUTE(F52,";",REPT(" ",99)),1,99)))+1,99)),IF(TRIM(MID(SUBSTITUTE(F52,";",REPT(" ",99)),100,99))="","",IFERROR(VLOOKUP(--LEFT(TRIM(MID(SUBSTITUTE(F52,";",REPT(" ",99)),100,99)),FIND(":",TRIM(MID(SUBSTITUTE(F52,";",REPT(" ",99)),100,99)))-1),_Lookup!$A:$B,2,FALSE),"?")&amp;"×"&amp;MID(TRIM(MID(SUBSTITUTE(F52,";",REPT(" ",99)),100,99)),FIND(":",TRIM(MID(SUBSTITUTE(F52,";",REPT(" ",99)),100,99)))+1,99)),IF(TRIM(MID(SUBSTITUTE(F52,";",REPT(" ",99)),199,99))="","",IFERROR(VLOOKUP(--LEFT(TRIM(MID(SUBSTITUTE(F52,";",REPT(" ",99)),199,99)),FIND(":",TRIM(MID(SUBSTITUTE(F52,";",REPT(" ",99)),199,99)))-1),_Lookup!$A:$B,2,FALSE),"?")&amp;"×"&amp;MID(TRIM(MID(SUBSTITUTE(F52,";",REPT(" ",99)),199,99)),FIND(":",TRIM(MID(SUBSTITUTE(F52,";",REPT(" ",99)),199,99)))+1,99)),IF(TRIM(MID(SUBSTITUTE(F52,";",REPT(" ",99)),298,99))="","",IFERROR(VLOOKUP(--LEFT(TRIM(MID(SUBSTITUTE(F52,";",REPT(" ",99)),298,99)),FIND(":",TRIM(MID(SUBSTITUTE(F52,";",REPT(" ",99)),298,99)))-1),_Lookup!$A:$B,2,FALSE),"?")&amp;"×"&amp;MID(TRIM(MID(SUBSTITUTE(F52,";",REPT(" ",99)),298,99)),FIND(":",TRIM(MID(SUBSTITUTE(F52,";",REPT(" ",99)),298,99)))+1,99)),IF(TRIM(MID(SUBSTITUTE(F52,";",REPT(" ",99)),397,99))="","",IFERROR(VLOOKUP(--LEFT(TRIM(MID(SUBSTITUTE(F52,";",REPT(" ",99)),397,99)),FIND(":",TRIM(MID(SUBSTITUTE(F52,";",REPT(" ",99)),397,99)))-1),_Lookup!$A:$B,2,FALSE),"?")&amp;"×"&amp;MID(TRIM(MID(SUBSTITUTE(F52,";",REPT(" ",99)),397,99)),FIND(":",TRIM(MID(SUBSTITUTE(F52,";",REPT(" ",99)),397,99)))+1,99))))</f>
        <v/>
      </c>
    </row>
    <row r="53">
      <c r="C53" s="11">
        <f>IFERROR(VLOOKUP(B53,StageData!$A:$B,2,FALSE),"")</f>
        <v/>
      </c>
      <c r="G53" s="11">
        <f>IF(F53="","",TEXTJOIN("; ",TRUE,IF(TRIM(MID(SUBSTITUTE(F53,";",REPT(" ",99)),1,99))="","",IFERROR(VLOOKUP(--LEFT(TRIM(MID(SUBSTITUTE(F53,";",REPT(" ",99)),1,99)),FIND(":",TRIM(MID(SUBSTITUTE(F53,";",REPT(" ",99)),1,99)))-1),_Lookup!$A:$B,2,FALSE),"?")&amp;"×"&amp;MID(TRIM(MID(SUBSTITUTE(F53,";",REPT(" ",99)),1,99)),FIND(":",TRIM(MID(SUBSTITUTE(F53,";",REPT(" ",99)),1,99)))+1,99)),IF(TRIM(MID(SUBSTITUTE(F53,";",REPT(" ",99)),100,99))="","",IFERROR(VLOOKUP(--LEFT(TRIM(MID(SUBSTITUTE(F53,";",REPT(" ",99)),100,99)),FIND(":",TRIM(MID(SUBSTITUTE(F53,";",REPT(" ",99)),100,99)))-1),_Lookup!$A:$B,2,FALSE),"?")&amp;"×"&amp;MID(TRIM(MID(SUBSTITUTE(F53,";",REPT(" ",99)),100,99)),FIND(":",TRIM(MID(SUBSTITUTE(F53,";",REPT(" ",99)),100,99)))+1,99)),IF(TRIM(MID(SUBSTITUTE(F53,";",REPT(" ",99)),199,99))="","",IFERROR(VLOOKUP(--LEFT(TRIM(MID(SUBSTITUTE(F53,";",REPT(" ",99)),199,99)),FIND(":",TRIM(MID(SUBSTITUTE(F53,";",REPT(" ",99)),199,99)))-1),_Lookup!$A:$B,2,FALSE),"?")&amp;"×"&amp;MID(TRIM(MID(SUBSTITUTE(F53,";",REPT(" ",99)),199,99)),FIND(":",TRIM(MID(SUBSTITUTE(F53,";",REPT(" ",99)),199,99)))+1,99)),IF(TRIM(MID(SUBSTITUTE(F53,";",REPT(" ",99)),298,99))="","",IFERROR(VLOOKUP(--LEFT(TRIM(MID(SUBSTITUTE(F53,";",REPT(" ",99)),298,99)),FIND(":",TRIM(MID(SUBSTITUTE(F53,";",REPT(" ",99)),298,99)))-1),_Lookup!$A:$B,2,FALSE),"?")&amp;"×"&amp;MID(TRIM(MID(SUBSTITUTE(F53,";",REPT(" ",99)),298,99)),FIND(":",TRIM(MID(SUBSTITUTE(F53,";",REPT(" ",99)),298,99)))+1,99)),IF(TRIM(MID(SUBSTITUTE(F53,";",REPT(" ",99)),397,99))="","",IFERROR(VLOOKUP(--LEFT(TRIM(MID(SUBSTITUTE(F53,";",REPT(" ",99)),397,99)),FIND(":",TRIM(MID(SUBSTITUTE(F53,";",REPT(" ",99)),397,99)))-1),_Lookup!$A:$B,2,FALSE),"?")&amp;"×"&amp;MID(TRIM(MID(SUBSTITUTE(F53,";",REPT(" ",99)),397,99)),FIND(":",TRIM(MID(SUBSTITUTE(F53,";",REPT(" ",99)),397,99)))+1,99))))</f>
        <v/>
      </c>
    </row>
    <row r="54">
      <c r="C54" s="11">
        <f>IFERROR(VLOOKUP(B54,StageData!$A:$B,2,FALSE),"")</f>
        <v/>
      </c>
      <c r="G54" s="11">
        <f>IF(F54="","",TEXTJOIN("; ",TRUE,IF(TRIM(MID(SUBSTITUTE(F54,";",REPT(" ",99)),1,99))="","",IFERROR(VLOOKUP(--LEFT(TRIM(MID(SUBSTITUTE(F54,";",REPT(" ",99)),1,99)),FIND(":",TRIM(MID(SUBSTITUTE(F54,";",REPT(" ",99)),1,99)))-1),_Lookup!$A:$B,2,FALSE),"?")&amp;"×"&amp;MID(TRIM(MID(SUBSTITUTE(F54,";",REPT(" ",99)),1,99)),FIND(":",TRIM(MID(SUBSTITUTE(F54,";",REPT(" ",99)),1,99)))+1,99)),IF(TRIM(MID(SUBSTITUTE(F54,";",REPT(" ",99)),100,99))="","",IFERROR(VLOOKUP(--LEFT(TRIM(MID(SUBSTITUTE(F54,";",REPT(" ",99)),100,99)),FIND(":",TRIM(MID(SUBSTITUTE(F54,";",REPT(" ",99)),100,99)))-1),_Lookup!$A:$B,2,FALSE),"?")&amp;"×"&amp;MID(TRIM(MID(SUBSTITUTE(F54,";",REPT(" ",99)),100,99)),FIND(":",TRIM(MID(SUBSTITUTE(F54,";",REPT(" ",99)),100,99)))+1,99)),IF(TRIM(MID(SUBSTITUTE(F54,";",REPT(" ",99)),199,99))="","",IFERROR(VLOOKUP(--LEFT(TRIM(MID(SUBSTITUTE(F54,";",REPT(" ",99)),199,99)),FIND(":",TRIM(MID(SUBSTITUTE(F54,";",REPT(" ",99)),199,99)))-1),_Lookup!$A:$B,2,FALSE),"?")&amp;"×"&amp;MID(TRIM(MID(SUBSTITUTE(F54,";",REPT(" ",99)),199,99)),FIND(":",TRIM(MID(SUBSTITUTE(F54,";",REPT(" ",99)),199,99)))+1,99)),IF(TRIM(MID(SUBSTITUTE(F54,";",REPT(" ",99)),298,99))="","",IFERROR(VLOOKUP(--LEFT(TRIM(MID(SUBSTITUTE(F54,";",REPT(" ",99)),298,99)),FIND(":",TRIM(MID(SUBSTITUTE(F54,";",REPT(" ",99)),298,99)))-1),_Lookup!$A:$B,2,FALSE),"?")&amp;"×"&amp;MID(TRIM(MID(SUBSTITUTE(F54,";",REPT(" ",99)),298,99)),FIND(":",TRIM(MID(SUBSTITUTE(F54,";",REPT(" ",99)),298,99)))+1,99)),IF(TRIM(MID(SUBSTITUTE(F54,";",REPT(" ",99)),397,99))="","",IFERROR(VLOOKUP(--LEFT(TRIM(MID(SUBSTITUTE(F54,";",REPT(" ",99)),397,99)),FIND(":",TRIM(MID(SUBSTITUTE(F54,";",REPT(" ",99)),397,99)))-1),_Lookup!$A:$B,2,FALSE),"?")&amp;"×"&amp;MID(TRIM(MID(SUBSTITUTE(F54,";",REPT(" ",99)),397,99)),FIND(":",TRIM(MID(SUBSTITUTE(F54,";",REPT(" ",99)),397,99)))+1,99))))</f>
        <v/>
      </c>
    </row>
    <row r="55">
      <c r="C55" s="11">
        <f>IFERROR(VLOOKUP(B55,StageData!$A:$B,2,FALSE),"")</f>
        <v/>
      </c>
      <c r="G55" s="11">
        <f>IF(F55="","",TEXTJOIN("; ",TRUE,IF(TRIM(MID(SUBSTITUTE(F55,";",REPT(" ",99)),1,99))="","",IFERROR(VLOOKUP(--LEFT(TRIM(MID(SUBSTITUTE(F55,";",REPT(" ",99)),1,99)),FIND(":",TRIM(MID(SUBSTITUTE(F55,";",REPT(" ",99)),1,99)))-1),_Lookup!$A:$B,2,FALSE),"?")&amp;"×"&amp;MID(TRIM(MID(SUBSTITUTE(F55,";",REPT(" ",99)),1,99)),FIND(":",TRIM(MID(SUBSTITUTE(F55,";",REPT(" ",99)),1,99)))+1,99)),IF(TRIM(MID(SUBSTITUTE(F55,";",REPT(" ",99)),100,99))="","",IFERROR(VLOOKUP(--LEFT(TRIM(MID(SUBSTITUTE(F55,";",REPT(" ",99)),100,99)),FIND(":",TRIM(MID(SUBSTITUTE(F55,";",REPT(" ",99)),100,99)))-1),_Lookup!$A:$B,2,FALSE),"?")&amp;"×"&amp;MID(TRIM(MID(SUBSTITUTE(F55,";",REPT(" ",99)),100,99)),FIND(":",TRIM(MID(SUBSTITUTE(F55,";",REPT(" ",99)),100,99)))+1,99)),IF(TRIM(MID(SUBSTITUTE(F55,";",REPT(" ",99)),199,99))="","",IFERROR(VLOOKUP(--LEFT(TRIM(MID(SUBSTITUTE(F55,";",REPT(" ",99)),199,99)),FIND(":",TRIM(MID(SUBSTITUTE(F55,";",REPT(" ",99)),199,99)))-1),_Lookup!$A:$B,2,FALSE),"?")&amp;"×"&amp;MID(TRIM(MID(SUBSTITUTE(F55,";",REPT(" ",99)),199,99)),FIND(":",TRIM(MID(SUBSTITUTE(F55,";",REPT(" ",99)),199,99)))+1,99)),IF(TRIM(MID(SUBSTITUTE(F55,";",REPT(" ",99)),298,99))="","",IFERROR(VLOOKUP(--LEFT(TRIM(MID(SUBSTITUTE(F55,";",REPT(" ",99)),298,99)),FIND(":",TRIM(MID(SUBSTITUTE(F55,";",REPT(" ",99)),298,99)))-1),_Lookup!$A:$B,2,FALSE),"?")&amp;"×"&amp;MID(TRIM(MID(SUBSTITUTE(F55,";",REPT(" ",99)),298,99)),FIND(":",TRIM(MID(SUBSTITUTE(F55,";",REPT(" ",99)),298,99)))+1,99)),IF(TRIM(MID(SUBSTITUTE(F55,";",REPT(" ",99)),397,99))="","",IFERROR(VLOOKUP(--LEFT(TRIM(MID(SUBSTITUTE(F55,";",REPT(" ",99)),397,99)),FIND(":",TRIM(MID(SUBSTITUTE(F55,";",REPT(" ",99)),397,99)))-1),_Lookup!$A:$B,2,FALSE),"?")&amp;"×"&amp;MID(TRIM(MID(SUBSTITUTE(F55,";",REPT(" ",99)),397,99)),FIND(":",TRIM(MID(SUBSTITUTE(F55,";",REPT(" ",99)),397,99)))+1,99))))</f>
        <v/>
      </c>
    </row>
    <row r="56">
      <c r="C56" s="11">
        <f>IFERROR(VLOOKUP(B56,StageData!$A:$B,2,FALSE),"")</f>
        <v/>
      </c>
      <c r="G56" s="11">
        <f>IF(F56="","",TEXTJOIN("; ",TRUE,IF(TRIM(MID(SUBSTITUTE(F56,";",REPT(" ",99)),1,99))="","",IFERROR(VLOOKUP(--LEFT(TRIM(MID(SUBSTITUTE(F56,";",REPT(" ",99)),1,99)),FIND(":",TRIM(MID(SUBSTITUTE(F56,";",REPT(" ",99)),1,99)))-1),_Lookup!$A:$B,2,FALSE),"?")&amp;"×"&amp;MID(TRIM(MID(SUBSTITUTE(F56,";",REPT(" ",99)),1,99)),FIND(":",TRIM(MID(SUBSTITUTE(F56,";",REPT(" ",99)),1,99)))+1,99)),IF(TRIM(MID(SUBSTITUTE(F56,";",REPT(" ",99)),100,99))="","",IFERROR(VLOOKUP(--LEFT(TRIM(MID(SUBSTITUTE(F56,";",REPT(" ",99)),100,99)),FIND(":",TRIM(MID(SUBSTITUTE(F56,";",REPT(" ",99)),100,99)))-1),_Lookup!$A:$B,2,FALSE),"?")&amp;"×"&amp;MID(TRIM(MID(SUBSTITUTE(F56,";",REPT(" ",99)),100,99)),FIND(":",TRIM(MID(SUBSTITUTE(F56,";",REPT(" ",99)),100,99)))+1,99)),IF(TRIM(MID(SUBSTITUTE(F56,";",REPT(" ",99)),199,99))="","",IFERROR(VLOOKUP(--LEFT(TRIM(MID(SUBSTITUTE(F56,";",REPT(" ",99)),199,99)),FIND(":",TRIM(MID(SUBSTITUTE(F56,";",REPT(" ",99)),199,99)))-1),_Lookup!$A:$B,2,FALSE),"?")&amp;"×"&amp;MID(TRIM(MID(SUBSTITUTE(F56,";",REPT(" ",99)),199,99)),FIND(":",TRIM(MID(SUBSTITUTE(F56,";",REPT(" ",99)),199,99)))+1,99)),IF(TRIM(MID(SUBSTITUTE(F56,";",REPT(" ",99)),298,99))="","",IFERROR(VLOOKUP(--LEFT(TRIM(MID(SUBSTITUTE(F56,";",REPT(" ",99)),298,99)),FIND(":",TRIM(MID(SUBSTITUTE(F56,";",REPT(" ",99)),298,99)))-1),_Lookup!$A:$B,2,FALSE),"?")&amp;"×"&amp;MID(TRIM(MID(SUBSTITUTE(F56,";",REPT(" ",99)),298,99)),FIND(":",TRIM(MID(SUBSTITUTE(F56,";",REPT(" ",99)),298,99)))+1,99)),IF(TRIM(MID(SUBSTITUTE(F56,";",REPT(" ",99)),397,99))="","",IFERROR(VLOOKUP(--LEFT(TRIM(MID(SUBSTITUTE(F56,";",REPT(" ",99)),397,99)),FIND(":",TRIM(MID(SUBSTITUTE(F56,";",REPT(" ",99)),397,99)))-1),_Lookup!$A:$B,2,FALSE),"?")&amp;"×"&amp;MID(TRIM(MID(SUBSTITUTE(F56,";",REPT(" ",99)),397,99)),FIND(":",TRIM(MID(SUBSTITUTE(F56,";",REPT(" ",99)),397,99)))+1,99))))</f>
        <v/>
      </c>
    </row>
    <row r="57">
      <c r="C57" s="11">
        <f>IFERROR(VLOOKUP(B57,StageData!$A:$B,2,FALSE),"")</f>
        <v/>
      </c>
      <c r="G57" s="11">
        <f>IF(F57="","",TEXTJOIN("; ",TRUE,IF(TRIM(MID(SUBSTITUTE(F57,";",REPT(" ",99)),1,99))="","",IFERROR(VLOOKUP(--LEFT(TRIM(MID(SUBSTITUTE(F57,";",REPT(" ",99)),1,99)),FIND(":",TRIM(MID(SUBSTITUTE(F57,";",REPT(" ",99)),1,99)))-1),_Lookup!$A:$B,2,FALSE),"?")&amp;"×"&amp;MID(TRIM(MID(SUBSTITUTE(F57,";",REPT(" ",99)),1,99)),FIND(":",TRIM(MID(SUBSTITUTE(F57,";",REPT(" ",99)),1,99)))+1,99)),IF(TRIM(MID(SUBSTITUTE(F57,";",REPT(" ",99)),100,99))="","",IFERROR(VLOOKUP(--LEFT(TRIM(MID(SUBSTITUTE(F57,";",REPT(" ",99)),100,99)),FIND(":",TRIM(MID(SUBSTITUTE(F57,";",REPT(" ",99)),100,99)))-1),_Lookup!$A:$B,2,FALSE),"?")&amp;"×"&amp;MID(TRIM(MID(SUBSTITUTE(F57,";",REPT(" ",99)),100,99)),FIND(":",TRIM(MID(SUBSTITUTE(F57,";",REPT(" ",99)),100,99)))+1,99)),IF(TRIM(MID(SUBSTITUTE(F57,";",REPT(" ",99)),199,99))="","",IFERROR(VLOOKUP(--LEFT(TRIM(MID(SUBSTITUTE(F57,";",REPT(" ",99)),199,99)),FIND(":",TRIM(MID(SUBSTITUTE(F57,";",REPT(" ",99)),199,99)))-1),_Lookup!$A:$B,2,FALSE),"?")&amp;"×"&amp;MID(TRIM(MID(SUBSTITUTE(F57,";",REPT(" ",99)),199,99)),FIND(":",TRIM(MID(SUBSTITUTE(F57,";",REPT(" ",99)),199,99)))+1,99)),IF(TRIM(MID(SUBSTITUTE(F57,";",REPT(" ",99)),298,99))="","",IFERROR(VLOOKUP(--LEFT(TRIM(MID(SUBSTITUTE(F57,";",REPT(" ",99)),298,99)),FIND(":",TRIM(MID(SUBSTITUTE(F57,";",REPT(" ",99)),298,99)))-1),_Lookup!$A:$B,2,FALSE),"?")&amp;"×"&amp;MID(TRIM(MID(SUBSTITUTE(F57,";",REPT(" ",99)),298,99)),FIND(":",TRIM(MID(SUBSTITUTE(F57,";",REPT(" ",99)),298,99)))+1,99)),IF(TRIM(MID(SUBSTITUTE(F57,";",REPT(" ",99)),397,99))="","",IFERROR(VLOOKUP(--LEFT(TRIM(MID(SUBSTITUTE(F57,";",REPT(" ",99)),397,99)),FIND(":",TRIM(MID(SUBSTITUTE(F57,";",REPT(" ",99)),397,99)))-1),_Lookup!$A:$B,2,FALSE),"?")&amp;"×"&amp;MID(TRIM(MID(SUBSTITUTE(F57,";",REPT(" ",99)),397,99)),FIND(":",TRIM(MID(SUBSTITUTE(F57,";",REPT(" ",99)),397,99)))+1,99))))</f>
        <v/>
      </c>
    </row>
    <row r="58">
      <c r="C58" s="11">
        <f>IFERROR(VLOOKUP(B58,StageData!$A:$B,2,FALSE),"")</f>
        <v/>
      </c>
      <c r="G58" s="11">
        <f>IF(F58="","",TEXTJOIN("; ",TRUE,IF(TRIM(MID(SUBSTITUTE(F58,";",REPT(" ",99)),1,99))="","",IFERROR(VLOOKUP(--LEFT(TRIM(MID(SUBSTITUTE(F58,";",REPT(" ",99)),1,99)),FIND(":",TRIM(MID(SUBSTITUTE(F58,";",REPT(" ",99)),1,99)))-1),_Lookup!$A:$B,2,FALSE),"?")&amp;"×"&amp;MID(TRIM(MID(SUBSTITUTE(F58,";",REPT(" ",99)),1,99)),FIND(":",TRIM(MID(SUBSTITUTE(F58,";",REPT(" ",99)),1,99)))+1,99)),IF(TRIM(MID(SUBSTITUTE(F58,";",REPT(" ",99)),100,99))="","",IFERROR(VLOOKUP(--LEFT(TRIM(MID(SUBSTITUTE(F58,";",REPT(" ",99)),100,99)),FIND(":",TRIM(MID(SUBSTITUTE(F58,";",REPT(" ",99)),100,99)))-1),_Lookup!$A:$B,2,FALSE),"?")&amp;"×"&amp;MID(TRIM(MID(SUBSTITUTE(F58,";",REPT(" ",99)),100,99)),FIND(":",TRIM(MID(SUBSTITUTE(F58,";",REPT(" ",99)),100,99)))+1,99)),IF(TRIM(MID(SUBSTITUTE(F58,";",REPT(" ",99)),199,99))="","",IFERROR(VLOOKUP(--LEFT(TRIM(MID(SUBSTITUTE(F58,";",REPT(" ",99)),199,99)),FIND(":",TRIM(MID(SUBSTITUTE(F58,";",REPT(" ",99)),199,99)))-1),_Lookup!$A:$B,2,FALSE),"?")&amp;"×"&amp;MID(TRIM(MID(SUBSTITUTE(F58,";",REPT(" ",99)),199,99)),FIND(":",TRIM(MID(SUBSTITUTE(F58,";",REPT(" ",99)),199,99)))+1,99)),IF(TRIM(MID(SUBSTITUTE(F58,";",REPT(" ",99)),298,99))="","",IFERROR(VLOOKUP(--LEFT(TRIM(MID(SUBSTITUTE(F58,";",REPT(" ",99)),298,99)),FIND(":",TRIM(MID(SUBSTITUTE(F58,";",REPT(" ",99)),298,99)))-1),_Lookup!$A:$B,2,FALSE),"?")&amp;"×"&amp;MID(TRIM(MID(SUBSTITUTE(F58,";",REPT(" ",99)),298,99)),FIND(":",TRIM(MID(SUBSTITUTE(F58,";",REPT(" ",99)),298,99)))+1,99)),IF(TRIM(MID(SUBSTITUTE(F58,";",REPT(" ",99)),397,99))="","",IFERROR(VLOOKUP(--LEFT(TRIM(MID(SUBSTITUTE(F58,";",REPT(" ",99)),397,99)),FIND(":",TRIM(MID(SUBSTITUTE(F58,";",REPT(" ",99)),397,99)))-1),_Lookup!$A:$B,2,FALSE),"?")&amp;"×"&amp;MID(TRIM(MID(SUBSTITUTE(F58,";",REPT(" ",99)),397,99)),FIND(":",TRIM(MID(SUBSTITUTE(F58,";",REPT(" ",99)),397,99)))+1,99))))</f>
        <v/>
      </c>
    </row>
    <row r="59">
      <c r="C59" s="11">
        <f>IFERROR(VLOOKUP(B59,StageData!$A:$B,2,FALSE),"")</f>
        <v/>
      </c>
      <c r="G59" s="11">
        <f>IF(F59="","",TEXTJOIN("; ",TRUE,IF(TRIM(MID(SUBSTITUTE(F59,";",REPT(" ",99)),1,99))="","",IFERROR(VLOOKUP(--LEFT(TRIM(MID(SUBSTITUTE(F59,";",REPT(" ",99)),1,99)),FIND(":",TRIM(MID(SUBSTITUTE(F59,";",REPT(" ",99)),1,99)))-1),_Lookup!$A:$B,2,FALSE),"?")&amp;"×"&amp;MID(TRIM(MID(SUBSTITUTE(F59,";",REPT(" ",99)),1,99)),FIND(":",TRIM(MID(SUBSTITUTE(F59,";",REPT(" ",99)),1,99)))+1,99)),IF(TRIM(MID(SUBSTITUTE(F59,";",REPT(" ",99)),100,99))="","",IFERROR(VLOOKUP(--LEFT(TRIM(MID(SUBSTITUTE(F59,";",REPT(" ",99)),100,99)),FIND(":",TRIM(MID(SUBSTITUTE(F59,";",REPT(" ",99)),100,99)))-1),_Lookup!$A:$B,2,FALSE),"?")&amp;"×"&amp;MID(TRIM(MID(SUBSTITUTE(F59,";",REPT(" ",99)),100,99)),FIND(":",TRIM(MID(SUBSTITUTE(F59,";",REPT(" ",99)),100,99)))+1,99)),IF(TRIM(MID(SUBSTITUTE(F59,";",REPT(" ",99)),199,99))="","",IFERROR(VLOOKUP(--LEFT(TRIM(MID(SUBSTITUTE(F59,";",REPT(" ",99)),199,99)),FIND(":",TRIM(MID(SUBSTITUTE(F59,";",REPT(" ",99)),199,99)))-1),_Lookup!$A:$B,2,FALSE),"?")&amp;"×"&amp;MID(TRIM(MID(SUBSTITUTE(F59,";",REPT(" ",99)),199,99)),FIND(":",TRIM(MID(SUBSTITUTE(F59,";",REPT(" ",99)),199,99)))+1,99)),IF(TRIM(MID(SUBSTITUTE(F59,";",REPT(" ",99)),298,99))="","",IFERROR(VLOOKUP(--LEFT(TRIM(MID(SUBSTITUTE(F59,";",REPT(" ",99)),298,99)),FIND(":",TRIM(MID(SUBSTITUTE(F59,";",REPT(" ",99)),298,99)))-1),_Lookup!$A:$B,2,FALSE),"?")&amp;"×"&amp;MID(TRIM(MID(SUBSTITUTE(F59,";",REPT(" ",99)),298,99)),FIND(":",TRIM(MID(SUBSTITUTE(F59,";",REPT(" ",99)),298,99)))+1,99)),IF(TRIM(MID(SUBSTITUTE(F59,";",REPT(" ",99)),397,99))="","",IFERROR(VLOOKUP(--LEFT(TRIM(MID(SUBSTITUTE(F59,";",REPT(" ",99)),397,99)),FIND(":",TRIM(MID(SUBSTITUTE(F59,";",REPT(" ",99)),397,99)))-1),_Lookup!$A:$B,2,FALSE),"?")&amp;"×"&amp;MID(TRIM(MID(SUBSTITUTE(F59,";",REPT(" ",99)),397,99)),FIND(":",TRIM(MID(SUBSTITUTE(F59,";",REPT(" ",99)),397,99)))+1,99))))</f>
        <v/>
      </c>
    </row>
    <row r="60">
      <c r="C60" s="11">
        <f>IFERROR(VLOOKUP(B60,StageData!$A:$B,2,FALSE),"")</f>
        <v/>
      </c>
      <c r="G60" s="11">
        <f>IF(F60="","",TEXTJOIN("; ",TRUE,IF(TRIM(MID(SUBSTITUTE(F60,";",REPT(" ",99)),1,99))="","",IFERROR(VLOOKUP(--LEFT(TRIM(MID(SUBSTITUTE(F60,";",REPT(" ",99)),1,99)),FIND(":",TRIM(MID(SUBSTITUTE(F60,";",REPT(" ",99)),1,99)))-1),_Lookup!$A:$B,2,FALSE),"?")&amp;"×"&amp;MID(TRIM(MID(SUBSTITUTE(F60,";",REPT(" ",99)),1,99)),FIND(":",TRIM(MID(SUBSTITUTE(F60,";",REPT(" ",99)),1,99)))+1,99)),IF(TRIM(MID(SUBSTITUTE(F60,";",REPT(" ",99)),100,99))="","",IFERROR(VLOOKUP(--LEFT(TRIM(MID(SUBSTITUTE(F60,";",REPT(" ",99)),100,99)),FIND(":",TRIM(MID(SUBSTITUTE(F60,";",REPT(" ",99)),100,99)))-1),_Lookup!$A:$B,2,FALSE),"?")&amp;"×"&amp;MID(TRIM(MID(SUBSTITUTE(F60,";",REPT(" ",99)),100,99)),FIND(":",TRIM(MID(SUBSTITUTE(F60,";",REPT(" ",99)),100,99)))+1,99)),IF(TRIM(MID(SUBSTITUTE(F60,";",REPT(" ",99)),199,99))="","",IFERROR(VLOOKUP(--LEFT(TRIM(MID(SUBSTITUTE(F60,";",REPT(" ",99)),199,99)),FIND(":",TRIM(MID(SUBSTITUTE(F60,";",REPT(" ",99)),199,99)))-1),_Lookup!$A:$B,2,FALSE),"?")&amp;"×"&amp;MID(TRIM(MID(SUBSTITUTE(F60,";",REPT(" ",99)),199,99)),FIND(":",TRIM(MID(SUBSTITUTE(F60,";",REPT(" ",99)),199,99)))+1,99)),IF(TRIM(MID(SUBSTITUTE(F60,";",REPT(" ",99)),298,99))="","",IFERROR(VLOOKUP(--LEFT(TRIM(MID(SUBSTITUTE(F60,";",REPT(" ",99)),298,99)),FIND(":",TRIM(MID(SUBSTITUTE(F60,";",REPT(" ",99)),298,99)))-1),_Lookup!$A:$B,2,FALSE),"?")&amp;"×"&amp;MID(TRIM(MID(SUBSTITUTE(F60,";",REPT(" ",99)),298,99)),FIND(":",TRIM(MID(SUBSTITUTE(F60,";",REPT(" ",99)),298,99)))+1,99)),IF(TRIM(MID(SUBSTITUTE(F60,";",REPT(" ",99)),397,99))="","",IFERROR(VLOOKUP(--LEFT(TRIM(MID(SUBSTITUTE(F60,";",REPT(" ",99)),397,99)),FIND(":",TRIM(MID(SUBSTITUTE(F60,";",REPT(" ",99)),397,99)))-1),_Lookup!$A:$B,2,FALSE),"?")&amp;"×"&amp;MID(TRIM(MID(SUBSTITUTE(F60,";",REPT(" ",99)),397,99)),FIND(":",TRIM(MID(SUBSTITUTE(F60,";",REPT(" ",99)),397,99)))+1,99))))</f>
        <v/>
      </c>
    </row>
    <row r="61">
      <c r="C61" s="11">
        <f>IFERROR(VLOOKUP(B61,StageData!$A:$B,2,FALSE),"")</f>
        <v/>
      </c>
      <c r="G61" s="11">
        <f>IF(F61="","",TEXTJOIN("; ",TRUE,IF(TRIM(MID(SUBSTITUTE(F61,";",REPT(" ",99)),1,99))="","",IFERROR(VLOOKUP(--LEFT(TRIM(MID(SUBSTITUTE(F61,";",REPT(" ",99)),1,99)),FIND(":",TRIM(MID(SUBSTITUTE(F61,";",REPT(" ",99)),1,99)))-1),_Lookup!$A:$B,2,FALSE),"?")&amp;"×"&amp;MID(TRIM(MID(SUBSTITUTE(F61,";",REPT(" ",99)),1,99)),FIND(":",TRIM(MID(SUBSTITUTE(F61,";",REPT(" ",99)),1,99)))+1,99)),IF(TRIM(MID(SUBSTITUTE(F61,";",REPT(" ",99)),100,99))="","",IFERROR(VLOOKUP(--LEFT(TRIM(MID(SUBSTITUTE(F61,";",REPT(" ",99)),100,99)),FIND(":",TRIM(MID(SUBSTITUTE(F61,";",REPT(" ",99)),100,99)))-1),_Lookup!$A:$B,2,FALSE),"?")&amp;"×"&amp;MID(TRIM(MID(SUBSTITUTE(F61,";",REPT(" ",99)),100,99)),FIND(":",TRIM(MID(SUBSTITUTE(F61,";",REPT(" ",99)),100,99)))+1,99)),IF(TRIM(MID(SUBSTITUTE(F61,";",REPT(" ",99)),199,99))="","",IFERROR(VLOOKUP(--LEFT(TRIM(MID(SUBSTITUTE(F61,";",REPT(" ",99)),199,99)),FIND(":",TRIM(MID(SUBSTITUTE(F61,";",REPT(" ",99)),199,99)))-1),_Lookup!$A:$B,2,FALSE),"?")&amp;"×"&amp;MID(TRIM(MID(SUBSTITUTE(F61,";",REPT(" ",99)),199,99)),FIND(":",TRIM(MID(SUBSTITUTE(F61,";",REPT(" ",99)),199,99)))+1,99)),IF(TRIM(MID(SUBSTITUTE(F61,";",REPT(" ",99)),298,99))="","",IFERROR(VLOOKUP(--LEFT(TRIM(MID(SUBSTITUTE(F61,";",REPT(" ",99)),298,99)),FIND(":",TRIM(MID(SUBSTITUTE(F61,";",REPT(" ",99)),298,99)))-1),_Lookup!$A:$B,2,FALSE),"?")&amp;"×"&amp;MID(TRIM(MID(SUBSTITUTE(F61,";",REPT(" ",99)),298,99)),FIND(":",TRIM(MID(SUBSTITUTE(F61,";",REPT(" ",99)),298,99)))+1,99)),IF(TRIM(MID(SUBSTITUTE(F61,";",REPT(" ",99)),397,99))="","",IFERROR(VLOOKUP(--LEFT(TRIM(MID(SUBSTITUTE(F61,";",REPT(" ",99)),397,99)),FIND(":",TRIM(MID(SUBSTITUTE(F61,";",REPT(" ",99)),397,99)))-1),_Lookup!$A:$B,2,FALSE),"?")&amp;"×"&amp;MID(TRIM(MID(SUBSTITUTE(F61,";",REPT(" ",99)),397,99)),FIND(":",TRIM(MID(SUBSTITUTE(F61,";",REPT(" ",99)),397,99)))+1,99))))</f>
        <v/>
      </c>
    </row>
    <row r="62">
      <c r="C62" s="11">
        <f>IFERROR(VLOOKUP(B62,StageData!$A:$B,2,FALSE),"")</f>
        <v/>
      </c>
      <c r="G62" s="11">
        <f>IF(F62="","",TEXTJOIN("; ",TRUE,IF(TRIM(MID(SUBSTITUTE(F62,";",REPT(" ",99)),1,99))="","",IFERROR(VLOOKUP(--LEFT(TRIM(MID(SUBSTITUTE(F62,";",REPT(" ",99)),1,99)),FIND(":",TRIM(MID(SUBSTITUTE(F62,";",REPT(" ",99)),1,99)))-1),_Lookup!$A:$B,2,FALSE),"?")&amp;"×"&amp;MID(TRIM(MID(SUBSTITUTE(F62,";",REPT(" ",99)),1,99)),FIND(":",TRIM(MID(SUBSTITUTE(F62,";",REPT(" ",99)),1,99)))+1,99)),IF(TRIM(MID(SUBSTITUTE(F62,";",REPT(" ",99)),100,99))="","",IFERROR(VLOOKUP(--LEFT(TRIM(MID(SUBSTITUTE(F62,";",REPT(" ",99)),100,99)),FIND(":",TRIM(MID(SUBSTITUTE(F62,";",REPT(" ",99)),100,99)))-1),_Lookup!$A:$B,2,FALSE),"?")&amp;"×"&amp;MID(TRIM(MID(SUBSTITUTE(F62,";",REPT(" ",99)),100,99)),FIND(":",TRIM(MID(SUBSTITUTE(F62,";",REPT(" ",99)),100,99)))+1,99)),IF(TRIM(MID(SUBSTITUTE(F62,";",REPT(" ",99)),199,99))="","",IFERROR(VLOOKUP(--LEFT(TRIM(MID(SUBSTITUTE(F62,";",REPT(" ",99)),199,99)),FIND(":",TRIM(MID(SUBSTITUTE(F62,";",REPT(" ",99)),199,99)))-1),_Lookup!$A:$B,2,FALSE),"?")&amp;"×"&amp;MID(TRIM(MID(SUBSTITUTE(F62,";",REPT(" ",99)),199,99)),FIND(":",TRIM(MID(SUBSTITUTE(F62,";",REPT(" ",99)),199,99)))+1,99)),IF(TRIM(MID(SUBSTITUTE(F62,";",REPT(" ",99)),298,99))="","",IFERROR(VLOOKUP(--LEFT(TRIM(MID(SUBSTITUTE(F62,";",REPT(" ",99)),298,99)),FIND(":",TRIM(MID(SUBSTITUTE(F62,";",REPT(" ",99)),298,99)))-1),_Lookup!$A:$B,2,FALSE),"?")&amp;"×"&amp;MID(TRIM(MID(SUBSTITUTE(F62,";",REPT(" ",99)),298,99)),FIND(":",TRIM(MID(SUBSTITUTE(F62,";",REPT(" ",99)),298,99)))+1,99)),IF(TRIM(MID(SUBSTITUTE(F62,";",REPT(" ",99)),397,99))="","",IFERROR(VLOOKUP(--LEFT(TRIM(MID(SUBSTITUTE(F62,";",REPT(" ",99)),397,99)),FIND(":",TRIM(MID(SUBSTITUTE(F62,";",REPT(" ",99)),397,99)))-1),_Lookup!$A:$B,2,FALSE),"?")&amp;"×"&amp;MID(TRIM(MID(SUBSTITUTE(F62,";",REPT(" ",99)),397,99)),FIND(":",TRIM(MID(SUBSTITUTE(F62,";",REPT(" ",99)),397,99)))+1,99))))</f>
        <v/>
      </c>
    </row>
    <row r="63">
      <c r="C63" s="11">
        <f>IFERROR(VLOOKUP(B63,StageData!$A:$B,2,FALSE),"")</f>
        <v/>
      </c>
      <c r="G63" s="11">
        <f>IF(F63="","",TEXTJOIN("; ",TRUE,IF(TRIM(MID(SUBSTITUTE(F63,";",REPT(" ",99)),1,99))="","",IFERROR(VLOOKUP(--LEFT(TRIM(MID(SUBSTITUTE(F63,";",REPT(" ",99)),1,99)),FIND(":",TRIM(MID(SUBSTITUTE(F63,";",REPT(" ",99)),1,99)))-1),_Lookup!$A:$B,2,FALSE),"?")&amp;"×"&amp;MID(TRIM(MID(SUBSTITUTE(F63,";",REPT(" ",99)),1,99)),FIND(":",TRIM(MID(SUBSTITUTE(F63,";",REPT(" ",99)),1,99)))+1,99)),IF(TRIM(MID(SUBSTITUTE(F63,";",REPT(" ",99)),100,99))="","",IFERROR(VLOOKUP(--LEFT(TRIM(MID(SUBSTITUTE(F63,";",REPT(" ",99)),100,99)),FIND(":",TRIM(MID(SUBSTITUTE(F63,";",REPT(" ",99)),100,99)))-1),_Lookup!$A:$B,2,FALSE),"?")&amp;"×"&amp;MID(TRIM(MID(SUBSTITUTE(F63,";",REPT(" ",99)),100,99)),FIND(":",TRIM(MID(SUBSTITUTE(F63,";",REPT(" ",99)),100,99)))+1,99)),IF(TRIM(MID(SUBSTITUTE(F63,";",REPT(" ",99)),199,99))="","",IFERROR(VLOOKUP(--LEFT(TRIM(MID(SUBSTITUTE(F63,";",REPT(" ",99)),199,99)),FIND(":",TRIM(MID(SUBSTITUTE(F63,";",REPT(" ",99)),199,99)))-1),_Lookup!$A:$B,2,FALSE),"?")&amp;"×"&amp;MID(TRIM(MID(SUBSTITUTE(F63,";",REPT(" ",99)),199,99)),FIND(":",TRIM(MID(SUBSTITUTE(F63,";",REPT(" ",99)),199,99)))+1,99)),IF(TRIM(MID(SUBSTITUTE(F63,";",REPT(" ",99)),298,99))="","",IFERROR(VLOOKUP(--LEFT(TRIM(MID(SUBSTITUTE(F63,";",REPT(" ",99)),298,99)),FIND(":",TRIM(MID(SUBSTITUTE(F63,";",REPT(" ",99)),298,99)))-1),_Lookup!$A:$B,2,FALSE),"?")&amp;"×"&amp;MID(TRIM(MID(SUBSTITUTE(F63,";",REPT(" ",99)),298,99)),FIND(":",TRIM(MID(SUBSTITUTE(F63,";",REPT(" ",99)),298,99)))+1,99)),IF(TRIM(MID(SUBSTITUTE(F63,";",REPT(" ",99)),397,99))="","",IFERROR(VLOOKUP(--LEFT(TRIM(MID(SUBSTITUTE(F63,";",REPT(" ",99)),397,99)),FIND(":",TRIM(MID(SUBSTITUTE(F63,";",REPT(" ",99)),397,99)))-1),_Lookup!$A:$B,2,FALSE),"?")&amp;"×"&amp;MID(TRIM(MID(SUBSTITUTE(F63,";",REPT(" ",99)),397,99)),FIND(":",TRIM(MID(SUBSTITUTE(F63,";",REPT(" ",99)),397,99)))+1,99))))</f>
        <v/>
      </c>
    </row>
    <row r="64">
      <c r="C64" s="11">
        <f>IFERROR(VLOOKUP(B64,StageData!$A:$B,2,FALSE),"")</f>
        <v/>
      </c>
      <c r="G64" s="11">
        <f>IF(F64="","",TEXTJOIN("; ",TRUE,IF(TRIM(MID(SUBSTITUTE(F64,";",REPT(" ",99)),1,99))="","",IFERROR(VLOOKUP(--LEFT(TRIM(MID(SUBSTITUTE(F64,";",REPT(" ",99)),1,99)),FIND(":",TRIM(MID(SUBSTITUTE(F64,";",REPT(" ",99)),1,99)))-1),_Lookup!$A:$B,2,FALSE),"?")&amp;"×"&amp;MID(TRIM(MID(SUBSTITUTE(F64,";",REPT(" ",99)),1,99)),FIND(":",TRIM(MID(SUBSTITUTE(F64,";",REPT(" ",99)),1,99)))+1,99)),IF(TRIM(MID(SUBSTITUTE(F64,";",REPT(" ",99)),100,99))="","",IFERROR(VLOOKUP(--LEFT(TRIM(MID(SUBSTITUTE(F64,";",REPT(" ",99)),100,99)),FIND(":",TRIM(MID(SUBSTITUTE(F64,";",REPT(" ",99)),100,99)))-1),_Lookup!$A:$B,2,FALSE),"?")&amp;"×"&amp;MID(TRIM(MID(SUBSTITUTE(F64,";",REPT(" ",99)),100,99)),FIND(":",TRIM(MID(SUBSTITUTE(F64,";",REPT(" ",99)),100,99)))+1,99)),IF(TRIM(MID(SUBSTITUTE(F64,";",REPT(" ",99)),199,99))="","",IFERROR(VLOOKUP(--LEFT(TRIM(MID(SUBSTITUTE(F64,";",REPT(" ",99)),199,99)),FIND(":",TRIM(MID(SUBSTITUTE(F64,";",REPT(" ",99)),199,99)))-1),_Lookup!$A:$B,2,FALSE),"?")&amp;"×"&amp;MID(TRIM(MID(SUBSTITUTE(F64,";",REPT(" ",99)),199,99)),FIND(":",TRIM(MID(SUBSTITUTE(F64,";",REPT(" ",99)),199,99)))+1,99)),IF(TRIM(MID(SUBSTITUTE(F64,";",REPT(" ",99)),298,99))="","",IFERROR(VLOOKUP(--LEFT(TRIM(MID(SUBSTITUTE(F64,";",REPT(" ",99)),298,99)),FIND(":",TRIM(MID(SUBSTITUTE(F64,";",REPT(" ",99)),298,99)))-1),_Lookup!$A:$B,2,FALSE),"?")&amp;"×"&amp;MID(TRIM(MID(SUBSTITUTE(F64,";",REPT(" ",99)),298,99)),FIND(":",TRIM(MID(SUBSTITUTE(F64,";",REPT(" ",99)),298,99)))+1,99)),IF(TRIM(MID(SUBSTITUTE(F64,";",REPT(" ",99)),397,99))="","",IFERROR(VLOOKUP(--LEFT(TRIM(MID(SUBSTITUTE(F64,";",REPT(" ",99)),397,99)),FIND(":",TRIM(MID(SUBSTITUTE(F64,";",REPT(" ",99)),397,99)))-1),_Lookup!$A:$B,2,FALSE),"?")&amp;"×"&amp;MID(TRIM(MID(SUBSTITUTE(F64,";",REPT(" ",99)),397,99)),FIND(":",TRIM(MID(SUBSTITUTE(F64,";",REPT(" ",99)),397,99)))+1,99))))</f>
        <v/>
      </c>
    </row>
    <row r="65">
      <c r="C65" s="11">
        <f>IFERROR(VLOOKUP(B65,StageData!$A:$B,2,FALSE),"")</f>
        <v/>
      </c>
      <c r="G65" s="11">
        <f>IF(F65="","",TEXTJOIN("; ",TRUE,IF(TRIM(MID(SUBSTITUTE(F65,";",REPT(" ",99)),1,99))="","",IFERROR(VLOOKUP(--LEFT(TRIM(MID(SUBSTITUTE(F65,";",REPT(" ",99)),1,99)),FIND(":",TRIM(MID(SUBSTITUTE(F65,";",REPT(" ",99)),1,99)))-1),_Lookup!$A:$B,2,FALSE),"?")&amp;"×"&amp;MID(TRIM(MID(SUBSTITUTE(F65,";",REPT(" ",99)),1,99)),FIND(":",TRIM(MID(SUBSTITUTE(F65,";",REPT(" ",99)),1,99)))+1,99)),IF(TRIM(MID(SUBSTITUTE(F65,";",REPT(" ",99)),100,99))="","",IFERROR(VLOOKUP(--LEFT(TRIM(MID(SUBSTITUTE(F65,";",REPT(" ",99)),100,99)),FIND(":",TRIM(MID(SUBSTITUTE(F65,";",REPT(" ",99)),100,99)))-1),_Lookup!$A:$B,2,FALSE),"?")&amp;"×"&amp;MID(TRIM(MID(SUBSTITUTE(F65,";",REPT(" ",99)),100,99)),FIND(":",TRIM(MID(SUBSTITUTE(F65,";",REPT(" ",99)),100,99)))+1,99)),IF(TRIM(MID(SUBSTITUTE(F65,";",REPT(" ",99)),199,99))="","",IFERROR(VLOOKUP(--LEFT(TRIM(MID(SUBSTITUTE(F65,";",REPT(" ",99)),199,99)),FIND(":",TRIM(MID(SUBSTITUTE(F65,";",REPT(" ",99)),199,99)))-1),_Lookup!$A:$B,2,FALSE),"?")&amp;"×"&amp;MID(TRIM(MID(SUBSTITUTE(F65,";",REPT(" ",99)),199,99)),FIND(":",TRIM(MID(SUBSTITUTE(F65,";",REPT(" ",99)),199,99)))+1,99)),IF(TRIM(MID(SUBSTITUTE(F65,";",REPT(" ",99)),298,99))="","",IFERROR(VLOOKUP(--LEFT(TRIM(MID(SUBSTITUTE(F65,";",REPT(" ",99)),298,99)),FIND(":",TRIM(MID(SUBSTITUTE(F65,";",REPT(" ",99)),298,99)))-1),_Lookup!$A:$B,2,FALSE),"?")&amp;"×"&amp;MID(TRIM(MID(SUBSTITUTE(F65,";",REPT(" ",99)),298,99)),FIND(":",TRIM(MID(SUBSTITUTE(F65,";",REPT(" ",99)),298,99)))+1,99)),IF(TRIM(MID(SUBSTITUTE(F65,";",REPT(" ",99)),397,99))="","",IFERROR(VLOOKUP(--LEFT(TRIM(MID(SUBSTITUTE(F65,";",REPT(" ",99)),397,99)),FIND(":",TRIM(MID(SUBSTITUTE(F65,";",REPT(" ",99)),397,99)))-1),_Lookup!$A:$B,2,FALSE),"?")&amp;"×"&amp;MID(TRIM(MID(SUBSTITUTE(F65,";",REPT(" ",99)),397,99)),FIND(":",TRIM(MID(SUBSTITUTE(F65,";",REPT(" ",99)),397,99)))+1,99))))</f>
        <v/>
      </c>
    </row>
    <row r="66">
      <c r="C66" s="11">
        <f>IFERROR(VLOOKUP(B66,StageData!$A:$B,2,FALSE),"")</f>
        <v/>
      </c>
      <c r="G66" s="11">
        <f>IF(F66="","",TEXTJOIN("; ",TRUE,IF(TRIM(MID(SUBSTITUTE(F66,";",REPT(" ",99)),1,99))="","",IFERROR(VLOOKUP(--LEFT(TRIM(MID(SUBSTITUTE(F66,";",REPT(" ",99)),1,99)),FIND(":",TRIM(MID(SUBSTITUTE(F66,";",REPT(" ",99)),1,99)))-1),_Lookup!$A:$B,2,FALSE),"?")&amp;"×"&amp;MID(TRIM(MID(SUBSTITUTE(F66,";",REPT(" ",99)),1,99)),FIND(":",TRIM(MID(SUBSTITUTE(F66,";",REPT(" ",99)),1,99)))+1,99)),IF(TRIM(MID(SUBSTITUTE(F66,";",REPT(" ",99)),100,99))="","",IFERROR(VLOOKUP(--LEFT(TRIM(MID(SUBSTITUTE(F66,";",REPT(" ",99)),100,99)),FIND(":",TRIM(MID(SUBSTITUTE(F66,";",REPT(" ",99)),100,99)))-1),_Lookup!$A:$B,2,FALSE),"?")&amp;"×"&amp;MID(TRIM(MID(SUBSTITUTE(F66,";",REPT(" ",99)),100,99)),FIND(":",TRIM(MID(SUBSTITUTE(F66,";",REPT(" ",99)),100,99)))+1,99)),IF(TRIM(MID(SUBSTITUTE(F66,";",REPT(" ",99)),199,99))="","",IFERROR(VLOOKUP(--LEFT(TRIM(MID(SUBSTITUTE(F66,";",REPT(" ",99)),199,99)),FIND(":",TRIM(MID(SUBSTITUTE(F66,";",REPT(" ",99)),199,99)))-1),_Lookup!$A:$B,2,FALSE),"?")&amp;"×"&amp;MID(TRIM(MID(SUBSTITUTE(F66,";",REPT(" ",99)),199,99)),FIND(":",TRIM(MID(SUBSTITUTE(F66,";",REPT(" ",99)),199,99)))+1,99)),IF(TRIM(MID(SUBSTITUTE(F66,";",REPT(" ",99)),298,99))="","",IFERROR(VLOOKUP(--LEFT(TRIM(MID(SUBSTITUTE(F66,";",REPT(" ",99)),298,99)),FIND(":",TRIM(MID(SUBSTITUTE(F66,";",REPT(" ",99)),298,99)))-1),_Lookup!$A:$B,2,FALSE),"?")&amp;"×"&amp;MID(TRIM(MID(SUBSTITUTE(F66,";",REPT(" ",99)),298,99)),FIND(":",TRIM(MID(SUBSTITUTE(F66,";",REPT(" ",99)),298,99)))+1,99)),IF(TRIM(MID(SUBSTITUTE(F66,";",REPT(" ",99)),397,99))="","",IFERROR(VLOOKUP(--LEFT(TRIM(MID(SUBSTITUTE(F66,";",REPT(" ",99)),397,99)),FIND(":",TRIM(MID(SUBSTITUTE(F66,";",REPT(" ",99)),397,99)))-1),_Lookup!$A:$B,2,FALSE),"?")&amp;"×"&amp;MID(TRIM(MID(SUBSTITUTE(F66,";",REPT(" ",99)),397,99)),FIND(":",TRIM(MID(SUBSTITUTE(F66,";",REPT(" ",99)),397,99)))+1,99))))</f>
        <v/>
      </c>
    </row>
    <row r="67">
      <c r="C67" s="11">
        <f>IFERROR(VLOOKUP(B67,StageData!$A:$B,2,FALSE),"")</f>
        <v/>
      </c>
      <c r="G67" s="11">
        <f>IF(F67="","",TEXTJOIN("; ",TRUE,IF(TRIM(MID(SUBSTITUTE(F67,";",REPT(" ",99)),1,99))="","",IFERROR(VLOOKUP(--LEFT(TRIM(MID(SUBSTITUTE(F67,";",REPT(" ",99)),1,99)),FIND(":",TRIM(MID(SUBSTITUTE(F67,";",REPT(" ",99)),1,99)))-1),_Lookup!$A:$B,2,FALSE),"?")&amp;"×"&amp;MID(TRIM(MID(SUBSTITUTE(F67,";",REPT(" ",99)),1,99)),FIND(":",TRIM(MID(SUBSTITUTE(F67,";",REPT(" ",99)),1,99)))+1,99)),IF(TRIM(MID(SUBSTITUTE(F67,";",REPT(" ",99)),100,99))="","",IFERROR(VLOOKUP(--LEFT(TRIM(MID(SUBSTITUTE(F67,";",REPT(" ",99)),100,99)),FIND(":",TRIM(MID(SUBSTITUTE(F67,";",REPT(" ",99)),100,99)))-1),_Lookup!$A:$B,2,FALSE),"?")&amp;"×"&amp;MID(TRIM(MID(SUBSTITUTE(F67,";",REPT(" ",99)),100,99)),FIND(":",TRIM(MID(SUBSTITUTE(F67,";",REPT(" ",99)),100,99)))+1,99)),IF(TRIM(MID(SUBSTITUTE(F67,";",REPT(" ",99)),199,99))="","",IFERROR(VLOOKUP(--LEFT(TRIM(MID(SUBSTITUTE(F67,";",REPT(" ",99)),199,99)),FIND(":",TRIM(MID(SUBSTITUTE(F67,";",REPT(" ",99)),199,99)))-1),_Lookup!$A:$B,2,FALSE),"?")&amp;"×"&amp;MID(TRIM(MID(SUBSTITUTE(F67,";",REPT(" ",99)),199,99)),FIND(":",TRIM(MID(SUBSTITUTE(F67,";",REPT(" ",99)),199,99)))+1,99)),IF(TRIM(MID(SUBSTITUTE(F67,";",REPT(" ",99)),298,99))="","",IFERROR(VLOOKUP(--LEFT(TRIM(MID(SUBSTITUTE(F67,";",REPT(" ",99)),298,99)),FIND(":",TRIM(MID(SUBSTITUTE(F67,";",REPT(" ",99)),298,99)))-1),_Lookup!$A:$B,2,FALSE),"?")&amp;"×"&amp;MID(TRIM(MID(SUBSTITUTE(F67,";",REPT(" ",99)),298,99)),FIND(":",TRIM(MID(SUBSTITUTE(F67,";",REPT(" ",99)),298,99)))+1,99)),IF(TRIM(MID(SUBSTITUTE(F67,";",REPT(" ",99)),397,99))="","",IFERROR(VLOOKUP(--LEFT(TRIM(MID(SUBSTITUTE(F67,";",REPT(" ",99)),397,99)),FIND(":",TRIM(MID(SUBSTITUTE(F67,";",REPT(" ",99)),397,99)))-1),_Lookup!$A:$B,2,FALSE),"?")&amp;"×"&amp;MID(TRIM(MID(SUBSTITUTE(F67,";",REPT(" ",99)),397,99)),FIND(":",TRIM(MID(SUBSTITUTE(F67,";",REPT(" ",99)),397,99)))+1,99))))</f>
        <v/>
      </c>
    </row>
    <row r="68">
      <c r="C68" s="11">
        <f>IFERROR(VLOOKUP(B68,StageData!$A:$B,2,FALSE),"")</f>
        <v/>
      </c>
      <c r="G68" s="11">
        <f>IF(F68="","",TEXTJOIN("; ",TRUE,IF(TRIM(MID(SUBSTITUTE(F68,";",REPT(" ",99)),1,99))="","",IFERROR(VLOOKUP(--LEFT(TRIM(MID(SUBSTITUTE(F68,";",REPT(" ",99)),1,99)),FIND(":",TRIM(MID(SUBSTITUTE(F68,";",REPT(" ",99)),1,99)))-1),_Lookup!$A:$B,2,FALSE),"?")&amp;"×"&amp;MID(TRIM(MID(SUBSTITUTE(F68,";",REPT(" ",99)),1,99)),FIND(":",TRIM(MID(SUBSTITUTE(F68,";",REPT(" ",99)),1,99)))+1,99)),IF(TRIM(MID(SUBSTITUTE(F68,";",REPT(" ",99)),100,99))="","",IFERROR(VLOOKUP(--LEFT(TRIM(MID(SUBSTITUTE(F68,";",REPT(" ",99)),100,99)),FIND(":",TRIM(MID(SUBSTITUTE(F68,";",REPT(" ",99)),100,99)))-1),_Lookup!$A:$B,2,FALSE),"?")&amp;"×"&amp;MID(TRIM(MID(SUBSTITUTE(F68,";",REPT(" ",99)),100,99)),FIND(":",TRIM(MID(SUBSTITUTE(F68,";",REPT(" ",99)),100,99)))+1,99)),IF(TRIM(MID(SUBSTITUTE(F68,";",REPT(" ",99)),199,99))="","",IFERROR(VLOOKUP(--LEFT(TRIM(MID(SUBSTITUTE(F68,";",REPT(" ",99)),199,99)),FIND(":",TRIM(MID(SUBSTITUTE(F68,";",REPT(" ",99)),199,99)))-1),_Lookup!$A:$B,2,FALSE),"?")&amp;"×"&amp;MID(TRIM(MID(SUBSTITUTE(F68,";",REPT(" ",99)),199,99)),FIND(":",TRIM(MID(SUBSTITUTE(F68,";",REPT(" ",99)),199,99)))+1,99)),IF(TRIM(MID(SUBSTITUTE(F68,";",REPT(" ",99)),298,99))="","",IFERROR(VLOOKUP(--LEFT(TRIM(MID(SUBSTITUTE(F68,";",REPT(" ",99)),298,99)),FIND(":",TRIM(MID(SUBSTITUTE(F68,";",REPT(" ",99)),298,99)))-1),_Lookup!$A:$B,2,FALSE),"?")&amp;"×"&amp;MID(TRIM(MID(SUBSTITUTE(F68,";",REPT(" ",99)),298,99)),FIND(":",TRIM(MID(SUBSTITUTE(F68,";",REPT(" ",99)),298,99)))+1,99)),IF(TRIM(MID(SUBSTITUTE(F68,";",REPT(" ",99)),397,99))="","",IFERROR(VLOOKUP(--LEFT(TRIM(MID(SUBSTITUTE(F68,";",REPT(" ",99)),397,99)),FIND(":",TRIM(MID(SUBSTITUTE(F68,";",REPT(" ",99)),397,99)))-1),_Lookup!$A:$B,2,FALSE),"?")&amp;"×"&amp;MID(TRIM(MID(SUBSTITUTE(F68,";",REPT(" ",99)),397,99)),FIND(":",TRIM(MID(SUBSTITUTE(F68,";",REPT(" ",99)),397,99)))+1,99))))</f>
        <v/>
      </c>
    </row>
    <row r="69">
      <c r="C69" s="11">
        <f>IFERROR(VLOOKUP(B69,StageData!$A:$B,2,FALSE),"")</f>
        <v/>
      </c>
      <c r="G69" s="11">
        <f>IF(F69="","",TEXTJOIN("; ",TRUE,IF(TRIM(MID(SUBSTITUTE(F69,";",REPT(" ",99)),1,99))="","",IFERROR(VLOOKUP(--LEFT(TRIM(MID(SUBSTITUTE(F69,";",REPT(" ",99)),1,99)),FIND(":",TRIM(MID(SUBSTITUTE(F69,";",REPT(" ",99)),1,99)))-1),_Lookup!$A:$B,2,FALSE),"?")&amp;"×"&amp;MID(TRIM(MID(SUBSTITUTE(F69,";",REPT(" ",99)),1,99)),FIND(":",TRIM(MID(SUBSTITUTE(F69,";",REPT(" ",99)),1,99)))+1,99)),IF(TRIM(MID(SUBSTITUTE(F69,";",REPT(" ",99)),100,99))="","",IFERROR(VLOOKUP(--LEFT(TRIM(MID(SUBSTITUTE(F69,";",REPT(" ",99)),100,99)),FIND(":",TRIM(MID(SUBSTITUTE(F69,";",REPT(" ",99)),100,99)))-1),_Lookup!$A:$B,2,FALSE),"?")&amp;"×"&amp;MID(TRIM(MID(SUBSTITUTE(F69,";",REPT(" ",99)),100,99)),FIND(":",TRIM(MID(SUBSTITUTE(F69,";",REPT(" ",99)),100,99)))+1,99)),IF(TRIM(MID(SUBSTITUTE(F69,";",REPT(" ",99)),199,99))="","",IFERROR(VLOOKUP(--LEFT(TRIM(MID(SUBSTITUTE(F69,";",REPT(" ",99)),199,99)),FIND(":",TRIM(MID(SUBSTITUTE(F69,";",REPT(" ",99)),199,99)))-1),_Lookup!$A:$B,2,FALSE),"?")&amp;"×"&amp;MID(TRIM(MID(SUBSTITUTE(F69,";",REPT(" ",99)),199,99)),FIND(":",TRIM(MID(SUBSTITUTE(F69,";",REPT(" ",99)),199,99)))+1,99)),IF(TRIM(MID(SUBSTITUTE(F69,";",REPT(" ",99)),298,99))="","",IFERROR(VLOOKUP(--LEFT(TRIM(MID(SUBSTITUTE(F69,";",REPT(" ",99)),298,99)),FIND(":",TRIM(MID(SUBSTITUTE(F69,";",REPT(" ",99)),298,99)))-1),_Lookup!$A:$B,2,FALSE),"?")&amp;"×"&amp;MID(TRIM(MID(SUBSTITUTE(F69,";",REPT(" ",99)),298,99)),FIND(":",TRIM(MID(SUBSTITUTE(F69,";",REPT(" ",99)),298,99)))+1,99)),IF(TRIM(MID(SUBSTITUTE(F69,";",REPT(" ",99)),397,99))="","",IFERROR(VLOOKUP(--LEFT(TRIM(MID(SUBSTITUTE(F69,";",REPT(" ",99)),397,99)),FIND(":",TRIM(MID(SUBSTITUTE(F69,";",REPT(" ",99)),397,99)))-1),_Lookup!$A:$B,2,FALSE),"?")&amp;"×"&amp;MID(TRIM(MID(SUBSTITUTE(F69,";",REPT(" ",99)),397,99)),FIND(":",TRIM(MID(SUBSTITUTE(F69,";",REPT(" ",99)),397,99)))+1,99))))</f>
        <v/>
      </c>
    </row>
    <row r="70">
      <c r="C70" s="11">
        <f>IFERROR(VLOOKUP(B70,StageData!$A:$B,2,FALSE),"")</f>
        <v/>
      </c>
      <c r="G70" s="11">
        <f>IF(F70="","",TEXTJOIN("; ",TRUE,IF(TRIM(MID(SUBSTITUTE(F70,";",REPT(" ",99)),1,99))="","",IFERROR(VLOOKUP(--LEFT(TRIM(MID(SUBSTITUTE(F70,";",REPT(" ",99)),1,99)),FIND(":",TRIM(MID(SUBSTITUTE(F70,";",REPT(" ",99)),1,99)))-1),_Lookup!$A:$B,2,FALSE),"?")&amp;"×"&amp;MID(TRIM(MID(SUBSTITUTE(F70,";",REPT(" ",99)),1,99)),FIND(":",TRIM(MID(SUBSTITUTE(F70,";",REPT(" ",99)),1,99)))+1,99)),IF(TRIM(MID(SUBSTITUTE(F70,";",REPT(" ",99)),100,99))="","",IFERROR(VLOOKUP(--LEFT(TRIM(MID(SUBSTITUTE(F70,";",REPT(" ",99)),100,99)),FIND(":",TRIM(MID(SUBSTITUTE(F70,";",REPT(" ",99)),100,99)))-1),_Lookup!$A:$B,2,FALSE),"?")&amp;"×"&amp;MID(TRIM(MID(SUBSTITUTE(F70,";",REPT(" ",99)),100,99)),FIND(":",TRIM(MID(SUBSTITUTE(F70,";",REPT(" ",99)),100,99)))+1,99)),IF(TRIM(MID(SUBSTITUTE(F70,";",REPT(" ",99)),199,99))="","",IFERROR(VLOOKUP(--LEFT(TRIM(MID(SUBSTITUTE(F70,";",REPT(" ",99)),199,99)),FIND(":",TRIM(MID(SUBSTITUTE(F70,";",REPT(" ",99)),199,99)))-1),_Lookup!$A:$B,2,FALSE),"?")&amp;"×"&amp;MID(TRIM(MID(SUBSTITUTE(F70,";",REPT(" ",99)),199,99)),FIND(":",TRIM(MID(SUBSTITUTE(F70,";",REPT(" ",99)),199,99)))+1,99)),IF(TRIM(MID(SUBSTITUTE(F70,";",REPT(" ",99)),298,99))="","",IFERROR(VLOOKUP(--LEFT(TRIM(MID(SUBSTITUTE(F70,";",REPT(" ",99)),298,99)),FIND(":",TRIM(MID(SUBSTITUTE(F70,";",REPT(" ",99)),298,99)))-1),_Lookup!$A:$B,2,FALSE),"?")&amp;"×"&amp;MID(TRIM(MID(SUBSTITUTE(F70,";",REPT(" ",99)),298,99)),FIND(":",TRIM(MID(SUBSTITUTE(F70,";",REPT(" ",99)),298,99)))+1,99)),IF(TRIM(MID(SUBSTITUTE(F70,";",REPT(" ",99)),397,99))="","",IFERROR(VLOOKUP(--LEFT(TRIM(MID(SUBSTITUTE(F70,";",REPT(" ",99)),397,99)),FIND(":",TRIM(MID(SUBSTITUTE(F70,";",REPT(" ",99)),397,99)))-1),_Lookup!$A:$B,2,FALSE),"?")&amp;"×"&amp;MID(TRIM(MID(SUBSTITUTE(F70,";",REPT(" ",99)),397,99)),FIND(":",TRIM(MID(SUBSTITUTE(F70,";",REPT(" ",99)),397,99)))+1,99))))</f>
        <v/>
      </c>
    </row>
    <row r="71">
      <c r="C71" s="11">
        <f>IFERROR(VLOOKUP(B71,StageData!$A:$B,2,FALSE),"")</f>
        <v/>
      </c>
      <c r="G71" s="11">
        <f>IF(F71="","",TEXTJOIN("; ",TRUE,IF(TRIM(MID(SUBSTITUTE(F71,";",REPT(" ",99)),1,99))="","",IFERROR(VLOOKUP(--LEFT(TRIM(MID(SUBSTITUTE(F71,";",REPT(" ",99)),1,99)),FIND(":",TRIM(MID(SUBSTITUTE(F71,";",REPT(" ",99)),1,99)))-1),_Lookup!$A:$B,2,FALSE),"?")&amp;"×"&amp;MID(TRIM(MID(SUBSTITUTE(F71,";",REPT(" ",99)),1,99)),FIND(":",TRIM(MID(SUBSTITUTE(F71,";",REPT(" ",99)),1,99)))+1,99)),IF(TRIM(MID(SUBSTITUTE(F71,";",REPT(" ",99)),100,99))="","",IFERROR(VLOOKUP(--LEFT(TRIM(MID(SUBSTITUTE(F71,";",REPT(" ",99)),100,99)),FIND(":",TRIM(MID(SUBSTITUTE(F71,";",REPT(" ",99)),100,99)))-1),_Lookup!$A:$B,2,FALSE),"?")&amp;"×"&amp;MID(TRIM(MID(SUBSTITUTE(F71,";",REPT(" ",99)),100,99)),FIND(":",TRIM(MID(SUBSTITUTE(F71,";",REPT(" ",99)),100,99)))+1,99)),IF(TRIM(MID(SUBSTITUTE(F71,";",REPT(" ",99)),199,99))="","",IFERROR(VLOOKUP(--LEFT(TRIM(MID(SUBSTITUTE(F71,";",REPT(" ",99)),199,99)),FIND(":",TRIM(MID(SUBSTITUTE(F71,";",REPT(" ",99)),199,99)))-1),_Lookup!$A:$B,2,FALSE),"?")&amp;"×"&amp;MID(TRIM(MID(SUBSTITUTE(F71,";",REPT(" ",99)),199,99)),FIND(":",TRIM(MID(SUBSTITUTE(F71,";",REPT(" ",99)),199,99)))+1,99)),IF(TRIM(MID(SUBSTITUTE(F71,";",REPT(" ",99)),298,99))="","",IFERROR(VLOOKUP(--LEFT(TRIM(MID(SUBSTITUTE(F71,";",REPT(" ",99)),298,99)),FIND(":",TRIM(MID(SUBSTITUTE(F71,";",REPT(" ",99)),298,99)))-1),_Lookup!$A:$B,2,FALSE),"?")&amp;"×"&amp;MID(TRIM(MID(SUBSTITUTE(F71,";",REPT(" ",99)),298,99)),FIND(":",TRIM(MID(SUBSTITUTE(F71,";",REPT(" ",99)),298,99)))+1,99)),IF(TRIM(MID(SUBSTITUTE(F71,";",REPT(" ",99)),397,99))="","",IFERROR(VLOOKUP(--LEFT(TRIM(MID(SUBSTITUTE(F71,";",REPT(" ",99)),397,99)),FIND(":",TRIM(MID(SUBSTITUTE(F71,";",REPT(" ",99)),397,99)))-1),_Lookup!$A:$B,2,FALSE),"?")&amp;"×"&amp;MID(TRIM(MID(SUBSTITUTE(F71,";",REPT(" ",99)),397,99)),FIND(":",TRIM(MID(SUBSTITUTE(F71,";",REPT(" ",99)),397,99)))+1,99))))</f>
        <v/>
      </c>
    </row>
    <row r="72">
      <c r="C72" s="11">
        <f>IFERROR(VLOOKUP(B72,StageData!$A:$B,2,FALSE),"")</f>
        <v/>
      </c>
      <c r="G72" s="11">
        <f>IF(F72="","",TEXTJOIN("; ",TRUE,IF(TRIM(MID(SUBSTITUTE(F72,";",REPT(" ",99)),1,99))="","",IFERROR(VLOOKUP(--LEFT(TRIM(MID(SUBSTITUTE(F72,";",REPT(" ",99)),1,99)),FIND(":",TRIM(MID(SUBSTITUTE(F72,";",REPT(" ",99)),1,99)))-1),_Lookup!$A:$B,2,FALSE),"?")&amp;"×"&amp;MID(TRIM(MID(SUBSTITUTE(F72,";",REPT(" ",99)),1,99)),FIND(":",TRIM(MID(SUBSTITUTE(F72,";",REPT(" ",99)),1,99)))+1,99)),IF(TRIM(MID(SUBSTITUTE(F72,";",REPT(" ",99)),100,99))="","",IFERROR(VLOOKUP(--LEFT(TRIM(MID(SUBSTITUTE(F72,";",REPT(" ",99)),100,99)),FIND(":",TRIM(MID(SUBSTITUTE(F72,";",REPT(" ",99)),100,99)))-1),_Lookup!$A:$B,2,FALSE),"?")&amp;"×"&amp;MID(TRIM(MID(SUBSTITUTE(F72,";",REPT(" ",99)),100,99)),FIND(":",TRIM(MID(SUBSTITUTE(F72,";",REPT(" ",99)),100,99)))+1,99)),IF(TRIM(MID(SUBSTITUTE(F72,";",REPT(" ",99)),199,99))="","",IFERROR(VLOOKUP(--LEFT(TRIM(MID(SUBSTITUTE(F72,";",REPT(" ",99)),199,99)),FIND(":",TRIM(MID(SUBSTITUTE(F72,";",REPT(" ",99)),199,99)))-1),_Lookup!$A:$B,2,FALSE),"?")&amp;"×"&amp;MID(TRIM(MID(SUBSTITUTE(F72,";",REPT(" ",99)),199,99)),FIND(":",TRIM(MID(SUBSTITUTE(F72,";",REPT(" ",99)),199,99)))+1,99)),IF(TRIM(MID(SUBSTITUTE(F72,";",REPT(" ",99)),298,99))="","",IFERROR(VLOOKUP(--LEFT(TRIM(MID(SUBSTITUTE(F72,";",REPT(" ",99)),298,99)),FIND(":",TRIM(MID(SUBSTITUTE(F72,";",REPT(" ",99)),298,99)))-1),_Lookup!$A:$B,2,FALSE),"?")&amp;"×"&amp;MID(TRIM(MID(SUBSTITUTE(F72,";",REPT(" ",99)),298,99)),FIND(":",TRIM(MID(SUBSTITUTE(F72,";",REPT(" ",99)),298,99)))+1,99)),IF(TRIM(MID(SUBSTITUTE(F72,";",REPT(" ",99)),397,99))="","",IFERROR(VLOOKUP(--LEFT(TRIM(MID(SUBSTITUTE(F72,";",REPT(" ",99)),397,99)),FIND(":",TRIM(MID(SUBSTITUTE(F72,";",REPT(" ",99)),397,99)))-1),_Lookup!$A:$B,2,FALSE),"?")&amp;"×"&amp;MID(TRIM(MID(SUBSTITUTE(F72,";",REPT(" ",99)),397,99)),FIND(":",TRIM(MID(SUBSTITUTE(F72,";",REPT(" ",99)),397,99)))+1,99))))</f>
        <v/>
      </c>
    </row>
    <row r="73">
      <c r="C73" s="11">
        <f>IFERROR(VLOOKUP(B73,StageData!$A:$B,2,FALSE),"")</f>
        <v/>
      </c>
      <c r="G73" s="11">
        <f>IF(F73="","",TEXTJOIN("; ",TRUE,IF(TRIM(MID(SUBSTITUTE(F73,";",REPT(" ",99)),1,99))="","",IFERROR(VLOOKUP(--LEFT(TRIM(MID(SUBSTITUTE(F73,";",REPT(" ",99)),1,99)),FIND(":",TRIM(MID(SUBSTITUTE(F73,";",REPT(" ",99)),1,99)))-1),_Lookup!$A:$B,2,FALSE),"?")&amp;"×"&amp;MID(TRIM(MID(SUBSTITUTE(F73,";",REPT(" ",99)),1,99)),FIND(":",TRIM(MID(SUBSTITUTE(F73,";",REPT(" ",99)),1,99)))+1,99)),IF(TRIM(MID(SUBSTITUTE(F73,";",REPT(" ",99)),100,99))="","",IFERROR(VLOOKUP(--LEFT(TRIM(MID(SUBSTITUTE(F73,";",REPT(" ",99)),100,99)),FIND(":",TRIM(MID(SUBSTITUTE(F73,";",REPT(" ",99)),100,99)))-1),_Lookup!$A:$B,2,FALSE),"?")&amp;"×"&amp;MID(TRIM(MID(SUBSTITUTE(F73,";",REPT(" ",99)),100,99)),FIND(":",TRIM(MID(SUBSTITUTE(F73,";",REPT(" ",99)),100,99)))+1,99)),IF(TRIM(MID(SUBSTITUTE(F73,";",REPT(" ",99)),199,99))="","",IFERROR(VLOOKUP(--LEFT(TRIM(MID(SUBSTITUTE(F73,";",REPT(" ",99)),199,99)),FIND(":",TRIM(MID(SUBSTITUTE(F73,";",REPT(" ",99)),199,99)))-1),_Lookup!$A:$B,2,FALSE),"?")&amp;"×"&amp;MID(TRIM(MID(SUBSTITUTE(F73,";",REPT(" ",99)),199,99)),FIND(":",TRIM(MID(SUBSTITUTE(F73,";",REPT(" ",99)),199,99)))+1,99)),IF(TRIM(MID(SUBSTITUTE(F73,";",REPT(" ",99)),298,99))="","",IFERROR(VLOOKUP(--LEFT(TRIM(MID(SUBSTITUTE(F73,";",REPT(" ",99)),298,99)),FIND(":",TRIM(MID(SUBSTITUTE(F73,";",REPT(" ",99)),298,99)))-1),_Lookup!$A:$B,2,FALSE),"?")&amp;"×"&amp;MID(TRIM(MID(SUBSTITUTE(F73,";",REPT(" ",99)),298,99)),FIND(":",TRIM(MID(SUBSTITUTE(F73,";",REPT(" ",99)),298,99)))+1,99)),IF(TRIM(MID(SUBSTITUTE(F73,";",REPT(" ",99)),397,99))="","",IFERROR(VLOOKUP(--LEFT(TRIM(MID(SUBSTITUTE(F73,";",REPT(" ",99)),397,99)),FIND(":",TRIM(MID(SUBSTITUTE(F73,";",REPT(" ",99)),397,99)))-1),_Lookup!$A:$B,2,FALSE),"?")&amp;"×"&amp;MID(TRIM(MID(SUBSTITUTE(F73,";",REPT(" ",99)),397,99)),FIND(":",TRIM(MID(SUBSTITUTE(F73,";",REPT(" ",99)),397,99)))+1,99))))</f>
        <v/>
      </c>
    </row>
    <row r="74">
      <c r="C74" s="11">
        <f>IFERROR(VLOOKUP(B74,StageData!$A:$B,2,FALSE),"")</f>
        <v/>
      </c>
      <c r="G74" s="11">
        <f>IF(F74="","",TEXTJOIN("; ",TRUE,IF(TRIM(MID(SUBSTITUTE(F74,";",REPT(" ",99)),1,99))="","",IFERROR(VLOOKUP(--LEFT(TRIM(MID(SUBSTITUTE(F74,";",REPT(" ",99)),1,99)),FIND(":",TRIM(MID(SUBSTITUTE(F74,";",REPT(" ",99)),1,99)))-1),_Lookup!$A:$B,2,FALSE),"?")&amp;"×"&amp;MID(TRIM(MID(SUBSTITUTE(F74,";",REPT(" ",99)),1,99)),FIND(":",TRIM(MID(SUBSTITUTE(F74,";",REPT(" ",99)),1,99)))+1,99)),IF(TRIM(MID(SUBSTITUTE(F74,";",REPT(" ",99)),100,99))="","",IFERROR(VLOOKUP(--LEFT(TRIM(MID(SUBSTITUTE(F74,";",REPT(" ",99)),100,99)),FIND(":",TRIM(MID(SUBSTITUTE(F74,";",REPT(" ",99)),100,99)))-1),_Lookup!$A:$B,2,FALSE),"?")&amp;"×"&amp;MID(TRIM(MID(SUBSTITUTE(F74,";",REPT(" ",99)),100,99)),FIND(":",TRIM(MID(SUBSTITUTE(F74,";",REPT(" ",99)),100,99)))+1,99)),IF(TRIM(MID(SUBSTITUTE(F74,";",REPT(" ",99)),199,99))="","",IFERROR(VLOOKUP(--LEFT(TRIM(MID(SUBSTITUTE(F74,";",REPT(" ",99)),199,99)),FIND(":",TRIM(MID(SUBSTITUTE(F74,";",REPT(" ",99)),199,99)))-1),_Lookup!$A:$B,2,FALSE),"?")&amp;"×"&amp;MID(TRIM(MID(SUBSTITUTE(F74,";",REPT(" ",99)),199,99)),FIND(":",TRIM(MID(SUBSTITUTE(F74,";",REPT(" ",99)),199,99)))+1,99)),IF(TRIM(MID(SUBSTITUTE(F74,";",REPT(" ",99)),298,99))="","",IFERROR(VLOOKUP(--LEFT(TRIM(MID(SUBSTITUTE(F74,";",REPT(" ",99)),298,99)),FIND(":",TRIM(MID(SUBSTITUTE(F74,";",REPT(" ",99)),298,99)))-1),_Lookup!$A:$B,2,FALSE),"?")&amp;"×"&amp;MID(TRIM(MID(SUBSTITUTE(F74,";",REPT(" ",99)),298,99)),FIND(":",TRIM(MID(SUBSTITUTE(F74,";",REPT(" ",99)),298,99)))+1,99)),IF(TRIM(MID(SUBSTITUTE(F74,";",REPT(" ",99)),397,99))="","",IFERROR(VLOOKUP(--LEFT(TRIM(MID(SUBSTITUTE(F74,";",REPT(" ",99)),397,99)),FIND(":",TRIM(MID(SUBSTITUTE(F74,";",REPT(" ",99)),397,99)))-1),_Lookup!$A:$B,2,FALSE),"?")&amp;"×"&amp;MID(TRIM(MID(SUBSTITUTE(F74,";",REPT(" ",99)),397,99)),FIND(":",TRIM(MID(SUBSTITUTE(F74,";",REPT(" ",99)),397,99)))+1,99))))</f>
        <v/>
      </c>
    </row>
    <row r="75">
      <c r="C75" s="11">
        <f>IFERROR(VLOOKUP(B75,StageData!$A:$B,2,FALSE),"")</f>
        <v/>
      </c>
      <c r="G75" s="11">
        <f>IF(F75="","",TEXTJOIN("; ",TRUE,IF(TRIM(MID(SUBSTITUTE(F75,";",REPT(" ",99)),1,99))="","",IFERROR(VLOOKUP(--LEFT(TRIM(MID(SUBSTITUTE(F75,";",REPT(" ",99)),1,99)),FIND(":",TRIM(MID(SUBSTITUTE(F75,";",REPT(" ",99)),1,99)))-1),_Lookup!$A:$B,2,FALSE),"?")&amp;"×"&amp;MID(TRIM(MID(SUBSTITUTE(F75,";",REPT(" ",99)),1,99)),FIND(":",TRIM(MID(SUBSTITUTE(F75,";",REPT(" ",99)),1,99)))+1,99)),IF(TRIM(MID(SUBSTITUTE(F75,";",REPT(" ",99)),100,99))="","",IFERROR(VLOOKUP(--LEFT(TRIM(MID(SUBSTITUTE(F75,";",REPT(" ",99)),100,99)),FIND(":",TRIM(MID(SUBSTITUTE(F75,";",REPT(" ",99)),100,99)))-1),_Lookup!$A:$B,2,FALSE),"?")&amp;"×"&amp;MID(TRIM(MID(SUBSTITUTE(F75,";",REPT(" ",99)),100,99)),FIND(":",TRIM(MID(SUBSTITUTE(F75,";",REPT(" ",99)),100,99)))+1,99)),IF(TRIM(MID(SUBSTITUTE(F75,";",REPT(" ",99)),199,99))="","",IFERROR(VLOOKUP(--LEFT(TRIM(MID(SUBSTITUTE(F75,";",REPT(" ",99)),199,99)),FIND(":",TRIM(MID(SUBSTITUTE(F75,";",REPT(" ",99)),199,99)))-1),_Lookup!$A:$B,2,FALSE),"?")&amp;"×"&amp;MID(TRIM(MID(SUBSTITUTE(F75,";",REPT(" ",99)),199,99)),FIND(":",TRIM(MID(SUBSTITUTE(F75,";",REPT(" ",99)),199,99)))+1,99)),IF(TRIM(MID(SUBSTITUTE(F75,";",REPT(" ",99)),298,99))="","",IFERROR(VLOOKUP(--LEFT(TRIM(MID(SUBSTITUTE(F75,";",REPT(" ",99)),298,99)),FIND(":",TRIM(MID(SUBSTITUTE(F75,";",REPT(" ",99)),298,99)))-1),_Lookup!$A:$B,2,FALSE),"?")&amp;"×"&amp;MID(TRIM(MID(SUBSTITUTE(F75,";",REPT(" ",99)),298,99)),FIND(":",TRIM(MID(SUBSTITUTE(F75,";",REPT(" ",99)),298,99)))+1,99)),IF(TRIM(MID(SUBSTITUTE(F75,";",REPT(" ",99)),397,99))="","",IFERROR(VLOOKUP(--LEFT(TRIM(MID(SUBSTITUTE(F75,";",REPT(" ",99)),397,99)),FIND(":",TRIM(MID(SUBSTITUTE(F75,";",REPT(" ",99)),397,99)))-1),_Lookup!$A:$B,2,FALSE),"?")&amp;"×"&amp;MID(TRIM(MID(SUBSTITUTE(F75,";",REPT(" ",99)),397,99)),FIND(":",TRIM(MID(SUBSTITUTE(F75,";",REPT(" ",99)),397,99)))+1,99))))</f>
        <v/>
      </c>
    </row>
    <row r="76">
      <c r="C76" s="11">
        <f>IFERROR(VLOOKUP(B76,StageData!$A:$B,2,FALSE),"")</f>
        <v/>
      </c>
      <c r="G76" s="11">
        <f>IF(F76="","",TEXTJOIN("; ",TRUE,IF(TRIM(MID(SUBSTITUTE(F76,";",REPT(" ",99)),1,99))="","",IFERROR(VLOOKUP(--LEFT(TRIM(MID(SUBSTITUTE(F76,";",REPT(" ",99)),1,99)),FIND(":",TRIM(MID(SUBSTITUTE(F76,";",REPT(" ",99)),1,99)))-1),_Lookup!$A:$B,2,FALSE),"?")&amp;"×"&amp;MID(TRIM(MID(SUBSTITUTE(F76,";",REPT(" ",99)),1,99)),FIND(":",TRIM(MID(SUBSTITUTE(F76,";",REPT(" ",99)),1,99)))+1,99)),IF(TRIM(MID(SUBSTITUTE(F76,";",REPT(" ",99)),100,99))="","",IFERROR(VLOOKUP(--LEFT(TRIM(MID(SUBSTITUTE(F76,";",REPT(" ",99)),100,99)),FIND(":",TRIM(MID(SUBSTITUTE(F76,";",REPT(" ",99)),100,99)))-1),_Lookup!$A:$B,2,FALSE),"?")&amp;"×"&amp;MID(TRIM(MID(SUBSTITUTE(F76,";",REPT(" ",99)),100,99)),FIND(":",TRIM(MID(SUBSTITUTE(F76,";",REPT(" ",99)),100,99)))+1,99)),IF(TRIM(MID(SUBSTITUTE(F76,";",REPT(" ",99)),199,99))="","",IFERROR(VLOOKUP(--LEFT(TRIM(MID(SUBSTITUTE(F76,";",REPT(" ",99)),199,99)),FIND(":",TRIM(MID(SUBSTITUTE(F76,";",REPT(" ",99)),199,99)))-1),_Lookup!$A:$B,2,FALSE),"?")&amp;"×"&amp;MID(TRIM(MID(SUBSTITUTE(F76,";",REPT(" ",99)),199,99)),FIND(":",TRIM(MID(SUBSTITUTE(F76,";",REPT(" ",99)),199,99)))+1,99)),IF(TRIM(MID(SUBSTITUTE(F76,";",REPT(" ",99)),298,99))="","",IFERROR(VLOOKUP(--LEFT(TRIM(MID(SUBSTITUTE(F76,";",REPT(" ",99)),298,99)),FIND(":",TRIM(MID(SUBSTITUTE(F76,";",REPT(" ",99)),298,99)))-1),_Lookup!$A:$B,2,FALSE),"?")&amp;"×"&amp;MID(TRIM(MID(SUBSTITUTE(F76,";",REPT(" ",99)),298,99)),FIND(":",TRIM(MID(SUBSTITUTE(F76,";",REPT(" ",99)),298,99)))+1,99)),IF(TRIM(MID(SUBSTITUTE(F76,";",REPT(" ",99)),397,99))="","",IFERROR(VLOOKUP(--LEFT(TRIM(MID(SUBSTITUTE(F76,";",REPT(" ",99)),397,99)),FIND(":",TRIM(MID(SUBSTITUTE(F76,";",REPT(" ",99)),397,99)))-1),_Lookup!$A:$B,2,FALSE),"?")&amp;"×"&amp;MID(TRIM(MID(SUBSTITUTE(F76,";",REPT(" ",99)),397,99)),FIND(":",TRIM(MID(SUBSTITUTE(F76,";",REPT(" ",99)),397,99)))+1,99))))</f>
        <v/>
      </c>
    </row>
    <row r="77">
      <c r="C77" s="11">
        <f>IFERROR(VLOOKUP(B77,StageData!$A:$B,2,FALSE),"")</f>
        <v/>
      </c>
      <c r="G77" s="11">
        <f>IF(F77="","",TEXTJOIN("; ",TRUE,IF(TRIM(MID(SUBSTITUTE(F77,";",REPT(" ",99)),1,99))="","",IFERROR(VLOOKUP(--LEFT(TRIM(MID(SUBSTITUTE(F77,";",REPT(" ",99)),1,99)),FIND(":",TRIM(MID(SUBSTITUTE(F77,";",REPT(" ",99)),1,99)))-1),_Lookup!$A:$B,2,FALSE),"?")&amp;"×"&amp;MID(TRIM(MID(SUBSTITUTE(F77,";",REPT(" ",99)),1,99)),FIND(":",TRIM(MID(SUBSTITUTE(F77,";",REPT(" ",99)),1,99)))+1,99)),IF(TRIM(MID(SUBSTITUTE(F77,";",REPT(" ",99)),100,99))="","",IFERROR(VLOOKUP(--LEFT(TRIM(MID(SUBSTITUTE(F77,";",REPT(" ",99)),100,99)),FIND(":",TRIM(MID(SUBSTITUTE(F77,";",REPT(" ",99)),100,99)))-1),_Lookup!$A:$B,2,FALSE),"?")&amp;"×"&amp;MID(TRIM(MID(SUBSTITUTE(F77,";",REPT(" ",99)),100,99)),FIND(":",TRIM(MID(SUBSTITUTE(F77,";",REPT(" ",99)),100,99)))+1,99)),IF(TRIM(MID(SUBSTITUTE(F77,";",REPT(" ",99)),199,99))="","",IFERROR(VLOOKUP(--LEFT(TRIM(MID(SUBSTITUTE(F77,";",REPT(" ",99)),199,99)),FIND(":",TRIM(MID(SUBSTITUTE(F77,";",REPT(" ",99)),199,99)))-1),_Lookup!$A:$B,2,FALSE),"?")&amp;"×"&amp;MID(TRIM(MID(SUBSTITUTE(F77,";",REPT(" ",99)),199,99)),FIND(":",TRIM(MID(SUBSTITUTE(F77,";",REPT(" ",99)),199,99)))+1,99)),IF(TRIM(MID(SUBSTITUTE(F77,";",REPT(" ",99)),298,99))="","",IFERROR(VLOOKUP(--LEFT(TRIM(MID(SUBSTITUTE(F77,";",REPT(" ",99)),298,99)),FIND(":",TRIM(MID(SUBSTITUTE(F77,";",REPT(" ",99)),298,99)))-1),_Lookup!$A:$B,2,FALSE),"?")&amp;"×"&amp;MID(TRIM(MID(SUBSTITUTE(F77,";",REPT(" ",99)),298,99)),FIND(":",TRIM(MID(SUBSTITUTE(F77,";",REPT(" ",99)),298,99)))+1,99)),IF(TRIM(MID(SUBSTITUTE(F77,";",REPT(" ",99)),397,99))="","",IFERROR(VLOOKUP(--LEFT(TRIM(MID(SUBSTITUTE(F77,";",REPT(" ",99)),397,99)),FIND(":",TRIM(MID(SUBSTITUTE(F77,";",REPT(" ",99)),397,99)))-1),_Lookup!$A:$B,2,FALSE),"?")&amp;"×"&amp;MID(TRIM(MID(SUBSTITUTE(F77,";",REPT(" ",99)),397,99)),FIND(":",TRIM(MID(SUBSTITUTE(F77,";",REPT(" ",99)),397,99)))+1,99))))</f>
        <v/>
      </c>
    </row>
    <row r="78">
      <c r="C78" s="11">
        <f>IFERROR(VLOOKUP(B78,StageData!$A:$B,2,FALSE),"")</f>
        <v/>
      </c>
      <c r="G78" s="11">
        <f>IF(F78="","",TEXTJOIN("; ",TRUE,IF(TRIM(MID(SUBSTITUTE(F78,";",REPT(" ",99)),1,99))="","",IFERROR(VLOOKUP(--LEFT(TRIM(MID(SUBSTITUTE(F78,";",REPT(" ",99)),1,99)),FIND(":",TRIM(MID(SUBSTITUTE(F78,";",REPT(" ",99)),1,99)))-1),_Lookup!$A:$B,2,FALSE),"?")&amp;"×"&amp;MID(TRIM(MID(SUBSTITUTE(F78,";",REPT(" ",99)),1,99)),FIND(":",TRIM(MID(SUBSTITUTE(F78,";",REPT(" ",99)),1,99)))+1,99)),IF(TRIM(MID(SUBSTITUTE(F78,";",REPT(" ",99)),100,99))="","",IFERROR(VLOOKUP(--LEFT(TRIM(MID(SUBSTITUTE(F78,";",REPT(" ",99)),100,99)),FIND(":",TRIM(MID(SUBSTITUTE(F78,";",REPT(" ",99)),100,99)))-1),_Lookup!$A:$B,2,FALSE),"?")&amp;"×"&amp;MID(TRIM(MID(SUBSTITUTE(F78,";",REPT(" ",99)),100,99)),FIND(":",TRIM(MID(SUBSTITUTE(F78,";",REPT(" ",99)),100,99)))+1,99)),IF(TRIM(MID(SUBSTITUTE(F78,";",REPT(" ",99)),199,99))="","",IFERROR(VLOOKUP(--LEFT(TRIM(MID(SUBSTITUTE(F78,";",REPT(" ",99)),199,99)),FIND(":",TRIM(MID(SUBSTITUTE(F78,";",REPT(" ",99)),199,99)))-1),_Lookup!$A:$B,2,FALSE),"?")&amp;"×"&amp;MID(TRIM(MID(SUBSTITUTE(F78,";",REPT(" ",99)),199,99)),FIND(":",TRIM(MID(SUBSTITUTE(F78,";",REPT(" ",99)),199,99)))+1,99)),IF(TRIM(MID(SUBSTITUTE(F78,";",REPT(" ",99)),298,99))="","",IFERROR(VLOOKUP(--LEFT(TRIM(MID(SUBSTITUTE(F78,";",REPT(" ",99)),298,99)),FIND(":",TRIM(MID(SUBSTITUTE(F78,";",REPT(" ",99)),298,99)))-1),_Lookup!$A:$B,2,FALSE),"?")&amp;"×"&amp;MID(TRIM(MID(SUBSTITUTE(F78,";",REPT(" ",99)),298,99)),FIND(":",TRIM(MID(SUBSTITUTE(F78,";",REPT(" ",99)),298,99)))+1,99)),IF(TRIM(MID(SUBSTITUTE(F78,";",REPT(" ",99)),397,99))="","",IFERROR(VLOOKUP(--LEFT(TRIM(MID(SUBSTITUTE(F78,";",REPT(" ",99)),397,99)),FIND(":",TRIM(MID(SUBSTITUTE(F78,";",REPT(" ",99)),397,99)))-1),_Lookup!$A:$B,2,FALSE),"?")&amp;"×"&amp;MID(TRIM(MID(SUBSTITUTE(F78,";",REPT(" ",99)),397,99)),FIND(":",TRIM(MID(SUBSTITUTE(F78,";",REPT(" ",99)),397,99)))+1,99))))</f>
        <v/>
      </c>
    </row>
    <row r="79">
      <c r="C79" s="11">
        <f>IFERROR(VLOOKUP(B79,StageData!$A:$B,2,FALSE),"")</f>
        <v/>
      </c>
      <c r="G79" s="11">
        <f>IF(F79="","",TEXTJOIN("; ",TRUE,IF(TRIM(MID(SUBSTITUTE(F79,";",REPT(" ",99)),1,99))="","",IFERROR(VLOOKUP(--LEFT(TRIM(MID(SUBSTITUTE(F79,";",REPT(" ",99)),1,99)),FIND(":",TRIM(MID(SUBSTITUTE(F79,";",REPT(" ",99)),1,99)))-1),_Lookup!$A:$B,2,FALSE),"?")&amp;"×"&amp;MID(TRIM(MID(SUBSTITUTE(F79,";",REPT(" ",99)),1,99)),FIND(":",TRIM(MID(SUBSTITUTE(F79,";",REPT(" ",99)),1,99)))+1,99)),IF(TRIM(MID(SUBSTITUTE(F79,";",REPT(" ",99)),100,99))="","",IFERROR(VLOOKUP(--LEFT(TRIM(MID(SUBSTITUTE(F79,";",REPT(" ",99)),100,99)),FIND(":",TRIM(MID(SUBSTITUTE(F79,";",REPT(" ",99)),100,99)))-1),_Lookup!$A:$B,2,FALSE),"?")&amp;"×"&amp;MID(TRIM(MID(SUBSTITUTE(F79,";",REPT(" ",99)),100,99)),FIND(":",TRIM(MID(SUBSTITUTE(F79,";",REPT(" ",99)),100,99)))+1,99)),IF(TRIM(MID(SUBSTITUTE(F79,";",REPT(" ",99)),199,99))="","",IFERROR(VLOOKUP(--LEFT(TRIM(MID(SUBSTITUTE(F79,";",REPT(" ",99)),199,99)),FIND(":",TRIM(MID(SUBSTITUTE(F79,";",REPT(" ",99)),199,99)))-1),_Lookup!$A:$B,2,FALSE),"?")&amp;"×"&amp;MID(TRIM(MID(SUBSTITUTE(F79,";",REPT(" ",99)),199,99)),FIND(":",TRIM(MID(SUBSTITUTE(F79,";",REPT(" ",99)),199,99)))+1,99)),IF(TRIM(MID(SUBSTITUTE(F79,";",REPT(" ",99)),298,99))="","",IFERROR(VLOOKUP(--LEFT(TRIM(MID(SUBSTITUTE(F79,";",REPT(" ",99)),298,99)),FIND(":",TRIM(MID(SUBSTITUTE(F79,";",REPT(" ",99)),298,99)))-1),_Lookup!$A:$B,2,FALSE),"?")&amp;"×"&amp;MID(TRIM(MID(SUBSTITUTE(F79,";",REPT(" ",99)),298,99)),FIND(":",TRIM(MID(SUBSTITUTE(F79,";",REPT(" ",99)),298,99)))+1,99)),IF(TRIM(MID(SUBSTITUTE(F79,";",REPT(" ",99)),397,99))="","",IFERROR(VLOOKUP(--LEFT(TRIM(MID(SUBSTITUTE(F79,";",REPT(" ",99)),397,99)),FIND(":",TRIM(MID(SUBSTITUTE(F79,";",REPT(" ",99)),397,99)))-1),_Lookup!$A:$B,2,FALSE),"?")&amp;"×"&amp;MID(TRIM(MID(SUBSTITUTE(F79,";",REPT(" ",99)),397,99)),FIND(":",TRIM(MID(SUBSTITUTE(F79,";",REPT(" ",99)),397,99)))+1,99))))</f>
        <v/>
      </c>
    </row>
    <row r="80">
      <c r="C80" s="11">
        <f>IFERROR(VLOOKUP(B80,StageData!$A:$B,2,FALSE),"")</f>
        <v/>
      </c>
      <c r="G80" s="11">
        <f>IF(F80="","",TEXTJOIN("; ",TRUE,IF(TRIM(MID(SUBSTITUTE(F80,";",REPT(" ",99)),1,99))="","",IFERROR(VLOOKUP(--LEFT(TRIM(MID(SUBSTITUTE(F80,";",REPT(" ",99)),1,99)),FIND(":",TRIM(MID(SUBSTITUTE(F80,";",REPT(" ",99)),1,99)))-1),_Lookup!$A:$B,2,FALSE),"?")&amp;"×"&amp;MID(TRIM(MID(SUBSTITUTE(F80,";",REPT(" ",99)),1,99)),FIND(":",TRIM(MID(SUBSTITUTE(F80,";",REPT(" ",99)),1,99)))+1,99)),IF(TRIM(MID(SUBSTITUTE(F80,";",REPT(" ",99)),100,99))="","",IFERROR(VLOOKUP(--LEFT(TRIM(MID(SUBSTITUTE(F80,";",REPT(" ",99)),100,99)),FIND(":",TRIM(MID(SUBSTITUTE(F80,";",REPT(" ",99)),100,99)))-1),_Lookup!$A:$B,2,FALSE),"?")&amp;"×"&amp;MID(TRIM(MID(SUBSTITUTE(F80,";",REPT(" ",99)),100,99)),FIND(":",TRIM(MID(SUBSTITUTE(F80,";",REPT(" ",99)),100,99)))+1,99)),IF(TRIM(MID(SUBSTITUTE(F80,";",REPT(" ",99)),199,99))="","",IFERROR(VLOOKUP(--LEFT(TRIM(MID(SUBSTITUTE(F80,";",REPT(" ",99)),199,99)),FIND(":",TRIM(MID(SUBSTITUTE(F80,";",REPT(" ",99)),199,99)))-1),_Lookup!$A:$B,2,FALSE),"?")&amp;"×"&amp;MID(TRIM(MID(SUBSTITUTE(F80,";",REPT(" ",99)),199,99)),FIND(":",TRIM(MID(SUBSTITUTE(F80,";",REPT(" ",99)),199,99)))+1,99)),IF(TRIM(MID(SUBSTITUTE(F80,";",REPT(" ",99)),298,99))="","",IFERROR(VLOOKUP(--LEFT(TRIM(MID(SUBSTITUTE(F80,";",REPT(" ",99)),298,99)),FIND(":",TRIM(MID(SUBSTITUTE(F80,";",REPT(" ",99)),298,99)))-1),_Lookup!$A:$B,2,FALSE),"?")&amp;"×"&amp;MID(TRIM(MID(SUBSTITUTE(F80,";",REPT(" ",99)),298,99)),FIND(":",TRIM(MID(SUBSTITUTE(F80,";",REPT(" ",99)),298,99)))+1,99)),IF(TRIM(MID(SUBSTITUTE(F80,";",REPT(" ",99)),397,99))="","",IFERROR(VLOOKUP(--LEFT(TRIM(MID(SUBSTITUTE(F80,";",REPT(" ",99)),397,99)),FIND(":",TRIM(MID(SUBSTITUTE(F80,";",REPT(" ",99)),397,99)))-1),_Lookup!$A:$B,2,FALSE),"?")&amp;"×"&amp;MID(TRIM(MID(SUBSTITUTE(F80,";",REPT(" ",99)),397,99)),FIND(":",TRIM(MID(SUBSTITUTE(F80,";",REPT(" ",99)),397,99)))+1,99))))</f>
        <v/>
      </c>
    </row>
    <row r="81">
      <c r="C81" s="11">
        <f>IFERROR(VLOOKUP(B81,StageData!$A:$B,2,FALSE),"")</f>
        <v/>
      </c>
      <c r="G81" s="11">
        <f>IF(F81="","",TEXTJOIN("; ",TRUE,IF(TRIM(MID(SUBSTITUTE(F81,";",REPT(" ",99)),1,99))="","",IFERROR(VLOOKUP(--LEFT(TRIM(MID(SUBSTITUTE(F81,";",REPT(" ",99)),1,99)),FIND(":",TRIM(MID(SUBSTITUTE(F81,";",REPT(" ",99)),1,99)))-1),_Lookup!$A:$B,2,FALSE),"?")&amp;"×"&amp;MID(TRIM(MID(SUBSTITUTE(F81,";",REPT(" ",99)),1,99)),FIND(":",TRIM(MID(SUBSTITUTE(F81,";",REPT(" ",99)),1,99)))+1,99)),IF(TRIM(MID(SUBSTITUTE(F81,";",REPT(" ",99)),100,99))="","",IFERROR(VLOOKUP(--LEFT(TRIM(MID(SUBSTITUTE(F81,";",REPT(" ",99)),100,99)),FIND(":",TRIM(MID(SUBSTITUTE(F81,";",REPT(" ",99)),100,99)))-1),_Lookup!$A:$B,2,FALSE),"?")&amp;"×"&amp;MID(TRIM(MID(SUBSTITUTE(F81,";",REPT(" ",99)),100,99)),FIND(":",TRIM(MID(SUBSTITUTE(F81,";",REPT(" ",99)),100,99)))+1,99)),IF(TRIM(MID(SUBSTITUTE(F81,";",REPT(" ",99)),199,99))="","",IFERROR(VLOOKUP(--LEFT(TRIM(MID(SUBSTITUTE(F81,";",REPT(" ",99)),199,99)),FIND(":",TRIM(MID(SUBSTITUTE(F81,";",REPT(" ",99)),199,99)))-1),_Lookup!$A:$B,2,FALSE),"?")&amp;"×"&amp;MID(TRIM(MID(SUBSTITUTE(F81,";",REPT(" ",99)),199,99)),FIND(":",TRIM(MID(SUBSTITUTE(F81,";",REPT(" ",99)),199,99)))+1,99)),IF(TRIM(MID(SUBSTITUTE(F81,";",REPT(" ",99)),298,99))="","",IFERROR(VLOOKUP(--LEFT(TRIM(MID(SUBSTITUTE(F81,";",REPT(" ",99)),298,99)),FIND(":",TRIM(MID(SUBSTITUTE(F81,";",REPT(" ",99)),298,99)))-1),_Lookup!$A:$B,2,FALSE),"?")&amp;"×"&amp;MID(TRIM(MID(SUBSTITUTE(F81,";",REPT(" ",99)),298,99)),FIND(":",TRIM(MID(SUBSTITUTE(F81,";",REPT(" ",99)),298,99)))+1,99)),IF(TRIM(MID(SUBSTITUTE(F81,";",REPT(" ",99)),397,99))="","",IFERROR(VLOOKUP(--LEFT(TRIM(MID(SUBSTITUTE(F81,";",REPT(" ",99)),397,99)),FIND(":",TRIM(MID(SUBSTITUTE(F81,";",REPT(" ",99)),397,99)))-1),_Lookup!$A:$B,2,FALSE),"?")&amp;"×"&amp;MID(TRIM(MID(SUBSTITUTE(F81,";",REPT(" ",99)),397,99)),FIND(":",TRIM(MID(SUBSTITUTE(F81,";",REPT(" ",99)),397,99)))+1,99))))</f>
        <v/>
      </c>
    </row>
    <row r="82">
      <c r="C82" s="11">
        <f>IFERROR(VLOOKUP(B82,StageData!$A:$B,2,FALSE),"")</f>
        <v/>
      </c>
      <c r="G82" s="11">
        <f>IF(F82="","",TEXTJOIN("; ",TRUE,IF(TRIM(MID(SUBSTITUTE(F82,";",REPT(" ",99)),1,99))="","",IFERROR(VLOOKUP(--LEFT(TRIM(MID(SUBSTITUTE(F82,";",REPT(" ",99)),1,99)),FIND(":",TRIM(MID(SUBSTITUTE(F82,";",REPT(" ",99)),1,99)))-1),_Lookup!$A:$B,2,FALSE),"?")&amp;"×"&amp;MID(TRIM(MID(SUBSTITUTE(F82,";",REPT(" ",99)),1,99)),FIND(":",TRIM(MID(SUBSTITUTE(F82,";",REPT(" ",99)),1,99)))+1,99)),IF(TRIM(MID(SUBSTITUTE(F82,";",REPT(" ",99)),100,99))="","",IFERROR(VLOOKUP(--LEFT(TRIM(MID(SUBSTITUTE(F82,";",REPT(" ",99)),100,99)),FIND(":",TRIM(MID(SUBSTITUTE(F82,";",REPT(" ",99)),100,99)))-1),_Lookup!$A:$B,2,FALSE),"?")&amp;"×"&amp;MID(TRIM(MID(SUBSTITUTE(F82,";",REPT(" ",99)),100,99)),FIND(":",TRIM(MID(SUBSTITUTE(F82,";",REPT(" ",99)),100,99)))+1,99)),IF(TRIM(MID(SUBSTITUTE(F82,";",REPT(" ",99)),199,99))="","",IFERROR(VLOOKUP(--LEFT(TRIM(MID(SUBSTITUTE(F82,";",REPT(" ",99)),199,99)),FIND(":",TRIM(MID(SUBSTITUTE(F82,";",REPT(" ",99)),199,99)))-1),_Lookup!$A:$B,2,FALSE),"?")&amp;"×"&amp;MID(TRIM(MID(SUBSTITUTE(F82,";",REPT(" ",99)),199,99)),FIND(":",TRIM(MID(SUBSTITUTE(F82,";",REPT(" ",99)),199,99)))+1,99)),IF(TRIM(MID(SUBSTITUTE(F82,";",REPT(" ",99)),298,99))="","",IFERROR(VLOOKUP(--LEFT(TRIM(MID(SUBSTITUTE(F82,";",REPT(" ",99)),298,99)),FIND(":",TRIM(MID(SUBSTITUTE(F82,";",REPT(" ",99)),298,99)))-1),_Lookup!$A:$B,2,FALSE),"?")&amp;"×"&amp;MID(TRIM(MID(SUBSTITUTE(F82,";",REPT(" ",99)),298,99)),FIND(":",TRIM(MID(SUBSTITUTE(F82,";",REPT(" ",99)),298,99)))+1,99)),IF(TRIM(MID(SUBSTITUTE(F82,";",REPT(" ",99)),397,99))="","",IFERROR(VLOOKUP(--LEFT(TRIM(MID(SUBSTITUTE(F82,";",REPT(" ",99)),397,99)),FIND(":",TRIM(MID(SUBSTITUTE(F82,";",REPT(" ",99)),397,99)))-1),_Lookup!$A:$B,2,FALSE),"?")&amp;"×"&amp;MID(TRIM(MID(SUBSTITUTE(F82,";",REPT(" ",99)),397,99)),FIND(":",TRIM(MID(SUBSTITUTE(F82,";",REPT(" ",99)),397,99)))+1,99))))</f>
        <v/>
      </c>
    </row>
    <row r="83">
      <c r="C83" s="11">
        <f>IFERROR(VLOOKUP(B83,StageData!$A:$B,2,FALSE),"")</f>
        <v/>
      </c>
      <c r="G83" s="11">
        <f>IF(F83="","",TEXTJOIN("; ",TRUE,IF(TRIM(MID(SUBSTITUTE(F83,";",REPT(" ",99)),1,99))="","",IFERROR(VLOOKUP(--LEFT(TRIM(MID(SUBSTITUTE(F83,";",REPT(" ",99)),1,99)),FIND(":",TRIM(MID(SUBSTITUTE(F83,";",REPT(" ",99)),1,99)))-1),_Lookup!$A:$B,2,FALSE),"?")&amp;"×"&amp;MID(TRIM(MID(SUBSTITUTE(F83,";",REPT(" ",99)),1,99)),FIND(":",TRIM(MID(SUBSTITUTE(F83,";",REPT(" ",99)),1,99)))+1,99)),IF(TRIM(MID(SUBSTITUTE(F83,";",REPT(" ",99)),100,99))="","",IFERROR(VLOOKUP(--LEFT(TRIM(MID(SUBSTITUTE(F83,";",REPT(" ",99)),100,99)),FIND(":",TRIM(MID(SUBSTITUTE(F83,";",REPT(" ",99)),100,99)))-1),_Lookup!$A:$B,2,FALSE),"?")&amp;"×"&amp;MID(TRIM(MID(SUBSTITUTE(F83,";",REPT(" ",99)),100,99)),FIND(":",TRIM(MID(SUBSTITUTE(F83,";",REPT(" ",99)),100,99)))+1,99)),IF(TRIM(MID(SUBSTITUTE(F83,";",REPT(" ",99)),199,99))="","",IFERROR(VLOOKUP(--LEFT(TRIM(MID(SUBSTITUTE(F83,";",REPT(" ",99)),199,99)),FIND(":",TRIM(MID(SUBSTITUTE(F83,";",REPT(" ",99)),199,99)))-1),_Lookup!$A:$B,2,FALSE),"?")&amp;"×"&amp;MID(TRIM(MID(SUBSTITUTE(F83,";",REPT(" ",99)),199,99)),FIND(":",TRIM(MID(SUBSTITUTE(F83,";",REPT(" ",99)),199,99)))+1,99)),IF(TRIM(MID(SUBSTITUTE(F83,";",REPT(" ",99)),298,99))="","",IFERROR(VLOOKUP(--LEFT(TRIM(MID(SUBSTITUTE(F83,";",REPT(" ",99)),298,99)),FIND(":",TRIM(MID(SUBSTITUTE(F83,";",REPT(" ",99)),298,99)))-1),_Lookup!$A:$B,2,FALSE),"?")&amp;"×"&amp;MID(TRIM(MID(SUBSTITUTE(F83,";",REPT(" ",99)),298,99)),FIND(":",TRIM(MID(SUBSTITUTE(F83,";",REPT(" ",99)),298,99)))+1,99)),IF(TRIM(MID(SUBSTITUTE(F83,";",REPT(" ",99)),397,99))="","",IFERROR(VLOOKUP(--LEFT(TRIM(MID(SUBSTITUTE(F83,";",REPT(" ",99)),397,99)),FIND(":",TRIM(MID(SUBSTITUTE(F83,";",REPT(" ",99)),397,99)))-1),_Lookup!$A:$B,2,FALSE),"?")&amp;"×"&amp;MID(TRIM(MID(SUBSTITUTE(F83,";",REPT(" ",99)),397,99)),FIND(":",TRIM(MID(SUBSTITUTE(F83,";",REPT(" ",99)),397,99)))+1,99))))</f>
        <v/>
      </c>
    </row>
    <row r="84">
      <c r="C84" s="11">
        <f>IFERROR(VLOOKUP(B84,StageData!$A:$B,2,FALSE),"")</f>
        <v/>
      </c>
      <c r="G84" s="11">
        <f>IF(F84="","",TEXTJOIN("; ",TRUE,IF(TRIM(MID(SUBSTITUTE(F84,";",REPT(" ",99)),1,99))="","",IFERROR(VLOOKUP(--LEFT(TRIM(MID(SUBSTITUTE(F84,";",REPT(" ",99)),1,99)),FIND(":",TRIM(MID(SUBSTITUTE(F84,";",REPT(" ",99)),1,99)))-1),_Lookup!$A:$B,2,FALSE),"?")&amp;"×"&amp;MID(TRIM(MID(SUBSTITUTE(F84,";",REPT(" ",99)),1,99)),FIND(":",TRIM(MID(SUBSTITUTE(F84,";",REPT(" ",99)),1,99)))+1,99)),IF(TRIM(MID(SUBSTITUTE(F84,";",REPT(" ",99)),100,99))="","",IFERROR(VLOOKUP(--LEFT(TRIM(MID(SUBSTITUTE(F84,";",REPT(" ",99)),100,99)),FIND(":",TRIM(MID(SUBSTITUTE(F84,";",REPT(" ",99)),100,99)))-1),_Lookup!$A:$B,2,FALSE),"?")&amp;"×"&amp;MID(TRIM(MID(SUBSTITUTE(F84,";",REPT(" ",99)),100,99)),FIND(":",TRIM(MID(SUBSTITUTE(F84,";",REPT(" ",99)),100,99)))+1,99)),IF(TRIM(MID(SUBSTITUTE(F84,";",REPT(" ",99)),199,99))="","",IFERROR(VLOOKUP(--LEFT(TRIM(MID(SUBSTITUTE(F84,";",REPT(" ",99)),199,99)),FIND(":",TRIM(MID(SUBSTITUTE(F84,";",REPT(" ",99)),199,99)))-1),_Lookup!$A:$B,2,FALSE),"?")&amp;"×"&amp;MID(TRIM(MID(SUBSTITUTE(F84,";",REPT(" ",99)),199,99)),FIND(":",TRIM(MID(SUBSTITUTE(F84,";",REPT(" ",99)),199,99)))+1,99)),IF(TRIM(MID(SUBSTITUTE(F84,";",REPT(" ",99)),298,99))="","",IFERROR(VLOOKUP(--LEFT(TRIM(MID(SUBSTITUTE(F84,";",REPT(" ",99)),298,99)),FIND(":",TRIM(MID(SUBSTITUTE(F84,";",REPT(" ",99)),298,99)))-1),_Lookup!$A:$B,2,FALSE),"?")&amp;"×"&amp;MID(TRIM(MID(SUBSTITUTE(F84,";",REPT(" ",99)),298,99)),FIND(":",TRIM(MID(SUBSTITUTE(F84,";",REPT(" ",99)),298,99)))+1,99)),IF(TRIM(MID(SUBSTITUTE(F84,";",REPT(" ",99)),397,99))="","",IFERROR(VLOOKUP(--LEFT(TRIM(MID(SUBSTITUTE(F84,";",REPT(" ",99)),397,99)),FIND(":",TRIM(MID(SUBSTITUTE(F84,";",REPT(" ",99)),397,99)))-1),_Lookup!$A:$B,2,FALSE),"?")&amp;"×"&amp;MID(TRIM(MID(SUBSTITUTE(F84,";",REPT(" ",99)),397,99)),FIND(":",TRIM(MID(SUBSTITUTE(F84,";",REPT(" ",99)),397,99)))+1,99))))</f>
        <v/>
      </c>
    </row>
    <row r="85">
      <c r="C85" s="11">
        <f>IFERROR(VLOOKUP(B85,StageData!$A:$B,2,FALSE),"")</f>
        <v/>
      </c>
      <c r="G85" s="11">
        <f>IF(F85="","",TEXTJOIN("; ",TRUE,IF(TRIM(MID(SUBSTITUTE(F85,";",REPT(" ",99)),1,99))="","",IFERROR(VLOOKUP(--LEFT(TRIM(MID(SUBSTITUTE(F85,";",REPT(" ",99)),1,99)),FIND(":",TRIM(MID(SUBSTITUTE(F85,";",REPT(" ",99)),1,99)))-1),_Lookup!$A:$B,2,FALSE),"?")&amp;"×"&amp;MID(TRIM(MID(SUBSTITUTE(F85,";",REPT(" ",99)),1,99)),FIND(":",TRIM(MID(SUBSTITUTE(F85,";",REPT(" ",99)),1,99)))+1,99)),IF(TRIM(MID(SUBSTITUTE(F85,";",REPT(" ",99)),100,99))="","",IFERROR(VLOOKUP(--LEFT(TRIM(MID(SUBSTITUTE(F85,";",REPT(" ",99)),100,99)),FIND(":",TRIM(MID(SUBSTITUTE(F85,";",REPT(" ",99)),100,99)))-1),_Lookup!$A:$B,2,FALSE),"?")&amp;"×"&amp;MID(TRIM(MID(SUBSTITUTE(F85,";",REPT(" ",99)),100,99)),FIND(":",TRIM(MID(SUBSTITUTE(F85,";",REPT(" ",99)),100,99)))+1,99)),IF(TRIM(MID(SUBSTITUTE(F85,";",REPT(" ",99)),199,99))="","",IFERROR(VLOOKUP(--LEFT(TRIM(MID(SUBSTITUTE(F85,";",REPT(" ",99)),199,99)),FIND(":",TRIM(MID(SUBSTITUTE(F85,";",REPT(" ",99)),199,99)))-1),_Lookup!$A:$B,2,FALSE),"?")&amp;"×"&amp;MID(TRIM(MID(SUBSTITUTE(F85,";",REPT(" ",99)),199,99)),FIND(":",TRIM(MID(SUBSTITUTE(F85,";",REPT(" ",99)),199,99)))+1,99)),IF(TRIM(MID(SUBSTITUTE(F85,";",REPT(" ",99)),298,99))="","",IFERROR(VLOOKUP(--LEFT(TRIM(MID(SUBSTITUTE(F85,";",REPT(" ",99)),298,99)),FIND(":",TRIM(MID(SUBSTITUTE(F85,";",REPT(" ",99)),298,99)))-1),_Lookup!$A:$B,2,FALSE),"?")&amp;"×"&amp;MID(TRIM(MID(SUBSTITUTE(F85,";",REPT(" ",99)),298,99)),FIND(":",TRIM(MID(SUBSTITUTE(F85,";",REPT(" ",99)),298,99)))+1,99)),IF(TRIM(MID(SUBSTITUTE(F85,";",REPT(" ",99)),397,99))="","",IFERROR(VLOOKUP(--LEFT(TRIM(MID(SUBSTITUTE(F85,";",REPT(" ",99)),397,99)),FIND(":",TRIM(MID(SUBSTITUTE(F85,";",REPT(" ",99)),397,99)))-1),_Lookup!$A:$B,2,FALSE),"?")&amp;"×"&amp;MID(TRIM(MID(SUBSTITUTE(F85,";",REPT(" ",99)),397,99)),FIND(":",TRIM(MID(SUBSTITUTE(F85,";",REPT(" ",99)),397,99)))+1,99))))</f>
        <v/>
      </c>
    </row>
    <row r="86">
      <c r="C86" s="11">
        <f>IFERROR(VLOOKUP(B86,StageData!$A:$B,2,FALSE),"")</f>
        <v/>
      </c>
      <c r="G86" s="11">
        <f>IF(F86="","",TEXTJOIN("; ",TRUE,IF(TRIM(MID(SUBSTITUTE(F86,";",REPT(" ",99)),1,99))="","",IFERROR(VLOOKUP(--LEFT(TRIM(MID(SUBSTITUTE(F86,";",REPT(" ",99)),1,99)),FIND(":",TRIM(MID(SUBSTITUTE(F86,";",REPT(" ",99)),1,99)))-1),_Lookup!$A:$B,2,FALSE),"?")&amp;"×"&amp;MID(TRIM(MID(SUBSTITUTE(F86,";",REPT(" ",99)),1,99)),FIND(":",TRIM(MID(SUBSTITUTE(F86,";",REPT(" ",99)),1,99)))+1,99)),IF(TRIM(MID(SUBSTITUTE(F86,";",REPT(" ",99)),100,99))="","",IFERROR(VLOOKUP(--LEFT(TRIM(MID(SUBSTITUTE(F86,";",REPT(" ",99)),100,99)),FIND(":",TRIM(MID(SUBSTITUTE(F86,";",REPT(" ",99)),100,99)))-1),_Lookup!$A:$B,2,FALSE),"?")&amp;"×"&amp;MID(TRIM(MID(SUBSTITUTE(F86,";",REPT(" ",99)),100,99)),FIND(":",TRIM(MID(SUBSTITUTE(F86,";",REPT(" ",99)),100,99)))+1,99)),IF(TRIM(MID(SUBSTITUTE(F86,";",REPT(" ",99)),199,99))="","",IFERROR(VLOOKUP(--LEFT(TRIM(MID(SUBSTITUTE(F86,";",REPT(" ",99)),199,99)),FIND(":",TRIM(MID(SUBSTITUTE(F86,";",REPT(" ",99)),199,99)))-1),_Lookup!$A:$B,2,FALSE),"?")&amp;"×"&amp;MID(TRIM(MID(SUBSTITUTE(F86,";",REPT(" ",99)),199,99)),FIND(":",TRIM(MID(SUBSTITUTE(F86,";",REPT(" ",99)),199,99)))+1,99)),IF(TRIM(MID(SUBSTITUTE(F86,";",REPT(" ",99)),298,99))="","",IFERROR(VLOOKUP(--LEFT(TRIM(MID(SUBSTITUTE(F86,";",REPT(" ",99)),298,99)),FIND(":",TRIM(MID(SUBSTITUTE(F86,";",REPT(" ",99)),298,99)))-1),_Lookup!$A:$B,2,FALSE),"?")&amp;"×"&amp;MID(TRIM(MID(SUBSTITUTE(F86,";",REPT(" ",99)),298,99)),FIND(":",TRIM(MID(SUBSTITUTE(F86,";",REPT(" ",99)),298,99)))+1,99)),IF(TRIM(MID(SUBSTITUTE(F86,";",REPT(" ",99)),397,99))="","",IFERROR(VLOOKUP(--LEFT(TRIM(MID(SUBSTITUTE(F86,";",REPT(" ",99)),397,99)),FIND(":",TRIM(MID(SUBSTITUTE(F86,";",REPT(" ",99)),397,99)))-1),_Lookup!$A:$B,2,FALSE),"?")&amp;"×"&amp;MID(TRIM(MID(SUBSTITUTE(F86,";",REPT(" ",99)),397,99)),FIND(":",TRIM(MID(SUBSTITUTE(F86,";",REPT(" ",99)),397,99)))+1,99))))</f>
        <v/>
      </c>
    </row>
    <row r="87">
      <c r="C87" s="11">
        <f>IFERROR(VLOOKUP(B87,StageData!$A:$B,2,FALSE),"")</f>
        <v/>
      </c>
      <c r="G87" s="11">
        <f>IF(F87="","",TEXTJOIN("; ",TRUE,IF(TRIM(MID(SUBSTITUTE(F87,";",REPT(" ",99)),1,99))="","",IFERROR(VLOOKUP(--LEFT(TRIM(MID(SUBSTITUTE(F87,";",REPT(" ",99)),1,99)),FIND(":",TRIM(MID(SUBSTITUTE(F87,";",REPT(" ",99)),1,99)))-1),_Lookup!$A:$B,2,FALSE),"?")&amp;"×"&amp;MID(TRIM(MID(SUBSTITUTE(F87,";",REPT(" ",99)),1,99)),FIND(":",TRIM(MID(SUBSTITUTE(F87,";",REPT(" ",99)),1,99)))+1,99)),IF(TRIM(MID(SUBSTITUTE(F87,";",REPT(" ",99)),100,99))="","",IFERROR(VLOOKUP(--LEFT(TRIM(MID(SUBSTITUTE(F87,";",REPT(" ",99)),100,99)),FIND(":",TRIM(MID(SUBSTITUTE(F87,";",REPT(" ",99)),100,99)))-1),_Lookup!$A:$B,2,FALSE),"?")&amp;"×"&amp;MID(TRIM(MID(SUBSTITUTE(F87,";",REPT(" ",99)),100,99)),FIND(":",TRIM(MID(SUBSTITUTE(F87,";",REPT(" ",99)),100,99)))+1,99)),IF(TRIM(MID(SUBSTITUTE(F87,";",REPT(" ",99)),199,99))="","",IFERROR(VLOOKUP(--LEFT(TRIM(MID(SUBSTITUTE(F87,";",REPT(" ",99)),199,99)),FIND(":",TRIM(MID(SUBSTITUTE(F87,";",REPT(" ",99)),199,99)))-1),_Lookup!$A:$B,2,FALSE),"?")&amp;"×"&amp;MID(TRIM(MID(SUBSTITUTE(F87,";",REPT(" ",99)),199,99)),FIND(":",TRIM(MID(SUBSTITUTE(F87,";",REPT(" ",99)),199,99)))+1,99)),IF(TRIM(MID(SUBSTITUTE(F87,";",REPT(" ",99)),298,99))="","",IFERROR(VLOOKUP(--LEFT(TRIM(MID(SUBSTITUTE(F87,";",REPT(" ",99)),298,99)),FIND(":",TRIM(MID(SUBSTITUTE(F87,";",REPT(" ",99)),298,99)))-1),_Lookup!$A:$B,2,FALSE),"?")&amp;"×"&amp;MID(TRIM(MID(SUBSTITUTE(F87,";",REPT(" ",99)),298,99)),FIND(":",TRIM(MID(SUBSTITUTE(F87,";",REPT(" ",99)),298,99)))+1,99)),IF(TRIM(MID(SUBSTITUTE(F87,";",REPT(" ",99)),397,99))="","",IFERROR(VLOOKUP(--LEFT(TRIM(MID(SUBSTITUTE(F87,";",REPT(" ",99)),397,99)),FIND(":",TRIM(MID(SUBSTITUTE(F87,";",REPT(" ",99)),397,99)))-1),_Lookup!$A:$B,2,FALSE),"?")&amp;"×"&amp;MID(TRIM(MID(SUBSTITUTE(F87,";",REPT(" ",99)),397,99)),FIND(":",TRIM(MID(SUBSTITUTE(F87,";",REPT(" ",99)),397,99)))+1,99))))</f>
        <v/>
      </c>
    </row>
    <row r="88">
      <c r="C88" s="11">
        <f>IFERROR(VLOOKUP(B88,StageData!$A:$B,2,FALSE),"")</f>
        <v/>
      </c>
      <c r="G88" s="11">
        <f>IF(F88="","",TEXTJOIN("; ",TRUE,IF(TRIM(MID(SUBSTITUTE(F88,";",REPT(" ",99)),1,99))="","",IFERROR(VLOOKUP(--LEFT(TRIM(MID(SUBSTITUTE(F88,";",REPT(" ",99)),1,99)),FIND(":",TRIM(MID(SUBSTITUTE(F88,";",REPT(" ",99)),1,99)))-1),_Lookup!$A:$B,2,FALSE),"?")&amp;"×"&amp;MID(TRIM(MID(SUBSTITUTE(F88,";",REPT(" ",99)),1,99)),FIND(":",TRIM(MID(SUBSTITUTE(F88,";",REPT(" ",99)),1,99)))+1,99)),IF(TRIM(MID(SUBSTITUTE(F88,";",REPT(" ",99)),100,99))="","",IFERROR(VLOOKUP(--LEFT(TRIM(MID(SUBSTITUTE(F88,";",REPT(" ",99)),100,99)),FIND(":",TRIM(MID(SUBSTITUTE(F88,";",REPT(" ",99)),100,99)))-1),_Lookup!$A:$B,2,FALSE),"?")&amp;"×"&amp;MID(TRIM(MID(SUBSTITUTE(F88,";",REPT(" ",99)),100,99)),FIND(":",TRIM(MID(SUBSTITUTE(F88,";",REPT(" ",99)),100,99)))+1,99)),IF(TRIM(MID(SUBSTITUTE(F88,";",REPT(" ",99)),199,99))="","",IFERROR(VLOOKUP(--LEFT(TRIM(MID(SUBSTITUTE(F88,";",REPT(" ",99)),199,99)),FIND(":",TRIM(MID(SUBSTITUTE(F88,";",REPT(" ",99)),199,99)))-1),_Lookup!$A:$B,2,FALSE),"?")&amp;"×"&amp;MID(TRIM(MID(SUBSTITUTE(F88,";",REPT(" ",99)),199,99)),FIND(":",TRIM(MID(SUBSTITUTE(F88,";",REPT(" ",99)),199,99)))+1,99)),IF(TRIM(MID(SUBSTITUTE(F88,";",REPT(" ",99)),298,99))="","",IFERROR(VLOOKUP(--LEFT(TRIM(MID(SUBSTITUTE(F88,";",REPT(" ",99)),298,99)),FIND(":",TRIM(MID(SUBSTITUTE(F88,";",REPT(" ",99)),298,99)))-1),_Lookup!$A:$B,2,FALSE),"?")&amp;"×"&amp;MID(TRIM(MID(SUBSTITUTE(F88,";",REPT(" ",99)),298,99)),FIND(":",TRIM(MID(SUBSTITUTE(F88,";",REPT(" ",99)),298,99)))+1,99)),IF(TRIM(MID(SUBSTITUTE(F88,";",REPT(" ",99)),397,99))="","",IFERROR(VLOOKUP(--LEFT(TRIM(MID(SUBSTITUTE(F88,";",REPT(" ",99)),397,99)),FIND(":",TRIM(MID(SUBSTITUTE(F88,";",REPT(" ",99)),397,99)))-1),_Lookup!$A:$B,2,FALSE),"?")&amp;"×"&amp;MID(TRIM(MID(SUBSTITUTE(F88,";",REPT(" ",99)),397,99)),FIND(":",TRIM(MID(SUBSTITUTE(F88,";",REPT(" ",99)),397,99)))+1,99))))</f>
        <v/>
      </c>
    </row>
    <row r="89">
      <c r="C89" s="11">
        <f>IFERROR(VLOOKUP(B89,StageData!$A:$B,2,FALSE),"")</f>
        <v/>
      </c>
      <c r="G89" s="11">
        <f>IF(F89="","",TEXTJOIN("; ",TRUE,IF(TRIM(MID(SUBSTITUTE(F89,";",REPT(" ",99)),1,99))="","",IFERROR(VLOOKUP(--LEFT(TRIM(MID(SUBSTITUTE(F89,";",REPT(" ",99)),1,99)),FIND(":",TRIM(MID(SUBSTITUTE(F89,";",REPT(" ",99)),1,99)))-1),_Lookup!$A:$B,2,FALSE),"?")&amp;"×"&amp;MID(TRIM(MID(SUBSTITUTE(F89,";",REPT(" ",99)),1,99)),FIND(":",TRIM(MID(SUBSTITUTE(F89,";",REPT(" ",99)),1,99)))+1,99)),IF(TRIM(MID(SUBSTITUTE(F89,";",REPT(" ",99)),100,99))="","",IFERROR(VLOOKUP(--LEFT(TRIM(MID(SUBSTITUTE(F89,";",REPT(" ",99)),100,99)),FIND(":",TRIM(MID(SUBSTITUTE(F89,";",REPT(" ",99)),100,99)))-1),_Lookup!$A:$B,2,FALSE),"?")&amp;"×"&amp;MID(TRIM(MID(SUBSTITUTE(F89,";",REPT(" ",99)),100,99)),FIND(":",TRIM(MID(SUBSTITUTE(F89,";",REPT(" ",99)),100,99)))+1,99)),IF(TRIM(MID(SUBSTITUTE(F89,";",REPT(" ",99)),199,99))="","",IFERROR(VLOOKUP(--LEFT(TRIM(MID(SUBSTITUTE(F89,";",REPT(" ",99)),199,99)),FIND(":",TRIM(MID(SUBSTITUTE(F89,";",REPT(" ",99)),199,99)))-1),_Lookup!$A:$B,2,FALSE),"?")&amp;"×"&amp;MID(TRIM(MID(SUBSTITUTE(F89,";",REPT(" ",99)),199,99)),FIND(":",TRIM(MID(SUBSTITUTE(F89,";",REPT(" ",99)),199,99)))+1,99)),IF(TRIM(MID(SUBSTITUTE(F89,";",REPT(" ",99)),298,99))="","",IFERROR(VLOOKUP(--LEFT(TRIM(MID(SUBSTITUTE(F89,";",REPT(" ",99)),298,99)),FIND(":",TRIM(MID(SUBSTITUTE(F89,";",REPT(" ",99)),298,99)))-1),_Lookup!$A:$B,2,FALSE),"?")&amp;"×"&amp;MID(TRIM(MID(SUBSTITUTE(F89,";",REPT(" ",99)),298,99)),FIND(":",TRIM(MID(SUBSTITUTE(F89,";",REPT(" ",99)),298,99)))+1,99)),IF(TRIM(MID(SUBSTITUTE(F89,";",REPT(" ",99)),397,99))="","",IFERROR(VLOOKUP(--LEFT(TRIM(MID(SUBSTITUTE(F89,";",REPT(" ",99)),397,99)),FIND(":",TRIM(MID(SUBSTITUTE(F89,";",REPT(" ",99)),397,99)))-1),_Lookup!$A:$B,2,FALSE),"?")&amp;"×"&amp;MID(TRIM(MID(SUBSTITUTE(F89,";",REPT(" ",99)),397,99)),FIND(":",TRIM(MID(SUBSTITUTE(F89,";",REPT(" ",99)),397,99)))+1,99))))</f>
        <v/>
      </c>
    </row>
    <row r="90">
      <c r="C90" s="11">
        <f>IFERROR(VLOOKUP(B90,StageData!$A:$B,2,FALSE),"")</f>
        <v/>
      </c>
      <c r="G90" s="11">
        <f>IF(F90="","",TEXTJOIN("; ",TRUE,IF(TRIM(MID(SUBSTITUTE(F90,";",REPT(" ",99)),1,99))="","",IFERROR(VLOOKUP(--LEFT(TRIM(MID(SUBSTITUTE(F90,";",REPT(" ",99)),1,99)),FIND(":",TRIM(MID(SUBSTITUTE(F90,";",REPT(" ",99)),1,99)))-1),_Lookup!$A:$B,2,FALSE),"?")&amp;"×"&amp;MID(TRIM(MID(SUBSTITUTE(F90,";",REPT(" ",99)),1,99)),FIND(":",TRIM(MID(SUBSTITUTE(F90,";",REPT(" ",99)),1,99)))+1,99)),IF(TRIM(MID(SUBSTITUTE(F90,";",REPT(" ",99)),100,99))="","",IFERROR(VLOOKUP(--LEFT(TRIM(MID(SUBSTITUTE(F90,";",REPT(" ",99)),100,99)),FIND(":",TRIM(MID(SUBSTITUTE(F90,";",REPT(" ",99)),100,99)))-1),_Lookup!$A:$B,2,FALSE),"?")&amp;"×"&amp;MID(TRIM(MID(SUBSTITUTE(F90,";",REPT(" ",99)),100,99)),FIND(":",TRIM(MID(SUBSTITUTE(F90,";",REPT(" ",99)),100,99)))+1,99)),IF(TRIM(MID(SUBSTITUTE(F90,";",REPT(" ",99)),199,99))="","",IFERROR(VLOOKUP(--LEFT(TRIM(MID(SUBSTITUTE(F90,";",REPT(" ",99)),199,99)),FIND(":",TRIM(MID(SUBSTITUTE(F90,";",REPT(" ",99)),199,99)))-1),_Lookup!$A:$B,2,FALSE),"?")&amp;"×"&amp;MID(TRIM(MID(SUBSTITUTE(F90,";",REPT(" ",99)),199,99)),FIND(":",TRIM(MID(SUBSTITUTE(F90,";",REPT(" ",99)),199,99)))+1,99)),IF(TRIM(MID(SUBSTITUTE(F90,";",REPT(" ",99)),298,99))="","",IFERROR(VLOOKUP(--LEFT(TRIM(MID(SUBSTITUTE(F90,";",REPT(" ",99)),298,99)),FIND(":",TRIM(MID(SUBSTITUTE(F90,";",REPT(" ",99)),298,99)))-1),_Lookup!$A:$B,2,FALSE),"?")&amp;"×"&amp;MID(TRIM(MID(SUBSTITUTE(F90,";",REPT(" ",99)),298,99)),FIND(":",TRIM(MID(SUBSTITUTE(F90,";",REPT(" ",99)),298,99)))+1,99)),IF(TRIM(MID(SUBSTITUTE(F90,";",REPT(" ",99)),397,99))="","",IFERROR(VLOOKUP(--LEFT(TRIM(MID(SUBSTITUTE(F90,";",REPT(" ",99)),397,99)),FIND(":",TRIM(MID(SUBSTITUTE(F90,";",REPT(" ",99)),397,99)))-1),_Lookup!$A:$B,2,FALSE),"?")&amp;"×"&amp;MID(TRIM(MID(SUBSTITUTE(F90,";",REPT(" ",99)),397,99)),FIND(":",TRIM(MID(SUBSTITUTE(F90,";",REPT(" ",99)),397,99)))+1,99))))</f>
        <v/>
      </c>
    </row>
    <row r="91">
      <c r="C91" s="11">
        <f>IFERROR(VLOOKUP(B91,StageData!$A:$B,2,FALSE),"")</f>
        <v/>
      </c>
      <c r="G91" s="11">
        <f>IF(F91="","",TEXTJOIN("; ",TRUE,IF(TRIM(MID(SUBSTITUTE(F91,";",REPT(" ",99)),1,99))="","",IFERROR(VLOOKUP(--LEFT(TRIM(MID(SUBSTITUTE(F91,";",REPT(" ",99)),1,99)),FIND(":",TRIM(MID(SUBSTITUTE(F91,";",REPT(" ",99)),1,99)))-1),_Lookup!$A:$B,2,FALSE),"?")&amp;"×"&amp;MID(TRIM(MID(SUBSTITUTE(F91,";",REPT(" ",99)),1,99)),FIND(":",TRIM(MID(SUBSTITUTE(F91,";",REPT(" ",99)),1,99)))+1,99)),IF(TRIM(MID(SUBSTITUTE(F91,";",REPT(" ",99)),100,99))="","",IFERROR(VLOOKUP(--LEFT(TRIM(MID(SUBSTITUTE(F91,";",REPT(" ",99)),100,99)),FIND(":",TRIM(MID(SUBSTITUTE(F91,";",REPT(" ",99)),100,99)))-1),_Lookup!$A:$B,2,FALSE),"?")&amp;"×"&amp;MID(TRIM(MID(SUBSTITUTE(F91,";",REPT(" ",99)),100,99)),FIND(":",TRIM(MID(SUBSTITUTE(F91,";",REPT(" ",99)),100,99)))+1,99)),IF(TRIM(MID(SUBSTITUTE(F91,";",REPT(" ",99)),199,99))="","",IFERROR(VLOOKUP(--LEFT(TRIM(MID(SUBSTITUTE(F91,";",REPT(" ",99)),199,99)),FIND(":",TRIM(MID(SUBSTITUTE(F91,";",REPT(" ",99)),199,99)))-1),_Lookup!$A:$B,2,FALSE),"?")&amp;"×"&amp;MID(TRIM(MID(SUBSTITUTE(F91,";",REPT(" ",99)),199,99)),FIND(":",TRIM(MID(SUBSTITUTE(F91,";",REPT(" ",99)),199,99)))+1,99)),IF(TRIM(MID(SUBSTITUTE(F91,";",REPT(" ",99)),298,99))="","",IFERROR(VLOOKUP(--LEFT(TRIM(MID(SUBSTITUTE(F91,";",REPT(" ",99)),298,99)),FIND(":",TRIM(MID(SUBSTITUTE(F91,";",REPT(" ",99)),298,99)))-1),_Lookup!$A:$B,2,FALSE),"?")&amp;"×"&amp;MID(TRIM(MID(SUBSTITUTE(F91,";",REPT(" ",99)),298,99)),FIND(":",TRIM(MID(SUBSTITUTE(F91,";",REPT(" ",99)),298,99)))+1,99)),IF(TRIM(MID(SUBSTITUTE(F91,";",REPT(" ",99)),397,99))="","",IFERROR(VLOOKUP(--LEFT(TRIM(MID(SUBSTITUTE(F91,";",REPT(" ",99)),397,99)),FIND(":",TRIM(MID(SUBSTITUTE(F91,";",REPT(" ",99)),397,99)))-1),_Lookup!$A:$B,2,FALSE),"?")&amp;"×"&amp;MID(TRIM(MID(SUBSTITUTE(F91,";",REPT(" ",99)),397,99)),FIND(":",TRIM(MID(SUBSTITUTE(F91,";",REPT(" ",99)),397,99)))+1,99))))</f>
        <v/>
      </c>
    </row>
    <row r="92">
      <c r="C92" s="11">
        <f>IFERROR(VLOOKUP(B92,StageData!$A:$B,2,FALSE),"")</f>
        <v/>
      </c>
      <c r="G92" s="11">
        <f>IF(F92="","",TEXTJOIN("; ",TRUE,IF(TRIM(MID(SUBSTITUTE(F92,";",REPT(" ",99)),1,99))="","",IFERROR(VLOOKUP(--LEFT(TRIM(MID(SUBSTITUTE(F92,";",REPT(" ",99)),1,99)),FIND(":",TRIM(MID(SUBSTITUTE(F92,";",REPT(" ",99)),1,99)))-1),_Lookup!$A:$B,2,FALSE),"?")&amp;"×"&amp;MID(TRIM(MID(SUBSTITUTE(F92,";",REPT(" ",99)),1,99)),FIND(":",TRIM(MID(SUBSTITUTE(F92,";",REPT(" ",99)),1,99)))+1,99)),IF(TRIM(MID(SUBSTITUTE(F92,";",REPT(" ",99)),100,99))="","",IFERROR(VLOOKUP(--LEFT(TRIM(MID(SUBSTITUTE(F92,";",REPT(" ",99)),100,99)),FIND(":",TRIM(MID(SUBSTITUTE(F92,";",REPT(" ",99)),100,99)))-1),_Lookup!$A:$B,2,FALSE),"?")&amp;"×"&amp;MID(TRIM(MID(SUBSTITUTE(F92,";",REPT(" ",99)),100,99)),FIND(":",TRIM(MID(SUBSTITUTE(F92,";",REPT(" ",99)),100,99)))+1,99)),IF(TRIM(MID(SUBSTITUTE(F92,";",REPT(" ",99)),199,99))="","",IFERROR(VLOOKUP(--LEFT(TRIM(MID(SUBSTITUTE(F92,";",REPT(" ",99)),199,99)),FIND(":",TRIM(MID(SUBSTITUTE(F92,";",REPT(" ",99)),199,99)))-1),_Lookup!$A:$B,2,FALSE),"?")&amp;"×"&amp;MID(TRIM(MID(SUBSTITUTE(F92,";",REPT(" ",99)),199,99)),FIND(":",TRIM(MID(SUBSTITUTE(F92,";",REPT(" ",99)),199,99)))+1,99)),IF(TRIM(MID(SUBSTITUTE(F92,";",REPT(" ",99)),298,99))="","",IFERROR(VLOOKUP(--LEFT(TRIM(MID(SUBSTITUTE(F92,";",REPT(" ",99)),298,99)),FIND(":",TRIM(MID(SUBSTITUTE(F92,";",REPT(" ",99)),298,99)))-1),_Lookup!$A:$B,2,FALSE),"?")&amp;"×"&amp;MID(TRIM(MID(SUBSTITUTE(F92,";",REPT(" ",99)),298,99)),FIND(":",TRIM(MID(SUBSTITUTE(F92,";",REPT(" ",99)),298,99)))+1,99)),IF(TRIM(MID(SUBSTITUTE(F92,";",REPT(" ",99)),397,99))="","",IFERROR(VLOOKUP(--LEFT(TRIM(MID(SUBSTITUTE(F92,";",REPT(" ",99)),397,99)),FIND(":",TRIM(MID(SUBSTITUTE(F92,";",REPT(" ",99)),397,99)))-1),_Lookup!$A:$B,2,FALSE),"?")&amp;"×"&amp;MID(TRIM(MID(SUBSTITUTE(F92,";",REPT(" ",99)),397,99)),FIND(":",TRIM(MID(SUBSTITUTE(F92,";",REPT(" ",99)),397,99)))+1,99))))</f>
        <v/>
      </c>
    </row>
    <row r="93">
      <c r="C93" s="11">
        <f>IFERROR(VLOOKUP(B93,StageData!$A:$B,2,FALSE),"")</f>
        <v/>
      </c>
      <c r="G93" s="11">
        <f>IF(F93="","",TEXTJOIN("; ",TRUE,IF(TRIM(MID(SUBSTITUTE(F93,";",REPT(" ",99)),1,99))="","",IFERROR(VLOOKUP(--LEFT(TRIM(MID(SUBSTITUTE(F93,";",REPT(" ",99)),1,99)),FIND(":",TRIM(MID(SUBSTITUTE(F93,";",REPT(" ",99)),1,99)))-1),_Lookup!$A:$B,2,FALSE),"?")&amp;"×"&amp;MID(TRIM(MID(SUBSTITUTE(F93,";",REPT(" ",99)),1,99)),FIND(":",TRIM(MID(SUBSTITUTE(F93,";",REPT(" ",99)),1,99)))+1,99)),IF(TRIM(MID(SUBSTITUTE(F93,";",REPT(" ",99)),100,99))="","",IFERROR(VLOOKUP(--LEFT(TRIM(MID(SUBSTITUTE(F93,";",REPT(" ",99)),100,99)),FIND(":",TRIM(MID(SUBSTITUTE(F93,";",REPT(" ",99)),100,99)))-1),_Lookup!$A:$B,2,FALSE),"?")&amp;"×"&amp;MID(TRIM(MID(SUBSTITUTE(F93,";",REPT(" ",99)),100,99)),FIND(":",TRIM(MID(SUBSTITUTE(F93,";",REPT(" ",99)),100,99)))+1,99)),IF(TRIM(MID(SUBSTITUTE(F93,";",REPT(" ",99)),199,99))="","",IFERROR(VLOOKUP(--LEFT(TRIM(MID(SUBSTITUTE(F93,";",REPT(" ",99)),199,99)),FIND(":",TRIM(MID(SUBSTITUTE(F93,";",REPT(" ",99)),199,99)))-1),_Lookup!$A:$B,2,FALSE),"?")&amp;"×"&amp;MID(TRIM(MID(SUBSTITUTE(F93,";",REPT(" ",99)),199,99)),FIND(":",TRIM(MID(SUBSTITUTE(F93,";",REPT(" ",99)),199,99)))+1,99)),IF(TRIM(MID(SUBSTITUTE(F93,";",REPT(" ",99)),298,99))="","",IFERROR(VLOOKUP(--LEFT(TRIM(MID(SUBSTITUTE(F93,";",REPT(" ",99)),298,99)),FIND(":",TRIM(MID(SUBSTITUTE(F93,";",REPT(" ",99)),298,99)))-1),_Lookup!$A:$B,2,FALSE),"?")&amp;"×"&amp;MID(TRIM(MID(SUBSTITUTE(F93,";",REPT(" ",99)),298,99)),FIND(":",TRIM(MID(SUBSTITUTE(F93,";",REPT(" ",99)),298,99)))+1,99)),IF(TRIM(MID(SUBSTITUTE(F93,";",REPT(" ",99)),397,99))="","",IFERROR(VLOOKUP(--LEFT(TRIM(MID(SUBSTITUTE(F93,";",REPT(" ",99)),397,99)),FIND(":",TRIM(MID(SUBSTITUTE(F93,";",REPT(" ",99)),397,99)))-1),_Lookup!$A:$B,2,FALSE),"?")&amp;"×"&amp;MID(TRIM(MID(SUBSTITUTE(F93,";",REPT(" ",99)),397,99)),FIND(":",TRIM(MID(SUBSTITUTE(F93,";",REPT(" ",99)),397,99)))+1,99))))</f>
        <v/>
      </c>
    </row>
    <row r="94">
      <c r="C94" s="11">
        <f>IFERROR(VLOOKUP(B94,StageData!$A:$B,2,FALSE),"")</f>
        <v/>
      </c>
      <c r="G94" s="11">
        <f>IF(F94="","",TEXTJOIN("; ",TRUE,IF(TRIM(MID(SUBSTITUTE(F94,";",REPT(" ",99)),1,99))="","",IFERROR(VLOOKUP(--LEFT(TRIM(MID(SUBSTITUTE(F94,";",REPT(" ",99)),1,99)),FIND(":",TRIM(MID(SUBSTITUTE(F94,";",REPT(" ",99)),1,99)))-1),_Lookup!$A:$B,2,FALSE),"?")&amp;"×"&amp;MID(TRIM(MID(SUBSTITUTE(F94,";",REPT(" ",99)),1,99)),FIND(":",TRIM(MID(SUBSTITUTE(F94,";",REPT(" ",99)),1,99)))+1,99)),IF(TRIM(MID(SUBSTITUTE(F94,";",REPT(" ",99)),100,99))="","",IFERROR(VLOOKUP(--LEFT(TRIM(MID(SUBSTITUTE(F94,";",REPT(" ",99)),100,99)),FIND(":",TRIM(MID(SUBSTITUTE(F94,";",REPT(" ",99)),100,99)))-1),_Lookup!$A:$B,2,FALSE),"?")&amp;"×"&amp;MID(TRIM(MID(SUBSTITUTE(F94,";",REPT(" ",99)),100,99)),FIND(":",TRIM(MID(SUBSTITUTE(F94,";",REPT(" ",99)),100,99)))+1,99)),IF(TRIM(MID(SUBSTITUTE(F94,";",REPT(" ",99)),199,99))="","",IFERROR(VLOOKUP(--LEFT(TRIM(MID(SUBSTITUTE(F94,";",REPT(" ",99)),199,99)),FIND(":",TRIM(MID(SUBSTITUTE(F94,";",REPT(" ",99)),199,99)))-1),_Lookup!$A:$B,2,FALSE),"?")&amp;"×"&amp;MID(TRIM(MID(SUBSTITUTE(F94,";",REPT(" ",99)),199,99)),FIND(":",TRIM(MID(SUBSTITUTE(F94,";",REPT(" ",99)),199,99)))+1,99)),IF(TRIM(MID(SUBSTITUTE(F94,";",REPT(" ",99)),298,99))="","",IFERROR(VLOOKUP(--LEFT(TRIM(MID(SUBSTITUTE(F94,";",REPT(" ",99)),298,99)),FIND(":",TRIM(MID(SUBSTITUTE(F94,";",REPT(" ",99)),298,99)))-1),_Lookup!$A:$B,2,FALSE),"?")&amp;"×"&amp;MID(TRIM(MID(SUBSTITUTE(F94,";",REPT(" ",99)),298,99)),FIND(":",TRIM(MID(SUBSTITUTE(F94,";",REPT(" ",99)),298,99)))+1,99)),IF(TRIM(MID(SUBSTITUTE(F94,";",REPT(" ",99)),397,99))="","",IFERROR(VLOOKUP(--LEFT(TRIM(MID(SUBSTITUTE(F94,";",REPT(" ",99)),397,99)),FIND(":",TRIM(MID(SUBSTITUTE(F94,";",REPT(" ",99)),397,99)))-1),_Lookup!$A:$B,2,FALSE),"?")&amp;"×"&amp;MID(TRIM(MID(SUBSTITUTE(F94,";",REPT(" ",99)),397,99)),FIND(":",TRIM(MID(SUBSTITUTE(F94,";",REPT(" ",99)),397,99)))+1,99))))</f>
        <v/>
      </c>
    </row>
    <row r="95">
      <c r="C95" s="11">
        <f>IFERROR(VLOOKUP(B95,StageData!$A:$B,2,FALSE),"")</f>
        <v/>
      </c>
      <c r="G95" s="11">
        <f>IF(F95="","",TEXTJOIN("; ",TRUE,IF(TRIM(MID(SUBSTITUTE(F95,";",REPT(" ",99)),1,99))="","",IFERROR(VLOOKUP(--LEFT(TRIM(MID(SUBSTITUTE(F95,";",REPT(" ",99)),1,99)),FIND(":",TRIM(MID(SUBSTITUTE(F95,";",REPT(" ",99)),1,99)))-1),_Lookup!$A:$B,2,FALSE),"?")&amp;"×"&amp;MID(TRIM(MID(SUBSTITUTE(F95,";",REPT(" ",99)),1,99)),FIND(":",TRIM(MID(SUBSTITUTE(F95,";",REPT(" ",99)),1,99)))+1,99)),IF(TRIM(MID(SUBSTITUTE(F95,";",REPT(" ",99)),100,99))="","",IFERROR(VLOOKUP(--LEFT(TRIM(MID(SUBSTITUTE(F95,";",REPT(" ",99)),100,99)),FIND(":",TRIM(MID(SUBSTITUTE(F95,";",REPT(" ",99)),100,99)))-1),_Lookup!$A:$B,2,FALSE),"?")&amp;"×"&amp;MID(TRIM(MID(SUBSTITUTE(F95,";",REPT(" ",99)),100,99)),FIND(":",TRIM(MID(SUBSTITUTE(F95,";",REPT(" ",99)),100,99)))+1,99)),IF(TRIM(MID(SUBSTITUTE(F95,";",REPT(" ",99)),199,99))="","",IFERROR(VLOOKUP(--LEFT(TRIM(MID(SUBSTITUTE(F95,";",REPT(" ",99)),199,99)),FIND(":",TRIM(MID(SUBSTITUTE(F95,";",REPT(" ",99)),199,99)))-1),_Lookup!$A:$B,2,FALSE),"?")&amp;"×"&amp;MID(TRIM(MID(SUBSTITUTE(F95,";",REPT(" ",99)),199,99)),FIND(":",TRIM(MID(SUBSTITUTE(F95,";",REPT(" ",99)),199,99)))+1,99)),IF(TRIM(MID(SUBSTITUTE(F95,";",REPT(" ",99)),298,99))="","",IFERROR(VLOOKUP(--LEFT(TRIM(MID(SUBSTITUTE(F95,";",REPT(" ",99)),298,99)),FIND(":",TRIM(MID(SUBSTITUTE(F95,";",REPT(" ",99)),298,99)))-1),_Lookup!$A:$B,2,FALSE),"?")&amp;"×"&amp;MID(TRIM(MID(SUBSTITUTE(F95,";",REPT(" ",99)),298,99)),FIND(":",TRIM(MID(SUBSTITUTE(F95,";",REPT(" ",99)),298,99)))+1,99)),IF(TRIM(MID(SUBSTITUTE(F95,";",REPT(" ",99)),397,99))="","",IFERROR(VLOOKUP(--LEFT(TRIM(MID(SUBSTITUTE(F95,";",REPT(" ",99)),397,99)),FIND(":",TRIM(MID(SUBSTITUTE(F95,";",REPT(" ",99)),397,99)))-1),_Lookup!$A:$B,2,FALSE),"?")&amp;"×"&amp;MID(TRIM(MID(SUBSTITUTE(F95,";",REPT(" ",99)),397,99)),FIND(":",TRIM(MID(SUBSTITUTE(F95,";",REPT(" ",99)),397,99)))+1,99))))</f>
        <v/>
      </c>
    </row>
    <row r="96">
      <c r="C96" s="11">
        <f>IFERROR(VLOOKUP(B96,StageData!$A:$B,2,FALSE),"")</f>
        <v/>
      </c>
      <c r="G96" s="11">
        <f>IF(F96="","",TEXTJOIN("; ",TRUE,IF(TRIM(MID(SUBSTITUTE(F96,";",REPT(" ",99)),1,99))="","",IFERROR(VLOOKUP(--LEFT(TRIM(MID(SUBSTITUTE(F96,";",REPT(" ",99)),1,99)),FIND(":",TRIM(MID(SUBSTITUTE(F96,";",REPT(" ",99)),1,99)))-1),_Lookup!$A:$B,2,FALSE),"?")&amp;"×"&amp;MID(TRIM(MID(SUBSTITUTE(F96,";",REPT(" ",99)),1,99)),FIND(":",TRIM(MID(SUBSTITUTE(F96,";",REPT(" ",99)),1,99)))+1,99)),IF(TRIM(MID(SUBSTITUTE(F96,";",REPT(" ",99)),100,99))="","",IFERROR(VLOOKUP(--LEFT(TRIM(MID(SUBSTITUTE(F96,";",REPT(" ",99)),100,99)),FIND(":",TRIM(MID(SUBSTITUTE(F96,";",REPT(" ",99)),100,99)))-1),_Lookup!$A:$B,2,FALSE),"?")&amp;"×"&amp;MID(TRIM(MID(SUBSTITUTE(F96,";",REPT(" ",99)),100,99)),FIND(":",TRIM(MID(SUBSTITUTE(F96,";",REPT(" ",99)),100,99)))+1,99)),IF(TRIM(MID(SUBSTITUTE(F96,";",REPT(" ",99)),199,99))="","",IFERROR(VLOOKUP(--LEFT(TRIM(MID(SUBSTITUTE(F96,";",REPT(" ",99)),199,99)),FIND(":",TRIM(MID(SUBSTITUTE(F96,";",REPT(" ",99)),199,99)))-1),_Lookup!$A:$B,2,FALSE),"?")&amp;"×"&amp;MID(TRIM(MID(SUBSTITUTE(F96,";",REPT(" ",99)),199,99)),FIND(":",TRIM(MID(SUBSTITUTE(F96,";",REPT(" ",99)),199,99)))+1,99)),IF(TRIM(MID(SUBSTITUTE(F96,";",REPT(" ",99)),298,99))="","",IFERROR(VLOOKUP(--LEFT(TRIM(MID(SUBSTITUTE(F96,";",REPT(" ",99)),298,99)),FIND(":",TRIM(MID(SUBSTITUTE(F96,";",REPT(" ",99)),298,99)))-1),_Lookup!$A:$B,2,FALSE),"?")&amp;"×"&amp;MID(TRIM(MID(SUBSTITUTE(F96,";",REPT(" ",99)),298,99)),FIND(":",TRIM(MID(SUBSTITUTE(F96,";",REPT(" ",99)),298,99)))+1,99)),IF(TRIM(MID(SUBSTITUTE(F96,";",REPT(" ",99)),397,99))="","",IFERROR(VLOOKUP(--LEFT(TRIM(MID(SUBSTITUTE(F96,";",REPT(" ",99)),397,99)),FIND(":",TRIM(MID(SUBSTITUTE(F96,";",REPT(" ",99)),397,99)))-1),_Lookup!$A:$B,2,FALSE),"?")&amp;"×"&amp;MID(TRIM(MID(SUBSTITUTE(F96,";",REPT(" ",99)),397,99)),FIND(":",TRIM(MID(SUBSTITUTE(F96,";",REPT(" ",99)),397,99)))+1,99))))</f>
        <v/>
      </c>
    </row>
    <row r="97">
      <c r="C97" s="11">
        <f>IFERROR(VLOOKUP(B97,StageData!$A:$B,2,FALSE),"")</f>
        <v/>
      </c>
      <c r="G97" s="11">
        <f>IF(F97="","",TEXTJOIN("; ",TRUE,IF(TRIM(MID(SUBSTITUTE(F97,";",REPT(" ",99)),1,99))="","",IFERROR(VLOOKUP(--LEFT(TRIM(MID(SUBSTITUTE(F97,";",REPT(" ",99)),1,99)),FIND(":",TRIM(MID(SUBSTITUTE(F97,";",REPT(" ",99)),1,99)))-1),_Lookup!$A:$B,2,FALSE),"?")&amp;"×"&amp;MID(TRIM(MID(SUBSTITUTE(F97,";",REPT(" ",99)),1,99)),FIND(":",TRIM(MID(SUBSTITUTE(F97,";",REPT(" ",99)),1,99)))+1,99)),IF(TRIM(MID(SUBSTITUTE(F97,";",REPT(" ",99)),100,99))="","",IFERROR(VLOOKUP(--LEFT(TRIM(MID(SUBSTITUTE(F97,";",REPT(" ",99)),100,99)),FIND(":",TRIM(MID(SUBSTITUTE(F97,";",REPT(" ",99)),100,99)))-1),_Lookup!$A:$B,2,FALSE),"?")&amp;"×"&amp;MID(TRIM(MID(SUBSTITUTE(F97,";",REPT(" ",99)),100,99)),FIND(":",TRIM(MID(SUBSTITUTE(F97,";",REPT(" ",99)),100,99)))+1,99)),IF(TRIM(MID(SUBSTITUTE(F97,";",REPT(" ",99)),199,99))="","",IFERROR(VLOOKUP(--LEFT(TRIM(MID(SUBSTITUTE(F97,";",REPT(" ",99)),199,99)),FIND(":",TRIM(MID(SUBSTITUTE(F97,";",REPT(" ",99)),199,99)))-1),_Lookup!$A:$B,2,FALSE),"?")&amp;"×"&amp;MID(TRIM(MID(SUBSTITUTE(F97,";",REPT(" ",99)),199,99)),FIND(":",TRIM(MID(SUBSTITUTE(F97,";",REPT(" ",99)),199,99)))+1,99)),IF(TRIM(MID(SUBSTITUTE(F97,";",REPT(" ",99)),298,99))="","",IFERROR(VLOOKUP(--LEFT(TRIM(MID(SUBSTITUTE(F97,";",REPT(" ",99)),298,99)),FIND(":",TRIM(MID(SUBSTITUTE(F97,";",REPT(" ",99)),298,99)))-1),_Lookup!$A:$B,2,FALSE),"?")&amp;"×"&amp;MID(TRIM(MID(SUBSTITUTE(F97,";",REPT(" ",99)),298,99)),FIND(":",TRIM(MID(SUBSTITUTE(F97,";",REPT(" ",99)),298,99)))+1,99)),IF(TRIM(MID(SUBSTITUTE(F97,";",REPT(" ",99)),397,99))="","",IFERROR(VLOOKUP(--LEFT(TRIM(MID(SUBSTITUTE(F97,";",REPT(" ",99)),397,99)),FIND(":",TRIM(MID(SUBSTITUTE(F97,";",REPT(" ",99)),397,99)))-1),_Lookup!$A:$B,2,FALSE),"?")&amp;"×"&amp;MID(TRIM(MID(SUBSTITUTE(F97,";",REPT(" ",99)),397,99)),FIND(":",TRIM(MID(SUBSTITUTE(F97,";",REPT(" ",99)),397,99)))+1,99))))</f>
        <v/>
      </c>
    </row>
    <row r="98">
      <c r="C98" s="11">
        <f>IFERROR(VLOOKUP(B98,StageData!$A:$B,2,FALSE),"")</f>
        <v/>
      </c>
      <c r="G98" s="11">
        <f>IF(F98="","",TEXTJOIN("; ",TRUE,IF(TRIM(MID(SUBSTITUTE(F98,";",REPT(" ",99)),1,99))="","",IFERROR(VLOOKUP(--LEFT(TRIM(MID(SUBSTITUTE(F98,";",REPT(" ",99)),1,99)),FIND(":",TRIM(MID(SUBSTITUTE(F98,";",REPT(" ",99)),1,99)))-1),_Lookup!$A:$B,2,FALSE),"?")&amp;"×"&amp;MID(TRIM(MID(SUBSTITUTE(F98,";",REPT(" ",99)),1,99)),FIND(":",TRIM(MID(SUBSTITUTE(F98,";",REPT(" ",99)),1,99)))+1,99)),IF(TRIM(MID(SUBSTITUTE(F98,";",REPT(" ",99)),100,99))="","",IFERROR(VLOOKUP(--LEFT(TRIM(MID(SUBSTITUTE(F98,";",REPT(" ",99)),100,99)),FIND(":",TRIM(MID(SUBSTITUTE(F98,";",REPT(" ",99)),100,99)))-1),_Lookup!$A:$B,2,FALSE),"?")&amp;"×"&amp;MID(TRIM(MID(SUBSTITUTE(F98,";",REPT(" ",99)),100,99)),FIND(":",TRIM(MID(SUBSTITUTE(F98,";",REPT(" ",99)),100,99)))+1,99)),IF(TRIM(MID(SUBSTITUTE(F98,";",REPT(" ",99)),199,99))="","",IFERROR(VLOOKUP(--LEFT(TRIM(MID(SUBSTITUTE(F98,";",REPT(" ",99)),199,99)),FIND(":",TRIM(MID(SUBSTITUTE(F98,";",REPT(" ",99)),199,99)))-1),_Lookup!$A:$B,2,FALSE),"?")&amp;"×"&amp;MID(TRIM(MID(SUBSTITUTE(F98,";",REPT(" ",99)),199,99)),FIND(":",TRIM(MID(SUBSTITUTE(F98,";",REPT(" ",99)),199,99)))+1,99)),IF(TRIM(MID(SUBSTITUTE(F98,";",REPT(" ",99)),298,99))="","",IFERROR(VLOOKUP(--LEFT(TRIM(MID(SUBSTITUTE(F98,";",REPT(" ",99)),298,99)),FIND(":",TRIM(MID(SUBSTITUTE(F98,";",REPT(" ",99)),298,99)))-1),_Lookup!$A:$B,2,FALSE),"?")&amp;"×"&amp;MID(TRIM(MID(SUBSTITUTE(F98,";",REPT(" ",99)),298,99)),FIND(":",TRIM(MID(SUBSTITUTE(F98,";",REPT(" ",99)),298,99)))+1,99)),IF(TRIM(MID(SUBSTITUTE(F98,";",REPT(" ",99)),397,99))="","",IFERROR(VLOOKUP(--LEFT(TRIM(MID(SUBSTITUTE(F98,";",REPT(" ",99)),397,99)),FIND(":",TRIM(MID(SUBSTITUTE(F98,";",REPT(" ",99)),397,99)))-1),_Lookup!$A:$B,2,FALSE),"?")&amp;"×"&amp;MID(TRIM(MID(SUBSTITUTE(F98,";",REPT(" ",99)),397,99)),FIND(":",TRIM(MID(SUBSTITUTE(F98,";",REPT(" ",99)),397,99)))+1,99))))</f>
        <v/>
      </c>
    </row>
    <row r="99">
      <c r="C99" s="11">
        <f>IFERROR(VLOOKUP(B99,StageData!$A:$B,2,FALSE),"")</f>
        <v/>
      </c>
      <c r="G99" s="11">
        <f>IF(F99="","",TEXTJOIN("; ",TRUE,IF(TRIM(MID(SUBSTITUTE(F99,";",REPT(" ",99)),1,99))="","",IFERROR(VLOOKUP(--LEFT(TRIM(MID(SUBSTITUTE(F99,";",REPT(" ",99)),1,99)),FIND(":",TRIM(MID(SUBSTITUTE(F99,";",REPT(" ",99)),1,99)))-1),_Lookup!$A:$B,2,FALSE),"?")&amp;"×"&amp;MID(TRIM(MID(SUBSTITUTE(F99,";",REPT(" ",99)),1,99)),FIND(":",TRIM(MID(SUBSTITUTE(F99,";",REPT(" ",99)),1,99)))+1,99)),IF(TRIM(MID(SUBSTITUTE(F99,";",REPT(" ",99)),100,99))="","",IFERROR(VLOOKUP(--LEFT(TRIM(MID(SUBSTITUTE(F99,";",REPT(" ",99)),100,99)),FIND(":",TRIM(MID(SUBSTITUTE(F99,";",REPT(" ",99)),100,99)))-1),_Lookup!$A:$B,2,FALSE),"?")&amp;"×"&amp;MID(TRIM(MID(SUBSTITUTE(F99,";",REPT(" ",99)),100,99)),FIND(":",TRIM(MID(SUBSTITUTE(F99,";",REPT(" ",99)),100,99)))+1,99)),IF(TRIM(MID(SUBSTITUTE(F99,";",REPT(" ",99)),199,99))="","",IFERROR(VLOOKUP(--LEFT(TRIM(MID(SUBSTITUTE(F99,";",REPT(" ",99)),199,99)),FIND(":",TRIM(MID(SUBSTITUTE(F99,";",REPT(" ",99)),199,99)))-1),_Lookup!$A:$B,2,FALSE),"?")&amp;"×"&amp;MID(TRIM(MID(SUBSTITUTE(F99,";",REPT(" ",99)),199,99)),FIND(":",TRIM(MID(SUBSTITUTE(F99,";",REPT(" ",99)),199,99)))+1,99)),IF(TRIM(MID(SUBSTITUTE(F99,";",REPT(" ",99)),298,99))="","",IFERROR(VLOOKUP(--LEFT(TRIM(MID(SUBSTITUTE(F99,";",REPT(" ",99)),298,99)),FIND(":",TRIM(MID(SUBSTITUTE(F99,";",REPT(" ",99)),298,99)))-1),_Lookup!$A:$B,2,FALSE),"?")&amp;"×"&amp;MID(TRIM(MID(SUBSTITUTE(F99,";",REPT(" ",99)),298,99)),FIND(":",TRIM(MID(SUBSTITUTE(F99,";",REPT(" ",99)),298,99)))+1,99)),IF(TRIM(MID(SUBSTITUTE(F99,";",REPT(" ",99)),397,99))="","",IFERROR(VLOOKUP(--LEFT(TRIM(MID(SUBSTITUTE(F99,";",REPT(" ",99)),397,99)),FIND(":",TRIM(MID(SUBSTITUTE(F99,";",REPT(" ",99)),397,99)))-1),_Lookup!$A:$B,2,FALSE),"?")&amp;"×"&amp;MID(TRIM(MID(SUBSTITUTE(F99,";",REPT(" ",99)),397,99)),FIND(":",TRIM(MID(SUBSTITUTE(F99,";",REPT(" ",99)),397,99)))+1,99))))</f>
        <v/>
      </c>
    </row>
    <row r="100">
      <c r="C100" s="11">
        <f>IFERROR(VLOOKUP(B100,StageData!$A:$B,2,FALSE),"")</f>
        <v/>
      </c>
      <c r="G100" s="11">
        <f>IF(F100="","",TEXTJOIN("; ",TRUE,IF(TRIM(MID(SUBSTITUTE(F100,";",REPT(" ",99)),1,99))="","",IFERROR(VLOOKUP(--LEFT(TRIM(MID(SUBSTITUTE(F100,";",REPT(" ",99)),1,99)),FIND(":",TRIM(MID(SUBSTITUTE(F100,";",REPT(" ",99)),1,99)))-1),_Lookup!$A:$B,2,FALSE),"?")&amp;"×"&amp;MID(TRIM(MID(SUBSTITUTE(F100,";",REPT(" ",99)),1,99)),FIND(":",TRIM(MID(SUBSTITUTE(F100,";",REPT(" ",99)),1,99)))+1,99)),IF(TRIM(MID(SUBSTITUTE(F100,";",REPT(" ",99)),100,99))="","",IFERROR(VLOOKUP(--LEFT(TRIM(MID(SUBSTITUTE(F100,";",REPT(" ",99)),100,99)),FIND(":",TRIM(MID(SUBSTITUTE(F100,";",REPT(" ",99)),100,99)))-1),_Lookup!$A:$B,2,FALSE),"?")&amp;"×"&amp;MID(TRIM(MID(SUBSTITUTE(F100,";",REPT(" ",99)),100,99)),FIND(":",TRIM(MID(SUBSTITUTE(F100,";",REPT(" ",99)),100,99)))+1,99)),IF(TRIM(MID(SUBSTITUTE(F100,";",REPT(" ",99)),199,99))="","",IFERROR(VLOOKUP(--LEFT(TRIM(MID(SUBSTITUTE(F100,";",REPT(" ",99)),199,99)),FIND(":",TRIM(MID(SUBSTITUTE(F100,";",REPT(" ",99)),199,99)))-1),_Lookup!$A:$B,2,FALSE),"?")&amp;"×"&amp;MID(TRIM(MID(SUBSTITUTE(F100,";",REPT(" ",99)),199,99)),FIND(":",TRIM(MID(SUBSTITUTE(F100,";",REPT(" ",99)),199,99)))+1,99)),IF(TRIM(MID(SUBSTITUTE(F100,";",REPT(" ",99)),298,99))="","",IFERROR(VLOOKUP(--LEFT(TRIM(MID(SUBSTITUTE(F100,";",REPT(" ",99)),298,99)),FIND(":",TRIM(MID(SUBSTITUTE(F100,";",REPT(" ",99)),298,99)))-1),_Lookup!$A:$B,2,FALSE),"?")&amp;"×"&amp;MID(TRIM(MID(SUBSTITUTE(F100,";",REPT(" ",99)),298,99)),FIND(":",TRIM(MID(SUBSTITUTE(F100,";",REPT(" ",99)),298,99)))+1,99)),IF(TRIM(MID(SUBSTITUTE(F100,";",REPT(" ",99)),397,99))="","",IFERROR(VLOOKUP(--LEFT(TRIM(MID(SUBSTITUTE(F100,";",REPT(" ",99)),397,99)),FIND(":",TRIM(MID(SUBSTITUTE(F100,";",REPT(" ",99)),397,99)))-1),_Lookup!$A:$B,2,FALSE),"?")&amp;"×"&amp;MID(TRIM(MID(SUBSTITUTE(F100,";",REPT(" ",99)),397,99)),FIND(":",TRIM(MID(SUBSTITUTE(F100,";",REPT(" ",99)),397,99)))+1,99))))</f>
        <v/>
      </c>
    </row>
    <row r="101">
      <c r="C101" s="11">
        <f>IFERROR(VLOOKUP(B101,StageData!$A:$B,2,FALSE),"")</f>
        <v/>
      </c>
      <c r="G101" s="11">
        <f>IF(F101="","",TEXTJOIN("; ",TRUE,IF(TRIM(MID(SUBSTITUTE(F101,";",REPT(" ",99)),1,99))="","",IFERROR(VLOOKUP(--LEFT(TRIM(MID(SUBSTITUTE(F101,";",REPT(" ",99)),1,99)),FIND(":",TRIM(MID(SUBSTITUTE(F101,";",REPT(" ",99)),1,99)))-1),_Lookup!$A:$B,2,FALSE),"?")&amp;"×"&amp;MID(TRIM(MID(SUBSTITUTE(F101,";",REPT(" ",99)),1,99)),FIND(":",TRIM(MID(SUBSTITUTE(F101,";",REPT(" ",99)),1,99)))+1,99)),IF(TRIM(MID(SUBSTITUTE(F101,";",REPT(" ",99)),100,99))="","",IFERROR(VLOOKUP(--LEFT(TRIM(MID(SUBSTITUTE(F101,";",REPT(" ",99)),100,99)),FIND(":",TRIM(MID(SUBSTITUTE(F101,";",REPT(" ",99)),100,99)))-1),_Lookup!$A:$B,2,FALSE),"?")&amp;"×"&amp;MID(TRIM(MID(SUBSTITUTE(F101,";",REPT(" ",99)),100,99)),FIND(":",TRIM(MID(SUBSTITUTE(F101,";",REPT(" ",99)),100,99)))+1,99)),IF(TRIM(MID(SUBSTITUTE(F101,";",REPT(" ",99)),199,99))="","",IFERROR(VLOOKUP(--LEFT(TRIM(MID(SUBSTITUTE(F101,";",REPT(" ",99)),199,99)),FIND(":",TRIM(MID(SUBSTITUTE(F101,";",REPT(" ",99)),199,99)))-1),_Lookup!$A:$B,2,FALSE),"?")&amp;"×"&amp;MID(TRIM(MID(SUBSTITUTE(F101,";",REPT(" ",99)),199,99)),FIND(":",TRIM(MID(SUBSTITUTE(F101,";",REPT(" ",99)),199,99)))+1,99)),IF(TRIM(MID(SUBSTITUTE(F101,";",REPT(" ",99)),298,99))="","",IFERROR(VLOOKUP(--LEFT(TRIM(MID(SUBSTITUTE(F101,";",REPT(" ",99)),298,99)),FIND(":",TRIM(MID(SUBSTITUTE(F101,";",REPT(" ",99)),298,99)))-1),_Lookup!$A:$B,2,FALSE),"?")&amp;"×"&amp;MID(TRIM(MID(SUBSTITUTE(F101,";",REPT(" ",99)),298,99)),FIND(":",TRIM(MID(SUBSTITUTE(F101,";",REPT(" ",99)),298,99)))+1,99)),IF(TRIM(MID(SUBSTITUTE(F101,";",REPT(" ",99)),397,99))="","",IFERROR(VLOOKUP(--LEFT(TRIM(MID(SUBSTITUTE(F101,";",REPT(" ",99)),397,99)),FIND(":",TRIM(MID(SUBSTITUTE(F101,";",REPT(" ",99)),397,99)))-1),_Lookup!$A:$B,2,FALSE),"?")&amp;"×"&amp;MID(TRIM(MID(SUBSTITUTE(F101,";",REPT(" ",99)),397,99)),FIND(":",TRIM(MID(SUBSTITUTE(F101,";",REPT(" ",99)),397,99)))+1,99))))</f>
        <v/>
      </c>
    </row>
    <row r="102">
      <c r="C102" s="11">
        <f>IFERROR(VLOOKUP(B102,StageData!$A:$B,2,FALSE),"")</f>
        <v/>
      </c>
      <c r="G102" s="11">
        <f>IF(F102="","",TEXTJOIN("; ",TRUE,IF(TRIM(MID(SUBSTITUTE(F102,";",REPT(" ",99)),1,99))="","",IFERROR(VLOOKUP(--LEFT(TRIM(MID(SUBSTITUTE(F102,";",REPT(" ",99)),1,99)),FIND(":",TRIM(MID(SUBSTITUTE(F102,";",REPT(" ",99)),1,99)))-1),_Lookup!$A:$B,2,FALSE),"?")&amp;"×"&amp;MID(TRIM(MID(SUBSTITUTE(F102,";",REPT(" ",99)),1,99)),FIND(":",TRIM(MID(SUBSTITUTE(F102,";",REPT(" ",99)),1,99)))+1,99)),IF(TRIM(MID(SUBSTITUTE(F102,";",REPT(" ",99)),100,99))="","",IFERROR(VLOOKUP(--LEFT(TRIM(MID(SUBSTITUTE(F102,";",REPT(" ",99)),100,99)),FIND(":",TRIM(MID(SUBSTITUTE(F102,";",REPT(" ",99)),100,99)))-1),_Lookup!$A:$B,2,FALSE),"?")&amp;"×"&amp;MID(TRIM(MID(SUBSTITUTE(F102,";",REPT(" ",99)),100,99)),FIND(":",TRIM(MID(SUBSTITUTE(F102,";",REPT(" ",99)),100,99)))+1,99)),IF(TRIM(MID(SUBSTITUTE(F102,";",REPT(" ",99)),199,99))="","",IFERROR(VLOOKUP(--LEFT(TRIM(MID(SUBSTITUTE(F102,";",REPT(" ",99)),199,99)),FIND(":",TRIM(MID(SUBSTITUTE(F102,";",REPT(" ",99)),199,99)))-1),_Lookup!$A:$B,2,FALSE),"?")&amp;"×"&amp;MID(TRIM(MID(SUBSTITUTE(F102,";",REPT(" ",99)),199,99)),FIND(":",TRIM(MID(SUBSTITUTE(F102,";",REPT(" ",99)),199,99)))+1,99)),IF(TRIM(MID(SUBSTITUTE(F102,";",REPT(" ",99)),298,99))="","",IFERROR(VLOOKUP(--LEFT(TRIM(MID(SUBSTITUTE(F102,";",REPT(" ",99)),298,99)),FIND(":",TRIM(MID(SUBSTITUTE(F102,";",REPT(" ",99)),298,99)))-1),_Lookup!$A:$B,2,FALSE),"?")&amp;"×"&amp;MID(TRIM(MID(SUBSTITUTE(F102,";",REPT(" ",99)),298,99)),FIND(":",TRIM(MID(SUBSTITUTE(F102,";",REPT(" ",99)),298,99)))+1,99)),IF(TRIM(MID(SUBSTITUTE(F102,";",REPT(" ",99)),397,99))="","",IFERROR(VLOOKUP(--LEFT(TRIM(MID(SUBSTITUTE(F102,";",REPT(" ",99)),397,99)),FIND(":",TRIM(MID(SUBSTITUTE(F102,";",REPT(" ",99)),397,99)))-1),_Lookup!$A:$B,2,FALSE),"?")&amp;"×"&amp;MID(TRIM(MID(SUBSTITUTE(F102,";",REPT(" ",99)),397,99)),FIND(":",TRIM(MID(SUBSTITUTE(F102,";",REPT(" ",99)),397,99)))+1,99))))</f>
        <v/>
      </c>
    </row>
    <row r="103">
      <c r="C103" s="11">
        <f>IFERROR(VLOOKUP(B103,StageData!$A:$B,2,FALSE),"")</f>
        <v/>
      </c>
      <c r="G103" s="11">
        <f>IF(F103="","",TEXTJOIN("; ",TRUE,IF(TRIM(MID(SUBSTITUTE(F103,";",REPT(" ",99)),1,99))="","",IFERROR(VLOOKUP(--LEFT(TRIM(MID(SUBSTITUTE(F103,";",REPT(" ",99)),1,99)),FIND(":",TRIM(MID(SUBSTITUTE(F103,";",REPT(" ",99)),1,99)))-1),_Lookup!$A:$B,2,FALSE),"?")&amp;"×"&amp;MID(TRIM(MID(SUBSTITUTE(F103,";",REPT(" ",99)),1,99)),FIND(":",TRIM(MID(SUBSTITUTE(F103,";",REPT(" ",99)),1,99)))+1,99)),IF(TRIM(MID(SUBSTITUTE(F103,";",REPT(" ",99)),100,99))="","",IFERROR(VLOOKUP(--LEFT(TRIM(MID(SUBSTITUTE(F103,";",REPT(" ",99)),100,99)),FIND(":",TRIM(MID(SUBSTITUTE(F103,";",REPT(" ",99)),100,99)))-1),_Lookup!$A:$B,2,FALSE),"?")&amp;"×"&amp;MID(TRIM(MID(SUBSTITUTE(F103,";",REPT(" ",99)),100,99)),FIND(":",TRIM(MID(SUBSTITUTE(F103,";",REPT(" ",99)),100,99)))+1,99)),IF(TRIM(MID(SUBSTITUTE(F103,";",REPT(" ",99)),199,99))="","",IFERROR(VLOOKUP(--LEFT(TRIM(MID(SUBSTITUTE(F103,";",REPT(" ",99)),199,99)),FIND(":",TRIM(MID(SUBSTITUTE(F103,";",REPT(" ",99)),199,99)))-1),_Lookup!$A:$B,2,FALSE),"?")&amp;"×"&amp;MID(TRIM(MID(SUBSTITUTE(F103,";",REPT(" ",99)),199,99)),FIND(":",TRIM(MID(SUBSTITUTE(F103,";",REPT(" ",99)),199,99)))+1,99)),IF(TRIM(MID(SUBSTITUTE(F103,";",REPT(" ",99)),298,99))="","",IFERROR(VLOOKUP(--LEFT(TRIM(MID(SUBSTITUTE(F103,";",REPT(" ",99)),298,99)),FIND(":",TRIM(MID(SUBSTITUTE(F103,";",REPT(" ",99)),298,99)))-1),_Lookup!$A:$B,2,FALSE),"?")&amp;"×"&amp;MID(TRIM(MID(SUBSTITUTE(F103,";",REPT(" ",99)),298,99)),FIND(":",TRIM(MID(SUBSTITUTE(F103,";",REPT(" ",99)),298,99)))+1,99)),IF(TRIM(MID(SUBSTITUTE(F103,";",REPT(" ",99)),397,99))="","",IFERROR(VLOOKUP(--LEFT(TRIM(MID(SUBSTITUTE(F103,";",REPT(" ",99)),397,99)),FIND(":",TRIM(MID(SUBSTITUTE(F103,";",REPT(" ",99)),397,99)))-1),_Lookup!$A:$B,2,FALSE),"?")&amp;"×"&amp;MID(TRIM(MID(SUBSTITUTE(F103,";",REPT(" ",99)),397,99)),FIND(":",TRIM(MID(SUBSTITUTE(F103,";",REPT(" ",99)),397,99)))+1,99))))</f>
        <v/>
      </c>
    </row>
    <row r="104">
      <c r="C104" s="11">
        <f>IFERROR(VLOOKUP(B104,StageData!$A:$B,2,FALSE),"")</f>
        <v/>
      </c>
      <c r="G104" s="11">
        <f>IF(F104="","",TEXTJOIN("; ",TRUE,IF(TRIM(MID(SUBSTITUTE(F104,";",REPT(" ",99)),1,99))="","",IFERROR(VLOOKUP(--LEFT(TRIM(MID(SUBSTITUTE(F104,";",REPT(" ",99)),1,99)),FIND(":",TRIM(MID(SUBSTITUTE(F104,";",REPT(" ",99)),1,99)))-1),_Lookup!$A:$B,2,FALSE),"?")&amp;"×"&amp;MID(TRIM(MID(SUBSTITUTE(F104,";",REPT(" ",99)),1,99)),FIND(":",TRIM(MID(SUBSTITUTE(F104,";",REPT(" ",99)),1,99)))+1,99)),IF(TRIM(MID(SUBSTITUTE(F104,";",REPT(" ",99)),100,99))="","",IFERROR(VLOOKUP(--LEFT(TRIM(MID(SUBSTITUTE(F104,";",REPT(" ",99)),100,99)),FIND(":",TRIM(MID(SUBSTITUTE(F104,";",REPT(" ",99)),100,99)))-1),_Lookup!$A:$B,2,FALSE),"?")&amp;"×"&amp;MID(TRIM(MID(SUBSTITUTE(F104,";",REPT(" ",99)),100,99)),FIND(":",TRIM(MID(SUBSTITUTE(F104,";",REPT(" ",99)),100,99)))+1,99)),IF(TRIM(MID(SUBSTITUTE(F104,";",REPT(" ",99)),199,99))="","",IFERROR(VLOOKUP(--LEFT(TRIM(MID(SUBSTITUTE(F104,";",REPT(" ",99)),199,99)),FIND(":",TRIM(MID(SUBSTITUTE(F104,";",REPT(" ",99)),199,99)))-1),_Lookup!$A:$B,2,FALSE),"?")&amp;"×"&amp;MID(TRIM(MID(SUBSTITUTE(F104,";",REPT(" ",99)),199,99)),FIND(":",TRIM(MID(SUBSTITUTE(F104,";",REPT(" ",99)),199,99)))+1,99)),IF(TRIM(MID(SUBSTITUTE(F104,";",REPT(" ",99)),298,99))="","",IFERROR(VLOOKUP(--LEFT(TRIM(MID(SUBSTITUTE(F104,";",REPT(" ",99)),298,99)),FIND(":",TRIM(MID(SUBSTITUTE(F104,";",REPT(" ",99)),298,99)))-1),_Lookup!$A:$B,2,FALSE),"?")&amp;"×"&amp;MID(TRIM(MID(SUBSTITUTE(F104,";",REPT(" ",99)),298,99)),FIND(":",TRIM(MID(SUBSTITUTE(F104,";",REPT(" ",99)),298,99)))+1,99)),IF(TRIM(MID(SUBSTITUTE(F104,";",REPT(" ",99)),397,99))="","",IFERROR(VLOOKUP(--LEFT(TRIM(MID(SUBSTITUTE(F104,";",REPT(" ",99)),397,99)),FIND(":",TRIM(MID(SUBSTITUTE(F104,";",REPT(" ",99)),397,99)))-1),_Lookup!$A:$B,2,FALSE),"?")&amp;"×"&amp;MID(TRIM(MID(SUBSTITUTE(F104,";",REPT(" ",99)),397,99)),FIND(":",TRIM(MID(SUBSTITUTE(F104,";",REPT(" ",99)),397,99)))+1,99))))</f>
        <v/>
      </c>
    </row>
    <row r="105">
      <c r="C105" s="11">
        <f>IFERROR(VLOOKUP(B105,StageData!$A:$B,2,FALSE),"")</f>
        <v/>
      </c>
      <c r="G105" s="11">
        <f>IF(F105="","",TEXTJOIN("; ",TRUE,IF(TRIM(MID(SUBSTITUTE(F105,";",REPT(" ",99)),1,99))="","",IFERROR(VLOOKUP(--LEFT(TRIM(MID(SUBSTITUTE(F105,";",REPT(" ",99)),1,99)),FIND(":",TRIM(MID(SUBSTITUTE(F105,";",REPT(" ",99)),1,99)))-1),_Lookup!$A:$B,2,FALSE),"?")&amp;"×"&amp;MID(TRIM(MID(SUBSTITUTE(F105,";",REPT(" ",99)),1,99)),FIND(":",TRIM(MID(SUBSTITUTE(F105,";",REPT(" ",99)),1,99)))+1,99)),IF(TRIM(MID(SUBSTITUTE(F105,";",REPT(" ",99)),100,99))="","",IFERROR(VLOOKUP(--LEFT(TRIM(MID(SUBSTITUTE(F105,";",REPT(" ",99)),100,99)),FIND(":",TRIM(MID(SUBSTITUTE(F105,";",REPT(" ",99)),100,99)))-1),_Lookup!$A:$B,2,FALSE),"?")&amp;"×"&amp;MID(TRIM(MID(SUBSTITUTE(F105,";",REPT(" ",99)),100,99)),FIND(":",TRIM(MID(SUBSTITUTE(F105,";",REPT(" ",99)),100,99)))+1,99)),IF(TRIM(MID(SUBSTITUTE(F105,";",REPT(" ",99)),199,99))="","",IFERROR(VLOOKUP(--LEFT(TRIM(MID(SUBSTITUTE(F105,";",REPT(" ",99)),199,99)),FIND(":",TRIM(MID(SUBSTITUTE(F105,";",REPT(" ",99)),199,99)))-1),_Lookup!$A:$B,2,FALSE),"?")&amp;"×"&amp;MID(TRIM(MID(SUBSTITUTE(F105,";",REPT(" ",99)),199,99)),FIND(":",TRIM(MID(SUBSTITUTE(F105,";",REPT(" ",99)),199,99)))+1,99)),IF(TRIM(MID(SUBSTITUTE(F105,";",REPT(" ",99)),298,99))="","",IFERROR(VLOOKUP(--LEFT(TRIM(MID(SUBSTITUTE(F105,";",REPT(" ",99)),298,99)),FIND(":",TRIM(MID(SUBSTITUTE(F105,";",REPT(" ",99)),298,99)))-1),_Lookup!$A:$B,2,FALSE),"?")&amp;"×"&amp;MID(TRIM(MID(SUBSTITUTE(F105,";",REPT(" ",99)),298,99)),FIND(":",TRIM(MID(SUBSTITUTE(F105,";",REPT(" ",99)),298,99)))+1,99)),IF(TRIM(MID(SUBSTITUTE(F105,";",REPT(" ",99)),397,99))="","",IFERROR(VLOOKUP(--LEFT(TRIM(MID(SUBSTITUTE(F105,";",REPT(" ",99)),397,99)),FIND(":",TRIM(MID(SUBSTITUTE(F105,";",REPT(" ",99)),397,99)))-1),_Lookup!$A:$B,2,FALSE),"?")&amp;"×"&amp;MID(TRIM(MID(SUBSTITUTE(F105,";",REPT(" ",99)),397,99)),FIND(":",TRIM(MID(SUBSTITUTE(F105,";",REPT(" ",99)),397,99)))+1,99))))</f>
        <v/>
      </c>
    </row>
    <row r="106">
      <c r="C106" s="11">
        <f>IFERROR(VLOOKUP(B106,StageData!$A:$B,2,FALSE),"")</f>
        <v/>
      </c>
      <c r="G106" s="11">
        <f>IF(F106="","",TEXTJOIN("; ",TRUE,IF(TRIM(MID(SUBSTITUTE(F106,";",REPT(" ",99)),1,99))="","",IFERROR(VLOOKUP(--LEFT(TRIM(MID(SUBSTITUTE(F106,";",REPT(" ",99)),1,99)),FIND(":",TRIM(MID(SUBSTITUTE(F106,";",REPT(" ",99)),1,99)))-1),_Lookup!$A:$B,2,FALSE),"?")&amp;"×"&amp;MID(TRIM(MID(SUBSTITUTE(F106,";",REPT(" ",99)),1,99)),FIND(":",TRIM(MID(SUBSTITUTE(F106,";",REPT(" ",99)),1,99)))+1,99)),IF(TRIM(MID(SUBSTITUTE(F106,";",REPT(" ",99)),100,99))="","",IFERROR(VLOOKUP(--LEFT(TRIM(MID(SUBSTITUTE(F106,";",REPT(" ",99)),100,99)),FIND(":",TRIM(MID(SUBSTITUTE(F106,";",REPT(" ",99)),100,99)))-1),_Lookup!$A:$B,2,FALSE),"?")&amp;"×"&amp;MID(TRIM(MID(SUBSTITUTE(F106,";",REPT(" ",99)),100,99)),FIND(":",TRIM(MID(SUBSTITUTE(F106,";",REPT(" ",99)),100,99)))+1,99)),IF(TRIM(MID(SUBSTITUTE(F106,";",REPT(" ",99)),199,99))="","",IFERROR(VLOOKUP(--LEFT(TRIM(MID(SUBSTITUTE(F106,";",REPT(" ",99)),199,99)),FIND(":",TRIM(MID(SUBSTITUTE(F106,";",REPT(" ",99)),199,99)))-1),_Lookup!$A:$B,2,FALSE),"?")&amp;"×"&amp;MID(TRIM(MID(SUBSTITUTE(F106,";",REPT(" ",99)),199,99)),FIND(":",TRIM(MID(SUBSTITUTE(F106,";",REPT(" ",99)),199,99)))+1,99)),IF(TRIM(MID(SUBSTITUTE(F106,";",REPT(" ",99)),298,99))="","",IFERROR(VLOOKUP(--LEFT(TRIM(MID(SUBSTITUTE(F106,";",REPT(" ",99)),298,99)),FIND(":",TRIM(MID(SUBSTITUTE(F106,";",REPT(" ",99)),298,99)))-1),_Lookup!$A:$B,2,FALSE),"?")&amp;"×"&amp;MID(TRIM(MID(SUBSTITUTE(F106,";",REPT(" ",99)),298,99)),FIND(":",TRIM(MID(SUBSTITUTE(F106,";",REPT(" ",99)),298,99)))+1,99)),IF(TRIM(MID(SUBSTITUTE(F106,";",REPT(" ",99)),397,99))="","",IFERROR(VLOOKUP(--LEFT(TRIM(MID(SUBSTITUTE(F106,";",REPT(" ",99)),397,99)),FIND(":",TRIM(MID(SUBSTITUTE(F106,";",REPT(" ",99)),397,99)))-1),_Lookup!$A:$B,2,FALSE),"?")&amp;"×"&amp;MID(TRIM(MID(SUBSTITUTE(F106,";",REPT(" ",99)),397,99)),FIND(":",TRIM(MID(SUBSTITUTE(F106,";",REPT(" ",99)),397,99)))+1,99))))</f>
        <v/>
      </c>
    </row>
    <row r="107">
      <c r="C107" s="11">
        <f>IFERROR(VLOOKUP(B107,StageData!$A:$B,2,FALSE),"")</f>
        <v/>
      </c>
      <c r="G107" s="11">
        <f>IF(F107="","",TEXTJOIN("; ",TRUE,IF(TRIM(MID(SUBSTITUTE(F107,";",REPT(" ",99)),1,99))="","",IFERROR(VLOOKUP(--LEFT(TRIM(MID(SUBSTITUTE(F107,";",REPT(" ",99)),1,99)),FIND(":",TRIM(MID(SUBSTITUTE(F107,";",REPT(" ",99)),1,99)))-1),_Lookup!$A:$B,2,FALSE),"?")&amp;"×"&amp;MID(TRIM(MID(SUBSTITUTE(F107,";",REPT(" ",99)),1,99)),FIND(":",TRIM(MID(SUBSTITUTE(F107,";",REPT(" ",99)),1,99)))+1,99)),IF(TRIM(MID(SUBSTITUTE(F107,";",REPT(" ",99)),100,99))="","",IFERROR(VLOOKUP(--LEFT(TRIM(MID(SUBSTITUTE(F107,";",REPT(" ",99)),100,99)),FIND(":",TRIM(MID(SUBSTITUTE(F107,";",REPT(" ",99)),100,99)))-1),_Lookup!$A:$B,2,FALSE),"?")&amp;"×"&amp;MID(TRIM(MID(SUBSTITUTE(F107,";",REPT(" ",99)),100,99)),FIND(":",TRIM(MID(SUBSTITUTE(F107,";",REPT(" ",99)),100,99)))+1,99)),IF(TRIM(MID(SUBSTITUTE(F107,";",REPT(" ",99)),199,99))="","",IFERROR(VLOOKUP(--LEFT(TRIM(MID(SUBSTITUTE(F107,";",REPT(" ",99)),199,99)),FIND(":",TRIM(MID(SUBSTITUTE(F107,";",REPT(" ",99)),199,99)))-1),_Lookup!$A:$B,2,FALSE),"?")&amp;"×"&amp;MID(TRIM(MID(SUBSTITUTE(F107,";",REPT(" ",99)),199,99)),FIND(":",TRIM(MID(SUBSTITUTE(F107,";",REPT(" ",99)),199,99)))+1,99)),IF(TRIM(MID(SUBSTITUTE(F107,";",REPT(" ",99)),298,99))="","",IFERROR(VLOOKUP(--LEFT(TRIM(MID(SUBSTITUTE(F107,";",REPT(" ",99)),298,99)),FIND(":",TRIM(MID(SUBSTITUTE(F107,";",REPT(" ",99)),298,99)))-1),_Lookup!$A:$B,2,FALSE),"?")&amp;"×"&amp;MID(TRIM(MID(SUBSTITUTE(F107,";",REPT(" ",99)),298,99)),FIND(":",TRIM(MID(SUBSTITUTE(F107,";",REPT(" ",99)),298,99)))+1,99)),IF(TRIM(MID(SUBSTITUTE(F107,";",REPT(" ",99)),397,99))="","",IFERROR(VLOOKUP(--LEFT(TRIM(MID(SUBSTITUTE(F107,";",REPT(" ",99)),397,99)),FIND(":",TRIM(MID(SUBSTITUTE(F107,";",REPT(" ",99)),397,99)))-1),_Lookup!$A:$B,2,FALSE),"?")&amp;"×"&amp;MID(TRIM(MID(SUBSTITUTE(F107,";",REPT(" ",99)),397,99)),FIND(":",TRIM(MID(SUBSTITUTE(F107,";",REPT(" ",99)),397,99)))+1,99))))</f>
        <v/>
      </c>
    </row>
    <row r="108">
      <c r="C108" s="11">
        <f>IFERROR(VLOOKUP(B108,StageData!$A:$B,2,FALSE),"")</f>
        <v/>
      </c>
      <c r="G108" s="11">
        <f>IF(F108="","",TEXTJOIN("; ",TRUE,IF(TRIM(MID(SUBSTITUTE(F108,";",REPT(" ",99)),1,99))="","",IFERROR(VLOOKUP(--LEFT(TRIM(MID(SUBSTITUTE(F108,";",REPT(" ",99)),1,99)),FIND(":",TRIM(MID(SUBSTITUTE(F108,";",REPT(" ",99)),1,99)))-1),_Lookup!$A:$B,2,FALSE),"?")&amp;"×"&amp;MID(TRIM(MID(SUBSTITUTE(F108,";",REPT(" ",99)),1,99)),FIND(":",TRIM(MID(SUBSTITUTE(F108,";",REPT(" ",99)),1,99)))+1,99)),IF(TRIM(MID(SUBSTITUTE(F108,";",REPT(" ",99)),100,99))="","",IFERROR(VLOOKUP(--LEFT(TRIM(MID(SUBSTITUTE(F108,";",REPT(" ",99)),100,99)),FIND(":",TRIM(MID(SUBSTITUTE(F108,";",REPT(" ",99)),100,99)))-1),_Lookup!$A:$B,2,FALSE),"?")&amp;"×"&amp;MID(TRIM(MID(SUBSTITUTE(F108,";",REPT(" ",99)),100,99)),FIND(":",TRIM(MID(SUBSTITUTE(F108,";",REPT(" ",99)),100,99)))+1,99)),IF(TRIM(MID(SUBSTITUTE(F108,";",REPT(" ",99)),199,99))="","",IFERROR(VLOOKUP(--LEFT(TRIM(MID(SUBSTITUTE(F108,";",REPT(" ",99)),199,99)),FIND(":",TRIM(MID(SUBSTITUTE(F108,";",REPT(" ",99)),199,99)))-1),_Lookup!$A:$B,2,FALSE),"?")&amp;"×"&amp;MID(TRIM(MID(SUBSTITUTE(F108,";",REPT(" ",99)),199,99)),FIND(":",TRIM(MID(SUBSTITUTE(F108,";",REPT(" ",99)),199,99)))+1,99)),IF(TRIM(MID(SUBSTITUTE(F108,";",REPT(" ",99)),298,99))="","",IFERROR(VLOOKUP(--LEFT(TRIM(MID(SUBSTITUTE(F108,";",REPT(" ",99)),298,99)),FIND(":",TRIM(MID(SUBSTITUTE(F108,";",REPT(" ",99)),298,99)))-1),_Lookup!$A:$B,2,FALSE),"?")&amp;"×"&amp;MID(TRIM(MID(SUBSTITUTE(F108,";",REPT(" ",99)),298,99)),FIND(":",TRIM(MID(SUBSTITUTE(F108,";",REPT(" ",99)),298,99)))+1,99)),IF(TRIM(MID(SUBSTITUTE(F108,";",REPT(" ",99)),397,99))="","",IFERROR(VLOOKUP(--LEFT(TRIM(MID(SUBSTITUTE(F108,";",REPT(" ",99)),397,99)),FIND(":",TRIM(MID(SUBSTITUTE(F108,";",REPT(" ",99)),397,99)))-1),_Lookup!$A:$B,2,FALSE),"?")&amp;"×"&amp;MID(TRIM(MID(SUBSTITUTE(F108,";",REPT(" ",99)),397,99)),FIND(":",TRIM(MID(SUBSTITUTE(F108,";",REPT(" ",99)),397,99)))+1,99))))</f>
        <v/>
      </c>
    </row>
    <row r="109">
      <c r="C109" s="11">
        <f>IFERROR(VLOOKUP(B109,StageData!$A:$B,2,FALSE),"")</f>
        <v/>
      </c>
      <c r="G109" s="11">
        <f>IF(F109="","",TEXTJOIN("; ",TRUE,IF(TRIM(MID(SUBSTITUTE(F109,";",REPT(" ",99)),1,99))="","",IFERROR(VLOOKUP(--LEFT(TRIM(MID(SUBSTITUTE(F109,";",REPT(" ",99)),1,99)),FIND(":",TRIM(MID(SUBSTITUTE(F109,";",REPT(" ",99)),1,99)))-1),_Lookup!$A:$B,2,FALSE),"?")&amp;"×"&amp;MID(TRIM(MID(SUBSTITUTE(F109,";",REPT(" ",99)),1,99)),FIND(":",TRIM(MID(SUBSTITUTE(F109,";",REPT(" ",99)),1,99)))+1,99)),IF(TRIM(MID(SUBSTITUTE(F109,";",REPT(" ",99)),100,99))="","",IFERROR(VLOOKUP(--LEFT(TRIM(MID(SUBSTITUTE(F109,";",REPT(" ",99)),100,99)),FIND(":",TRIM(MID(SUBSTITUTE(F109,";",REPT(" ",99)),100,99)))-1),_Lookup!$A:$B,2,FALSE),"?")&amp;"×"&amp;MID(TRIM(MID(SUBSTITUTE(F109,";",REPT(" ",99)),100,99)),FIND(":",TRIM(MID(SUBSTITUTE(F109,";",REPT(" ",99)),100,99)))+1,99)),IF(TRIM(MID(SUBSTITUTE(F109,";",REPT(" ",99)),199,99))="","",IFERROR(VLOOKUP(--LEFT(TRIM(MID(SUBSTITUTE(F109,";",REPT(" ",99)),199,99)),FIND(":",TRIM(MID(SUBSTITUTE(F109,";",REPT(" ",99)),199,99)))-1),_Lookup!$A:$B,2,FALSE),"?")&amp;"×"&amp;MID(TRIM(MID(SUBSTITUTE(F109,";",REPT(" ",99)),199,99)),FIND(":",TRIM(MID(SUBSTITUTE(F109,";",REPT(" ",99)),199,99)))+1,99)),IF(TRIM(MID(SUBSTITUTE(F109,";",REPT(" ",99)),298,99))="","",IFERROR(VLOOKUP(--LEFT(TRIM(MID(SUBSTITUTE(F109,";",REPT(" ",99)),298,99)),FIND(":",TRIM(MID(SUBSTITUTE(F109,";",REPT(" ",99)),298,99)))-1),_Lookup!$A:$B,2,FALSE),"?")&amp;"×"&amp;MID(TRIM(MID(SUBSTITUTE(F109,";",REPT(" ",99)),298,99)),FIND(":",TRIM(MID(SUBSTITUTE(F109,";",REPT(" ",99)),298,99)))+1,99)),IF(TRIM(MID(SUBSTITUTE(F109,";",REPT(" ",99)),397,99))="","",IFERROR(VLOOKUP(--LEFT(TRIM(MID(SUBSTITUTE(F109,";",REPT(" ",99)),397,99)),FIND(":",TRIM(MID(SUBSTITUTE(F109,";",REPT(" ",99)),397,99)))-1),_Lookup!$A:$B,2,FALSE),"?")&amp;"×"&amp;MID(TRIM(MID(SUBSTITUTE(F109,";",REPT(" ",99)),397,99)),FIND(":",TRIM(MID(SUBSTITUTE(F109,";",REPT(" ",99)),397,99)))+1,99))))</f>
        <v/>
      </c>
    </row>
    <row r="110">
      <c r="C110" s="11">
        <f>IFERROR(VLOOKUP(B110,StageData!$A:$B,2,FALSE),"")</f>
        <v/>
      </c>
      <c r="G110" s="11">
        <f>IF(F110="","",TEXTJOIN("; ",TRUE,IF(TRIM(MID(SUBSTITUTE(F110,";",REPT(" ",99)),1,99))="","",IFERROR(VLOOKUP(--LEFT(TRIM(MID(SUBSTITUTE(F110,";",REPT(" ",99)),1,99)),FIND(":",TRIM(MID(SUBSTITUTE(F110,";",REPT(" ",99)),1,99)))-1),_Lookup!$A:$B,2,FALSE),"?")&amp;"×"&amp;MID(TRIM(MID(SUBSTITUTE(F110,";",REPT(" ",99)),1,99)),FIND(":",TRIM(MID(SUBSTITUTE(F110,";",REPT(" ",99)),1,99)))+1,99)),IF(TRIM(MID(SUBSTITUTE(F110,";",REPT(" ",99)),100,99))="","",IFERROR(VLOOKUP(--LEFT(TRIM(MID(SUBSTITUTE(F110,";",REPT(" ",99)),100,99)),FIND(":",TRIM(MID(SUBSTITUTE(F110,";",REPT(" ",99)),100,99)))-1),_Lookup!$A:$B,2,FALSE),"?")&amp;"×"&amp;MID(TRIM(MID(SUBSTITUTE(F110,";",REPT(" ",99)),100,99)),FIND(":",TRIM(MID(SUBSTITUTE(F110,";",REPT(" ",99)),100,99)))+1,99)),IF(TRIM(MID(SUBSTITUTE(F110,";",REPT(" ",99)),199,99))="","",IFERROR(VLOOKUP(--LEFT(TRIM(MID(SUBSTITUTE(F110,";",REPT(" ",99)),199,99)),FIND(":",TRIM(MID(SUBSTITUTE(F110,";",REPT(" ",99)),199,99)))-1),_Lookup!$A:$B,2,FALSE),"?")&amp;"×"&amp;MID(TRIM(MID(SUBSTITUTE(F110,";",REPT(" ",99)),199,99)),FIND(":",TRIM(MID(SUBSTITUTE(F110,";",REPT(" ",99)),199,99)))+1,99)),IF(TRIM(MID(SUBSTITUTE(F110,";",REPT(" ",99)),298,99))="","",IFERROR(VLOOKUP(--LEFT(TRIM(MID(SUBSTITUTE(F110,";",REPT(" ",99)),298,99)),FIND(":",TRIM(MID(SUBSTITUTE(F110,";",REPT(" ",99)),298,99)))-1),_Lookup!$A:$B,2,FALSE),"?")&amp;"×"&amp;MID(TRIM(MID(SUBSTITUTE(F110,";",REPT(" ",99)),298,99)),FIND(":",TRIM(MID(SUBSTITUTE(F110,";",REPT(" ",99)),298,99)))+1,99)),IF(TRIM(MID(SUBSTITUTE(F110,";",REPT(" ",99)),397,99))="","",IFERROR(VLOOKUP(--LEFT(TRIM(MID(SUBSTITUTE(F110,";",REPT(" ",99)),397,99)),FIND(":",TRIM(MID(SUBSTITUTE(F110,";",REPT(" ",99)),397,99)))-1),_Lookup!$A:$B,2,FALSE),"?")&amp;"×"&amp;MID(TRIM(MID(SUBSTITUTE(F110,";",REPT(" ",99)),397,99)),FIND(":",TRIM(MID(SUBSTITUTE(F110,";",REPT(" ",99)),397,99)))+1,99))))</f>
        <v/>
      </c>
    </row>
    <row r="111">
      <c r="C111" s="11">
        <f>IFERROR(VLOOKUP(B111,StageData!$A:$B,2,FALSE),"")</f>
        <v/>
      </c>
      <c r="G111" s="11">
        <f>IF(F111="","",TEXTJOIN("; ",TRUE,IF(TRIM(MID(SUBSTITUTE(F111,";",REPT(" ",99)),1,99))="","",IFERROR(VLOOKUP(--LEFT(TRIM(MID(SUBSTITUTE(F111,";",REPT(" ",99)),1,99)),FIND(":",TRIM(MID(SUBSTITUTE(F111,";",REPT(" ",99)),1,99)))-1),_Lookup!$A:$B,2,FALSE),"?")&amp;"×"&amp;MID(TRIM(MID(SUBSTITUTE(F111,";",REPT(" ",99)),1,99)),FIND(":",TRIM(MID(SUBSTITUTE(F111,";",REPT(" ",99)),1,99)))+1,99)),IF(TRIM(MID(SUBSTITUTE(F111,";",REPT(" ",99)),100,99))="","",IFERROR(VLOOKUP(--LEFT(TRIM(MID(SUBSTITUTE(F111,";",REPT(" ",99)),100,99)),FIND(":",TRIM(MID(SUBSTITUTE(F111,";",REPT(" ",99)),100,99)))-1),_Lookup!$A:$B,2,FALSE),"?")&amp;"×"&amp;MID(TRIM(MID(SUBSTITUTE(F111,";",REPT(" ",99)),100,99)),FIND(":",TRIM(MID(SUBSTITUTE(F111,";",REPT(" ",99)),100,99)))+1,99)),IF(TRIM(MID(SUBSTITUTE(F111,";",REPT(" ",99)),199,99))="","",IFERROR(VLOOKUP(--LEFT(TRIM(MID(SUBSTITUTE(F111,";",REPT(" ",99)),199,99)),FIND(":",TRIM(MID(SUBSTITUTE(F111,";",REPT(" ",99)),199,99)))-1),_Lookup!$A:$B,2,FALSE),"?")&amp;"×"&amp;MID(TRIM(MID(SUBSTITUTE(F111,";",REPT(" ",99)),199,99)),FIND(":",TRIM(MID(SUBSTITUTE(F111,";",REPT(" ",99)),199,99)))+1,99)),IF(TRIM(MID(SUBSTITUTE(F111,";",REPT(" ",99)),298,99))="","",IFERROR(VLOOKUP(--LEFT(TRIM(MID(SUBSTITUTE(F111,";",REPT(" ",99)),298,99)),FIND(":",TRIM(MID(SUBSTITUTE(F111,";",REPT(" ",99)),298,99)))-1),_Lookup!$A:$B,2,FALSE),"?")&amp;"×"&amp;MID(TRIM(MID(SUBSTITUTE(F111,";",REPT(" ",99)),298,99)),FIND(":",TRIM(MID(SUBSTITUTE(F111,";",REPT(" ",99)),298,99)))+1,99)),IF(TRIM(MID(SUBSTITUTE(F111,";",REPT(" ",99)),397,99))="","",IFERROR(VLOOKUP(--LEFT(TRIM(MID(SUBSTITUTE(F111,";",REPT(" ",99)),397,99)),FIND(":",TRIM(MID(SUBSTITUTE(F111,";",REPT(" ",99)),397,99)))-1),_Lookup!$A:$B,2,FALSE),"?")&amp;"×"&amp;MID(TRIM(MID(SUBSTITUTE(F111,";",REPT(" ",99)),397,99)),FIND(":",TRIM(MID(SUBSTITUTE(F111,";",REPT(" ",99)),397,99)))+1,99))))</f>
        <v/>
      </c>
    </row>
    <row r="112">
      <c r="C112" s="11">
        <f>IFERROR(VLOOKUP(B112,StageData!$A:$B,2,FALSE),"")</f>
        <v/>
      </c>
      <c r="G112" s="11">
        <f>IF(F112="","",TEXTJOIN("; ",TRUE,IF(TRIM(MID(SUBSTITUTE(F112,";",REPT(" ",99)),1,99))="","",IFERROR(VLOOKUP(--LEFT(TRIM(MID(SUBSTITUTE(F112,";",REPT(" ",99)),1,99)),FIND(":",TRIM(MID(SUBSTITUTE(F112,";",REPT(" ",99)),1,99)))-1),_Lookup!$A:$B,2,FALSE),"?")&amp;"×"&amp;MID(TRIM(MID(SUBSTITUTE(F112,";",REPT(" ",99)),1,99)),FIND(":",TRIM(MID(SUBSTITUTE(F112,";",REPT(" ",99)),1,99)))+1,99)),IF(TRIM(MID(SUBSTITUTE(F112,";",REPT(" ",99)),100,99))="","",IFERROR(VLOOKUP(--LEFT(TRIM(MID(SUBSTITUTE(F112,";",REPT(" ",99)),100,99)),FIND(":",TRIM(MID(SUBSTITUTE(F112,";",REPT(" ",99)),100,99)))-1),_Lookup!$A:$B,2,FALSE),"?")&amp;"×"&amp;MID(TRIM(MID(SUBSTITUTE(F112,";",REPT(" ",99)),100,99)),FIND(":",TRIM(MID(SUBSTITUTE(F112,";",REPT(" ",99)),100,99)))+1,99)),IF(TRIM(MID(SUBSTITUTE(F112,";",REPT(" ",99)),199,99))="","",IFERROR(VLOOKUP(--LEFT(TRIM(MID(SUBSTITUTE(F112,";",REPT(" ",99)),199,99)),FIND(":",TRIM(MID(SUBSTITUTE(F112,";",REPT(" ",99)),199,99)))-1),_Lookup!$A:$B,2,FALSE),"?")&amp;"×"&amp;MID(TRIM(MID(SUBSTITUTE(F112,";",REPT(" ",99)),199,99)),FIND(":",TRIM(MID(SUBSTITUTE(F112,";",REPT(" ",99)),199,99)))+1,99)),IF(TRIM(MID(SUBSTITUTE(F112,";",REPT(" ",99)),298,99))="","",IFERROR(VLOOKUP(--LEFT(TRIM(MID(SUBSTITUTE(F112,";",REPT(" ",99)),298,99)),FIND(":",TRIM(MID(SUBSTITUTE(F112,";",REPT(" ",99)),298,99)))-1),_Lookup!$A:$B,2,FALSE),"?")&amp;"×"&amp;MID(TRIM(MID(SUBSTITUTE(F112,";",REPT(" ",99)),298,99)),FIND(":",TRIM(MID(SUBSTITUTE(F112,";",REPT(" ",99)),298,99)))+1,99)),IF(TRIM(MID(SUBSTITUTE(F112,";",REPT(" ",99)),397,99))="","",IFERROR(VLOOKUP(--LEFT(TRIM(MID(SUBSTITUTE(F112,";",REPT(" ",99)),397,99)),FIND(":",TRIM(MID(SUBSTITUTE(F112,";",REPT(" ",99)),397,99)))-1),_Lookup!$A:$B,2,FALSE),"?")&amp;"×"&amp;MID(TRIM(MID(SUBSTITUTE(F112,";",REPT(" ",99)),397,99)),FIND(":",TRIM(MID(SUBSTITUTE(F112,";",REPT(" ",99)),397,99)))+1,99))))</f>
        <v/>
      </c>
    </row>
    <row r="113">
      <c r="C113" s="11">
        <f>IFERROR(VLOOKUP(B113,StageData!$A:$B,2,FALSE),"")</f>
        <v/>
      </c>
      <c r="G113" s="11">
        <f>IF(F113="","",TEXTJOIN("; ",TRUE,IF(TRIM(MID(SUBSTITUTE(F113,";",REPT(" ",99)),1,99))="","",IFERROR(VLOOKUP(--LEFT(TRIM(MID(SUBSTITUTE(F113,";",REPT(" ",99)),1,99)),FIND(":",TRIM(MID(SUBSTITUTE(F113,";",REPT(" ",99)),1,99)))-1),_Lookup!$A:$B,2,FALSE),"?")&amp;"×"&amp;MID(TRIM(MID(SUBSTITUTE(F113,";",REPT(" ",99)),1,99)),FIND(":",TRIM(MID(SUBSTITUTE(F113,";",REPT(" ",99)),1,99)))+1,99)),IF(TRIM(MID(SUBSTITUTE(F113,";",REPT(" ",99)),100,99))="","",IFERROR(VLOOKUP(--LEFT(TRIM(MID(SUBSTITUTE(F113,";",REPT(" ",99)),100,99)),FIND(":",TRIM(MID(SUBSTITUTE(F113,";",REPT(" ",99)),100,99)))-1),_Lookup!$A:$B,2,FALSE),"?")&amp;"×"&amp;MID(TRIM(MID(SUBSTITUTE(F113,";",REPT(" ",99)),100,99)),FIND(":",TRIM(MID(SUBSTITUTE(F113,";",REPT(" ",99)),100,99)))+1,99)),IF(TRIM(MID(SUBSTITUTE(F113,";",REPT(" ",99)),199,99))="","",IFERROR(VLOOKUP(--LEFT(TRIM(MID(SUBSTITUTE(F113,";",REPT(" ",99)),199,99)),FIND(":",TRIM(MID(SUBSTITUTE(F113,";",REPT(" ",99)),199,99)))-1),_Lookup!$A:$B,2,FALSE),"?")&amp;"×"&amp;MID(TRIM(MID(SUBSTITUTE(F113,";",REPT(" ",99)),199,99)),FIND(":",TRIM(MID(SUBSTITUTE(F113,";",REPT(" ",99)),199,99)))+1,99)),IF(TRIM(MID(SUBSTITUTE(F113,";",REPT(" ",99)),298,99))="","",IFERROR(VLOOKUP(--LEFT(TRIM(MID(SUBSTITUTE(F113,";",REPT(" ",99)),298,99)),FIND(":",TRIM(MID(SUBSTITUTE(F113,";",REPT(" ",99)),298,99)))-1),_Lookup!$A:$B,2,FALSE),"?")&amp;"×"&amp;MID(TRIM(MID(SUBSTITUTE(F113,";",REPT(" ",99)),298,99)),FIND(":",TRIM(MID(SUBSTITUTE(F113,";",REPT(" ",99)),298,99)))+1,99)),IF(TRIM(MID(SUBSTITUTE(F113,";",REPT(" ",99)),397,99))="","",IFERROR(VLOOKUP(--LEFT(TRIM(MID(SUBSTITUTE(F113,";",REPT(" ",99)),397,99)),FIND(":",TRIM(MID(SUBSTITUTE(F113,";",REPT(" ",99)),397,99)))-1),_Lookup!$A:$B,2,FALSE),"?")&amp;"×"&amp;MID(TRIM(MID(SUBSTITUTE(F113,";",REPT(" ",99)),397,99)),FIND(":",TRIM(MID(SUBSTITUTE(F113,";",REPT(" ",99)),397,99)))+1,99))))</f>
        <v/>
      </c>
    </row>
    <row r="114">
      <c r="C114" s="11">
        <f>IFERROR(VLOOKUP(B114,StageData!$A:$B,2,FALSE),"")</f>
        <v/>
      </c>
      <c r="G114" s="11">
        <f>IF(F114="","",TEXTJOIN("; ",TRUE,IF(TRIM(MID(SUBSTITUTE(F114,";",REPT(" ",99)),1,99))="","",IFERROR(VLOOKUP(--LEFT(TRIM(MID(SUBSTITUTE(F114,";",REPT(" ",99)),1,99)),FIND(":",TRIM(MID(SUBSTITUTE(F114,";",REPT(" ",99)),1,99)))-1),_Lookup!$A:$B,2,FALSE),"?")&amp;"×"&amp;MID(TRIM(MID(SUBSTITUTE(F114,";",REPT(" ",99)),1,99)),FIND(":",TRIM(MID(SUBSTITUTE(F114,";",REPT(" ",99)),1,99)))+1,99)),IF(TRIM(MID(SUBSTITUTE(F114,";",REPT(" ",99)),100,99))="","",IFERROR(VLOOKUP(--LEFT(TRIM(MID(SUBSTITUTE(F114,";",REPT(" ",99)),100,99)),FIND(":",TRIM(MID(SUBSTITUTE(F114,";",REPT(" ",99)),100,99)))-1),_Lookup!$A:$B,2,FALSE),"?")&amp;"×"&amp;MID(TRIM(MID(SUBSTITUTE(F114,";",REPT(" ",99)),100,99)),FIND(":",TRIM(MID(SUBSTITUTE(F114,";",REPT(" ",99)),100,99)))+1,99)),IF(TRIM(MID(SUBSTITUTE(F114,";",REPT(" ",99)),199,99))="","",IFERROR(VLOOKUP(--LEFT(TRIM(MID(SUBSTITUTE(F114,";",REPT(" ",99)),199,99)),FIND(":",TRIM(MID(SUBSTITUTE(F114,";",REPT(" ",99)),199,99)))-1),_Lookup!$A:$B,2,FALSE),"?")&amp;"×"&amp;MID(TRIM(MID(SUBSTITUTE(F114,";",REPT(" ",99)),199,99)),FIND(":",TRIM(MID(SUBSTITUTE(F114,";",REPT(" ",99)),199,99)))+1,99)),IF(TRIM(MID(SUBSTITUTE(F114,";",REPT(" ",99)),298,99))="","",IFERROR(VLOOKUP(--LEFT(TRIM(MID(SUBSTITUTE(F114,";",REPT(" ",99)),298,99)),FIND(":",TRIM(MID(SUBSTITUTE(F114,";",REPT(" ",99)),298,99)))-1),_Lookup!$A:$B,2,FALSE),"?")&amp;"×"&amp;MID(TRIM(MID(SUBSTITUTE(F114,";",REPT(" ",99)),298,99)),FIND(":",TRIM(MID(SUBSTITUTE(F114,";",REPT(" ",99)),298,99)))+1,99)),IF(TRIM(MID(SUBSTITUTE(F114,";",REPT(" ",99)),397,99))="","",IFERROR(VLOOKUP(--LEFT(TRIM(MID(SUBSTITUTE(F114,";",REPT(" ",99)),397,99)),FIND(":",TRIM(MID(SUBSTITUTE(F114,";",REPT(" ",99)),397,99)))-1),_Lookup!$A:$B,2,FALSE),"?")&amp;"×"&amp;MID(TRIM(MID(SUBSTITUTE(F114,";",REPT(" ",99)),397,99)),FIND(":",TRIM(MID(SUBSTITUTE(F114,";",REPT(" ",99)),397,99)))+1,99))))</f>
        <v/>
      </c>
    </row>
    <row r="115">
      <c r="C115" s="11">
        <f>IFERROR(VLOOKUP(B115,StageData!$A:$B,2,FALSE),"")</f>
        <v/>
      </c>
      <c r="G115" s="11">
        <f>IF(F115="","",TEXTJOIN("; ",TRUE,IF(TRIM(MID(SUBSTITUTE(F115,";",REPT(" ",99)),1,99))="","",IFERROR(VLOOKUP(--LEFT(TRIM(MID(SUBSTITUTE(F115,";",REPT(" ",99)),1,99)),FIND(":",TRIM(MID(SUBSTITUTE(F115,";",REPT(" ",99)),1,99)))-1),_Lookup!$A:$B,2,FALSE),"?")&amp;"×"&amp;MID(TRIM(MID(SUBSTITUTE(F115,";",REPT(" ",99)),1,99)),FIND(":",TRIM(MID(SUBSTITUTE(F115,";",REPT(" ",99)),1,99)))+1,99)),IF(TRIM(MID(SUBSTITUTE(F115,";",REPT(" ",99)),100,99))="","",IFERROR(VLOOKUP(--LEFT(TRIM(MID(SUBSTITUTE(F115,";",REPT(" ",99)),100,99)),FIND(":",TRIM(MID(SUBSTITUTE(F115,";",REPT(" ",99)),100,99)))-1),_Lookup!$A:$B,2,FALSE),"?")&amp;"×"&amp;MID(TRIM(MID(SUBSTITUTE(F115,";",REPT(" ",99)),100,99)),FIND(":",TRIM(MID(SUBSTITUTE(F115,";",REPT(" ",99)),100,99)))+1,99)),IF(TRIM(MID(SUBSTITUTE(F115,";",REPT(" ",99)),199,99))="","",IFERROR(VLOOKUP(--LEFT(TRIM(MID(SUBSTITUTE(F115,";",REPT(" ",99)),199,99)),FIND(":",TRIM(MID(SUBSTITUTE(F115,";",REPT(" ",99)),199,99)))-1),_Lookup!$A:$B,2,FALSE),"?")&amp;"×"&amp;MID(TRIM(MID(SUBSTITUTE(F115,";",REPT(" ",99)),199,99)),FIND(":",TRIM(MID(SUBSTITUTE(F115,";",REPT(" ",99)),199,99)))+1,99)),IF(TRIM(MID(SUBSTITUTE(F115,";",REPT(" ",99)),298,99))="","",IFERROR(VLOOKUP(--LEFT(TRIM(MID(SUBSTITUTE(F115,";",REPT(" ",99)),298,99)),FIND(":",TRIM(MID(SUBSTITUTE(F115,";",REPT(" ",99)),298,99)))-1),_Lookup!$A:$B,2,FALSE),"?")&amp;"×"&amp;MID(TRIM(MID(SUBSTITUTE(F115,";",REPT(" ",99)),298,99)),FIND(":",TRIM(MID(SUBSTITUTE(F115,";",REPT(" ",99)),298,99)))+1,99)),IF(TRIM(MID(SUBSTITUTE(F115,";",REPT(" ",99)),397,99))="","",IFERROR(VLOOKUP(--LEFT(TRIM(MID(SUBSTITUTE(F115,";",REPT(" ",99)),397,99)),FIND(":",TRIM(MID(SUBSTITUTE(F115,";",REPT(" ",99)),397,99)))-1),_Lookup!$A:$B,2,FALSE),"?")&amp;"×"&amp;MID(TRIM(MID(SUBSTITUTE(F115,";",REPT(" ",99)),397,99)),FIND(":",TRIM(MID(SUBSTITUTE(F115,";",REPT(" ",99)),397,99)))+1,99))))</f>
        <v/>
      </c>
    </row>
    <row r="116">
      <c r="C116" s="11">
        <f>IFERROR(VLOOKUP(B116,StageData!$A:$B,2,FALSE),"")</f>
        <v/>
      </c>
      <c r="G116" s="11">
        <f>IF(F116="","",TEXTJOIN("; ",TRUE,IF(TRIM(MID(SUBSTITUTE(F116,";",REPT(" ",99)),1,99))="","",IFERROR(VLOOKUP(--LEFT(TRIM(MID(SUBSTITUTE(F116,";",REPT(" ",99)),1,99)),FIND(":",TRIM(MID(SUBSTITUTE(F116,";",REPT(" ",99)),1,99)))-1),_Lookup!$A:$B,2,FALSE),"?")&amp;"×"&amp;MID(TRIM(MID(SUBSTITUTE(F116,";",REPT(" ",99)),1,99)),FIND(":",TRIM(MID(SUBSTITUTE(F116,";",REPT(" ",99)),1,99)))+1,99)),IF(TRIM(MID(SUBSTITUTE(F116,";",REPT(" ",99)),100,99))="","",IFERROR(VLOOKUP(--LEFT(TRIM(MID(SUBSTITUTE(F116,";",REPT(" ",99)),100,99)),FIND(":",TRIM(MID(SUBSTITUTE(F116,";",REPT(" ",99)),100,99)))-1),_Lookup!$A:$B,2,FALSE),"?")&amp;"×"&amp;MID(TRIM(MID(SUBSTITUTE(F116,";",REPT(" ",99)),100,99)),FIND(":",TRIM(MID(SUBSTITUTE(F116,";",REPT(" ",99)),100,99)))+1,99)),IF(TRIM(MID(SUBSTITUTE(F116,";",REPT(" ",99)),199,99))="","",IFERROR(VLOOKUP(--LEFT(TRIM(MID(SUBSTITUTE(F116,";",REPT(" ",99)),199,99)),FIND(":",TRIM(MID(SUBSTITUTE(F116,";",REPT(" ",99)),199,99)))-1),_Lookup!$A:$B,2,FALSE),"?")&amp;"×"&amp;MID(TRIM(MID(SUBSTITUTE(F116,";",REPT(" ",99)),199,99)),FIND(":",TRIM(MID(SUBSTITUTE(F116,";",REPT(" ",99)),199,99)))+1,99)),IF(TRIM(MID(SUBSTITUTE(F116,";",REPT(" ",99)),298,99))="","",IFERROR(VLOOKUP(--LEFT(TRIM(MID(SUBSTITUTE(F116,";",REPT(" ",99)),298,99)),FIND(":",TRIM(MID(SUBSTITUTE(F116,";",REPT(" ",99)),298,99)))-1),_Lookup!$A:$B,2,FALSE),"?")&amp;"×"&amp;MID(TRIM(MID(SUBSTITUTE(F116,";",REPT(" ",99)),298,99)),FIND(":",TRIM(MID(SUBSTITUTE(F116,";",REPT(" ",99)),298,99)))+1,99)),IF(TRIM(MID(SUBSTITUTE(F116,";",REPT(" ",99)),397,99))="","",IFERROR(VLOOKUP(--LEFT(TRIM(MID(SUBSTITUTE(F116,";",REPT(" ",99)),397,99)),FIND(":",TRIM(MID(SUBSTITUTE(F116,";",REPT(" ",99)),397,99)))-1),_Lookup!$A:$B,2,FALSE),"?")&amp;"×"&amp;MID(TRIM(MID(SUBSTITUTE(F116,";",REPT(" ",99)),397,99)),FIND(":",TRIM(MID(SUBSTITUTE(F116,";",REPT(" ",99)),397,99)))+1,99))))</f>
        <v/>
      </c>
    </row>
    <row r="117">
      <c r="C117" s="11">
        <f>IFERROR(VLOOKUP(B117,StageData!$A:$B,2,FALSE),"")</f>
        <v/>
      </c>
      <c r="G117" s="11">
        <f>IF(F117="","",TEXTJOIN("; ",TRUE,IF(TRIM(MID(SUBSTITUTE(F117,";",REPT(" ",99)),1,99))="","",IFERROR(VLOOKUP(--LEFT(TRIM(MID(SUBSTITUTE(F117,";",REPT(" ",99)),1,99)),FIND(":",TRIM(MID(SUBSTITUTE(F117,";",REPT(" ",99)),1,99)))-1),_Lookup!$A:$B,2,FALSE),"?")&amp;"×"&amp;MID(TRIM(MID(SUBSTITUTE(F117,";",REPT(" ",99)),1,99)),FIND(":",TRIM(MID(SUBSTITUTE(F117,";",REPT(" ",99)),1,99)))+1,99)),IF(TRIM(MID(SUBSTITUTE(F117,";",REPT(" ",99)),100,99))="","",IFERROR(VLOOKUP(--LEFT(TRIM(MID(SUBSTITUTE(F117,";",REPT(" ",99)),100,99)),FIND(":",TRIM(MID(SUBSTITUTE(F117,";",REPT(" ",99)),100,99)))-1),_Lookup!$A:$B,2,FALSE),"?")&amp;"×"&amp;MID(TRIM(MID(SUBSTITUTE(F117,";",REPT(" ",99)),100,99)),FIND(":",TRIM(MID(SUBSTITUTE(F117,";",REPT(" ",99)),100,99)))+1,99)),IF(TRIM(MID(SUBSTITUTE(F117,";",REPT(" ",99)),199,99))="","",IFERROR(VLOOKUP(--LEFT(TRIM(MID(SUBSTITUTE(F117,";",REPT(" ",99)),199,99)),FIND(":",TRIM(MID(SUBSTITUTE(F117,";",REPT(" ",99)),199,99)))-1),_Lookup!$A:$B,2,FALSE),"?")&amp;"×"&amp;MID(TRIM(MID(SUBSTITUTE(F117,";",REPT(" ",99)),199,99)),FIND(":",TRIM(MID(SUBSTITUTE(F117,";",REPT(" ",99)),199,99)))+1,99)),IF(TRIM(MID(SUBSTITUTE(F117,";",REPT(" ",99)),298,99))="","",IFERROR(VLOOKUP(--LEFT(TRIM(MID(SUBSTITUTE(F117,";",REPT(" ",99)),298,99)),FIND(":",TRIM(MID(SUBSTITUTE(F117,";",REPT(" ",99)),298,99)))-1),_Lookup!$A:$B,2,FALSE),"?")&amp;"×"&amp;MID(TRIM(MID(SUBSTITUTE(F117,";",REPT(" ",99)),298,99)),FIND(":",TRIM(MID(SUBSTITUTE(F117,";",REPT(" ",99)),298,99)))+1,99)),IF(TRIM(MID(SUBSTITUTE(F117,";",REPT(" ",99)),397,99))="","",IFERROR(VLOOKUP(--LEFT(TRIM(MID(SUBSTITUTE(F117,";",REPT(" ",99)),397,99)),FIND(":",TRIM(MID(SUBSTITUTE(F117,";",REPT(" ",99)),397,99)))-1),_Lookup!$A:$B,2,FALSE),"?")&amp;"×"&amp;MID(TRIM(MID(SUBSTITUTE(F117,";",REPT(" ",99)),397,99)),FIND(":",TRIM(MID(SUBSTITUTE(F117,";",REPT(" ",99)),397,99)))+1,99))))</f>
        <v/>
      </c>
    </row>
    <row r="118">
      <c r="C118" s="11">
        <f>IFERROR(VLOOKUP(B118,StageData!$A:$B,2,FALSE),"")</f>
        <v/>
      </c>
      <c r="G118" s="11">
        <f>IF(F118="","",TEXTJOIN("; ",TRUE,IF(TRIM(MID(SUBSTITUTE(F118,";",REPT(" ",99)),1,99))="","",IFERROR(VLOOKUP(--LEFT(TRIM(MID(SUBSTITUTE(F118,";",REPT(" ",99)),1,99)),FIND(":",TRIM(MID(SUBSTITUTE(F118,";",REPT(" ",99)),1,99)))-1),_Lookup!$A:$B,2,FALSE),"?")&amp;"×"&amp;MID(TRIM(MID(SUBSTITUTE(F118,";",REPT(" ",99)),1,99)),FIND(":",TRIM(MID(SUBSTITUTE(F118,";",REPT(" ",99)),1,99)))+1,99)),IF(TRIM(MID(SUBSTITUTE(F118,";",REPT(" ",99)),100,99))="","",IFERROR(VLOOKUP(--LEFT(TRIM(MID(SUBSTITUTE(F118,";",REPT(" ",99)),100,99)),FIND(":",TRIM(MID(SUBSTITUTE(F118,";",REPT(" ",99)),100,99)))-1),_Lookup!$A:$B,2,FALSE),"?")&amp;"×"&amp;MID(TRIM(MID(SUBSTITUTE(F118,";",REPT(" ",99)),100,99)),FIND(":",TRIM(MID(SUBSTITUTE(F118,";",REPT(" ",99)),100,99)))+1,99)),IF(TRIM(MID(SUBSTITUTE(F118,";",REPT(" ",99)),199,99))="","",IFERROR(VLOOKUP(--LEFT(TRIM(MID(SUBSTITUTE(F118,";",REPT(" ",99)),199,99)),FIND(":",TRIM(MID(SUBSTITUTE(F118,";",REPT(" ",99)),199,99)))-1),_Lookup!$A:$B,2,FALSE),"?")&amp;"×"&amp;MID(TRIM(MID(SUBSTITUTE(F118,";",REPT(" ",99)),199,99)),FIND(":",TRIM(MID(SUBSTITUTE(F118,";",REPT(" ",99)),199,99)))+1,99)),IF(TRIM(MID(SUBSTITUTE(F118,";",REPT(" ",99)),298,99))="","",IFERROR(VLOOKUP(--LEFT(TRIM(MID(SUBSTITUTE(F118,";",REPT(" ",99)),298,99)),FIND(":",TRIM(MID(SUBSTITUTE(F118,";",REPT(" ",99)),298,99)))-1),_Lookup!$A:$B,2,FALSE),"?")&amp;"×"&amp;MID(TRIM(MID(SUBSTITUTE(F118,";",REPT(" ",99)),298,99)),FIND(":",TRIM(MID(SUBSTITUTE(F118,";",REPT(" ",99)),298,99)))+1,99)),IF(TRIM(MID(SUBSTITUTE(F118,";",REPT(" ",99)),397,99))="","",IFERROR(VLOOKUP(--LEFT(TRIM(MID(SUBSTITUTE(F118,";",REPT(" ",99)),397,99)),FIND(":",TRIM(MID(SUBSTITUTE(F118,";",REPT(" ",99)),397,99)))-1),_Lookup!$A:$B,2,FALSE),"?")&amp;"×"&amp;MID(TRIM(MID(SUBSTITUTE(F118,";",REPT(" ",99)),397,99)),FIND(":",TRIM(MID(SUBSTITUTE(F118,";",REPT(" ",99)),397,99)))+1,99))))</f>
        <v/>
      </c>
    </row>
    <row r="119">
      <c r="C119" s="11">
        <f>IFERROR(VLOOKUP(B119,StageData!$A:$B,2,FALSE),"")</f>
        <v/>
      </c>
      <c r="G119" s="11">
        <f>IF(F119="","",TEXTJOIN("; ",TRUE,IF(TRIM(MID(SUBSTITUTE(F119,";",REPT(" ",99)),1,99))="","",IFERROR(VLOOKUP(--LEFT(TRIM(MID(SUBSTITUTE(F119,";",REPT(" ",99)),1,99)),FIND(":",TRIM(MID(SUBSTITUTE(F119,";",REPT(" ",99)),1,99)))-1),_Lookup!$A:$B,2,FALSE),"?")&amp;"×"&amp;MID(TRIM(MID(SUBSTITUTE(F119,";",REPT(" ",99)),1,99)),FIND(":",TRIM(MID(SUBSTITUTE(F119,";",REPT(" ",99)),1,99)))+1,99)),IF(TRIM(MID(SUBSTITUTE(F119,";",REPT(" ",99)),100,99))="","",IFERROR(VLOOKUP(--LEFT(TRIM(MID(SUBSTITUTE(F119,";",REPT(" ",99)),100,99)),FIND(":",TRIM(MID(SUBSTITUTE(F119,";",REPT(" ",99)),100,99)))-1),_Lookup!$A:$B,2,FALSE),"?")&amp;"×"&amp;MID(TRIM(MID(SUBSTITUTE(F119,";",REPT(" ",99)),100,99)),FIND(":",TRIM(MID(SUBSTITUTE(F119,";",REPT(" ",99)),100,99)))+1,99)),IF(TRIM(MID(SUBSTITUTE(F119,";",REPT(" ",99)),199,99))="","",IFERROR(VLOOKUP(--LEFT(TRIM(MID(SUBSTITUTE(F119,";",REPT(" ",99)),199,99)),FIND(":",TRIM(MID(SUBSTITUTE(F119,";",REPT(" ",99)),199,99)))-1),_Lookup!$A:$B,2,FALSE),"?")&amp;"×"&amp;MID(TRIM(MID(SUBSTITUTE(F119,";",REPT(" ",99)),199,99)),FIND(":",TRIM(MID(SUBSTITUTE(F119,";",REPT(" ",99)),199,99)))+1,99)),IF(TRIM(MID(SUBSTITUTE(F119,";",REPT(" ",99)),298,99))="","",IFERROR(VLOOKUP(--LEFT(TRIM(MID(SUBSTITUTE(F119,";",REPT(" ",99)),298,99)),FIND(":",TRIM(MID(SUBSTITUTE(F119,";",REPT(" ",99)),298,99)))-1),_Lookup!$A:$B,2,FALSE),"?")&amp;"×"&amp;MID(TRIM(MID(SUBSTITUTE(F119,";",REPT(" ",99)),298,99)),FIND(":",TRIM(MID(SUBSTITUTE(F119,";",REPT(" ",99)),298,99)))+1,99)),IF(TRIM(MID(SUBSTITUTE(F119,";",REPT(" ",99)),397,99))="","",IFERROR(VLOOKUP(--LEFT(TRIM(MID(SUBSTITUTE(F119,";",REPT(" ",99)),397,99)),FIND(":",TRIM(MID(SUBSTITUTE(F119,";",REPT(" ",99)),397,99)))-1),_Lookup!$A:$B,2,FALSE),"?")&amp;"×"&amp;MID(TRIM(MID(SUBSTITUTE(F119,";",REPT(" ",99)),397,99)),FIND(":",TRIM(MID(SUBSTITUTE(F119,";",REPT(" ",99)),397,99)))+1,99))))</f>
        <v/>
      </c>
    </row>
    <row r="120">
      <c r="C120" s="11">
        <f>IFERROR(VLOOKUP(B120,StageData!$A:$B,2,FALSE),"")</f>
        <v/>
      </c>
      <c r="G120" s="11">
        <f>IF(F120="","",TEXTJOIN("; ",TRUE,IF(TRIM(MID(SUBSTITUTE(F120,";",REPT(" ",99)),1,99))="","",IFERROR(VLOOKUP(--LEFT(TRIM(MID(SUBSTITUTE(F120,";",REPT(" ",99)),1,99)),FIND(":",TRIM(MID(SUBSTITUTE(F120,";",REPT(" ",99)),1,99)))-1),_Lookup!$A:$B,2,FALSE),"?")&amp;"×"&amp;MID(TRIM(MID(SUBSTITUTE(F120,";",REPT(" ",99)),1,99)),FIND(":",TRIM(MID(SUBSTITUTE(F120,";",REPT(" ",99)),1,99)))+1,99)),IF(TRIM(MID(SUBSTITUTE(F120,";",REPT(" ",99)),100,99))="","",IFERROR(VLOOKUP(--LEFT(TRIM(MID(SUBSTITUTE(F120,";",REPT(" ",99)),100,99)),FIND(":",TRIM(MID(SUBSTITUTE(F120,";",REPT(" ",99)),100,99)))-1),_Lookup!$A:$B,2,FALSE),"?")&amp;"×"&amp;MID(TRIM(MID(SUBSTITUTE(F120,";",REPT(" ",99)),100,99)),FIND(":",TRIM(MID(SUBSTITUTE(F120,";",REPT(" ",99)),100,99)))+1,99)),IF(TRIM(MID(SUBSTITUTE(F120,";",REPT(" ",99)),199,99))="","",IFERROR(VLOOKUP(--LEFT(TRIM(MID(SUBSTITUTE(F120,";",REPT(" ",99)),199,99)),FIND(":",TRIM(MID(SUBSTITUTE(F120,";",REPT(" ",99)),199,99)))-1),_Lookup!$A:$B,2,FALSE),"?")&amp;"×"&amp;MID(TRIM(MID(SUBSTITUTE(F120,";",REPT(" ",99)),199,99)),FIND(":",TRIM(MID(SUBSTITUTE(F120,";",REPT(" ",99)),199,99)))+1,99)),IF(TRIM(MID(SUBSTITUTE(F120,";",REPT(" ",99)),298,99))="","",IFERROR(VLOOKUP(--LEFT(TRIM(MID(SUBSTITUTE(F120,";",REPT(" ",99)),298,99)),FIND(":",TRIM(MID(SUBSTITUTE(F120,";",REPT(" ",99)),298,99)))-1),_Lookup!$A:$B,2,FALSE),"?")&amp;"×"&amp;MID(TRIM(MID(SUBSTITUTE(F120,";",REPT(" ",99)),298,99)),FIND(":",TRIM(MID(SUBSTITUTE(F120,";",REPT(" ",99)),298,99)))+1,99)),IF(TRIM(MID(SUBSTITUTE(F120,";",REPT(" ",99)),397,99))="","",IFERROR(VLOOKUP(--LEFT(TRIM(MID(SUBSTITUTE(F120,";",REPT(" ",99)),397,99)),FIND(":",TRIM(MID(SUBSTITUTE(F120,";",REPT(" ",99)),397,99)))-1),_Lookup!$A:$B,2,FALSE),"?")&amp;"×"&amp;MID(TRIM(MID(SUBSTITUTE(F120,";",REPT(" ",99)),397,99)),FIND(":",TRIM(MID(SUBSTITUTE(F120,";",REPT(" ",99)),397,99)))+1,99))))</f>
        <v/>
      </c>
    </row>
    <row r="121">
      <c r="C121" s="11">
        <f>IFERROR(VLOOKUP(B121,StageData!$A:$B,2,FALSE),"")</f>
        <v/>
      </c>
      <c r="G121" s="11">
        <f>IF(F121="","",TEXTJOIN("; ",TRUE,IF(TRIM(MID(SUBSTITUTE(F121,";",REPT(" ",99)),1,99))="","",IFERROR(VLOOKUP(--LEFT(TRIM(MID(SUBSTITUTE(F121,";",REPT(" ",99)),1,99)),FIND(":",TRIM(MID(SUBSTITUTE(F121,";",REPT(" ",99)),1,99)))-1),_Lookup!$A:$B,2,FALSE),"?")&amp;"×"&amp;MID(TRIM(MID(SUBSTITUTE(F121,";",REPT(" ",99)),1,99)),FIND(":",TRIM(MID(SUBSTITUTE(F121,";",REPT(" ",99)),1,99)))+1,99)),IF(TRIM(MID(SUBSTITUTE(F121,";",REPT(" ",99)),100,99))="","",IFERROR(VLOOKUP(--LEFT(TRIM(MID(SUBSTITUTE(F121,";",REPT(" ",99)),100,99)),FIND(":",TRIM(MID(SUBSTITUTE(F121,";",REPT(" ",99)),100,99)))-1),_Lookup!$A:$B,2,FALSE),"?")&amp;"×"&amp;MID(TRIM(MID(SUBSTITUTE(F121,";",REPT(" ",99)),100,99)),FIND(":",TRIM(MID(SUBSTITUTE(F121,";",REPT(" ",99)),100,99)))+1,99)),IF(TRIM(MID(SUBSTITUTE(F121,";",REPT(" ",99)),199,99))="","",IFERROR(VLOOKUP(--LEFT(TRIM(MID(SUBSTITUTE(F121,";",REPT(" ",99)),199,99)),FIND(":",TRIM(MID(SUBSTITUTE(F121,";",REPT(" ",99)),199,99)))-1),_Lookup!$A:$B,2,FALSE),"?")&amp;"×"&amp;MID(TRIM(MID(SUBSTITUTE(F121,";",REPT(" ",99)),199,99)),FIND(":",TRIM(MID(SUBSTITUTE(F121,";",REPT(" ",99)),199,99)))+1,99)),IF(TRIM(MID(SUBSTITUTE(F121,";",REPT(" ",99)),298,99))="","",IFERROR(VLOOKUP(--LEFT(TRIM(MID(SUBSTITUTE(F121,";",REPT(" ",99)),298,99)),FIND(":",TRIM(MID(SUBSTITUTE(F121,";",REPT(" ",99)),298,99)))-1),_Lookup!$A:$B,2,FALSE),"?")&amp;"×"&amp;MID(TRIM(MID(SUBSTITUTE(F121,";",REPT(" ",99)),298,99)),FIND(":",TRIM(MID(SUBSTITUTE(F121,";",REPT(" ",99)),298,99)))+1,99)),IF(TRIM(MID(SUBSTITUTE(F121,";",REPT(" ",99)),397,99))="","",IFERROR(VLOOKUP(--LEFT(TRIM(MID(SUBSTITUTE(F121,";",REPT(" ",99)),397,99)),FIND(":",TRIM(MID(SUBSTITUTE(F121,";",REPT(" ",99)),397,99)))-1),_Lookup!$A:$B,2,FALSE),"?")&amp;"×"&amp;MID(TRIM(MID(SUBSTITUTE(F121,";",REPT(" ",99)),397,99)),FIND(":",TRIM(MID(SUBSTITUTE(F121,";",REPT(" ",99)),397,99)))+1,99))))</f>
        <v/>
      </c>
    </row>
    <row r="122">
      <c r="C122" s="11">
        <f>IFERROR(VLOOKUP(B122,StageData!$A:$B,2,FALSE),"")</f>
        <v/>
      </c>
      <c r="G122" s="11">
        <f>IF(F122="","",TEXTJOIN("; ",TRUE,IF(TRIM(MID(SUBSTITUTE(F122,";",REPT(" ",99)),1,99))="","",IFERROR(VLOOKUP(--LEFT(TRIM(MID(SUBSTITUTE(F122,";",REPT(" ",99)),1,99)),FIND(":",TRIM(MID(SUBSTITUTE(F122,";",REPT(" ",99)),1,99)))-1),_Lookup!$A:$B,2,FALSE),"?")&amp;"×"&amp;MID(TRIM(MID(SUBSTITUTE(F122,";",REPT(" ",99)),1,99)),FIND(":",TRIM(MID(SUBSTITUTE(F122,";",REPT(" ",99)),1,99)))+1,99)),IF(TRIM(MID(SUBSTITUTE(F122,";",REPT(" ",99)),100,99))="","",IFERROR(VLOOKUP(--LEFT(TRIM(MID(SUBSTITUTE(F122,";",REPT(" ",99)),100,99)),FIND(":",TRIM(MID(SUBSTITUTE(F122,";",REPT(" ",99)),100,99)))-1),_Lookup!$A:$B,2,FALSE),"?")&amp;"×"&amp;MID(TRIM(MID(SUBSTITUTE(F122,";",REPT(" ",99)),100,99)),FIND(":",TRIM(MID(SUBSTITUTE(F122,";",REPT(" ",99)),100,99)))+1,99)),IF(TRIM(MID(SUBSTITUTE(F122,";",REPT(" ",99)),199,99))="","",IFERROR(VLOOKUP(--LEFT(TRIM(MID(SUBSTITUTE(F122,";",REPT(" ",99)),199,99)),FIND(":",TRIM(MID(SUBSTITUTE(F122,";",REPT(" ",99)),199,99)))-1),_Lookup!$A:$B,2,FALSE),"?")&amp;"×"&amp;MID(TRIM(MID(SUBSTITUTE(F122,";",REPT(" ",99)),199,99)),FIND(":",TRIM(MID(SUBSTITUTE(F122,";",REPT(" ",99)),199,99)))+1,99)),IF(TRIM(MID(SUBSTITUTE(F122,";",REPT(" ",99)),298,99))="","",IFERROR(VLOOKUP(--LEFT(TRIM(MID(SUBSTITUTE(F122,";",REPT(" ",99)),298,99)),FIND(":",TRIM(MID(SUBSTITUTE(F122,";",REPT(" ",99)),298,99)))-1),_Lookup!$A:$B,2,FALSE),"?")&amp;"×"&amp;MID(TRIM(MID(SUBSTITUTE(F122,";",REPT(" ",99)),298,99)),FIND(":",TRIM(MID(SUBSTITUTE(F122,";",REPT(" ",99)),298,99)))+1,99)),IF(TRIM(MID(SUBSTITUTE(F122,";",REPT(" ",99)),397,99))="","",IFERROR(VLOOKUP(--LEFT(TRIM(MID(SUBSTITUTE(F122,";",REPT(" ",99)),397,99)),FIND(":",TRIM(MID(SUBSTITUTE(F122,";",REPT(" ",99)),397,99)))-1),_Lookup!$A:$B,2,FALSE),"?")&amp;"×"&amp;MID(TRIM(MID(SUBSTITUTE(F122,";",REPT(" ",99)),397,99)),FIND(":",TRIM(MID(SUBSTITUTE(F122,";",REPT(" ",99)),397,99)))+1,99))))</f>
        <v/>
      </c>
    </row>
    <row r="123">
      <c r="C123" s="11">
        <f>IFERROR(VLOOKUP(B123,StageData!$A:$B,2,FALSE),"")</f>
        <v/>
      </c>
      <c r="G123" s="11">
        <f>IF(F123="","",TEXTJOIN("; ",TRUE,IF(TRIM(MID(SUBSTITUTE(F123,";",REPT(" ",99)),1,99))="","",IFERROR(VLOOKUP(--LEFT(TRIM(MID(SUBSTITUTE(F123,";",REPT(" ",99)),1,99)),FIND(":",TRIM(MID(SUBSTITUTE(F123,";",REPT(" ",99)),1,99)))-1),_Lookup!$A:$B,2,FALSE),"?")&amp;"×"&amp;MID(TRIM(MID(SUBSTITUTE(F123,";",REPT(" ",99)),1,99)),FIND(":",TRIM(MID(SUBSTITUTE(F123,";",REPT(" ",99)),1,99)))+1,99)),IF(TRIM(MID(SUBSTITUTE(F123,";",REPT(" ",99)),100,99))="","",IFERROR(VLOOKUP(--LEFT(TRIM(MID(SUBSTITUTE(F123,";",REPT(" ",99)),100,99)),FIND(":",TRIM(MID(SUBSTITUTE(F123,";",REPT(" ",99)),100,99)))-1),_Lookup!$A:$B,2,FALSE),"?")&amp;"×"&amp;MID(TRIM(MID(SUBSTITUTE(F123,";",REPT(" ",99)),100,99)),FIND(":",TRIM(MID(SUBSTITUTE(F123,";",REPT(" ",99)),100,99)))+1,99)),IF(TRIM(MID(SUBSTITUTE(F123,";",REPT(" ",99)),199,99))="","",IFERROR(VLOOKUP(--LEFT(TRIM(MID(SUBSTITUTE(F123,";",REPT(" ",99)),199,99)),FIND(":",TRIM(MID(SUBSTITUTE(F123,";",REPT(" ",99)),199,99)))-1),_Lookup!$A:$B,2,FALSE),"?")&amp;"×"&amp;MID(TRIM(MID(SUBSTITUTE(F123,";",REPT(" ",99)),199,99)),FIND(":",TRIM(MID(SUBSTITUTE(F123,";",REPT(" ",99)),199,99)))+1,99)),IF(TRIM(MID(SUBSTITUTE(F123,";",REPT(" ",99)),298,99))="","",IFERROR(VLOOKUP(--LEFT(TRIM(MID(SUBSTITUTE(F123,";",REPT(" ",99)),298,99)),FIND(":",TRIM(MID(SUBSTITUTE(F123,";",REPT(" ",99)),298,99)))-1),_Lookup!$A:$B,2,FALSE),"?")&amp;"×"&amp;MID(TRIM(MID(SUBSTITUTE(F123,";",REPT(" ",99)),298,99)),FIND(":",TRIM(MID(SUBSTITUTE(F123,";",REPT(" ",99)),298,99)))+1,99)),IF(TRIM(MID(SUBSTITUTE(F123,";",REPT(" ",99)),397,99))="","",IFERROR(VLOOKUP(--LEFT(TRIM(MID(SUBSTITUTE(F123,";",REPT(" ",99)),397,99)),FIND(":",TRIM(MID(SUBSTITUTE(F123,";",REPT(" ",99)),397,99)))-1),_Lookup!$A:$B,2,FALSE),"?")&amp;"×"&amp;MID(TRIM(MID(SUBSTITUTE(F123,";",REPT(" ",99)),397,99)),FIND(":",TRIM(MID(SUBSTITUTE(F123,";",REPT(" ",99)),397,99)))+1,99))))</f>
        <v/>
      </c>
    </row>
    <row r="124">
      <c r="C124" s="11">
        <f>IFERROR(VLOOKUP(B124,StageData!$A:$B,2,FALSE),"")</f>
        <v/>
      </c>
      <c r="G124" s="11">
        <f>IF(F124="","",TEXTJOIN("; ",TRUE,IF(TRIM(MID(SUBSTITUTE(F124,";",REPT(" ",99)),1,99))="","",IFERROR(VLOOKUP(--LEFT(TRIM(MID(SUBSTITUTE(F124,";",REPT(" ",99)),1,99)),FIND(":",TRIM(MID(SUBSTITUTE(F124,";",REPT(" ",99)),1,99)))-1),_Lookup!$A:$B,2,FALSE),"?")&amp;"×"&amp;MID(TRIM(MID(SUBSTITUTE(F124,";",REPT(" ",99)),1,99)),FIND(":",TRIM(MID(SUBSTITUTE(F124,";",REPT(" ",99)),1,99)))+1,99)),IF(TRIM(MID(SUBSTITUTE(F124,";",REPT(" ",99)),100,99))="","",IFERROR(VLOOKUP(--LEFT(TRIM(MID(SUBSTITUTE(F124,";",REPT(" ",99)),100,99)),FIND(":",TRIM(MID(SUBSTITUTE(F124,";",REPT(" ",99)),100,99)))-1),_Lookup!$A:$B,2,FALSE),"?")&amp;"×"&amp;MID(TRIM(MID(SUBSTITUTE(F124,";",REPT(" ",99)),100,99)),FIND(":",TRIM(MID(SUBSTITUTE(F124,";",REPT(" ",99)),100,99)))+1,99)),IF(TRIM(MID(SUBSTITUTE(F124,";",REPT(" ",99)),199,99))="","",IFERROR(VLOOKUP(--LEFT(TRIM(MID(SUBSTITUTE(F124,";",REPT(" ",99)),199,99)),FIND(":",TRIM(MID(SUBSTITUTE(F124,";",REPT(" ",99)),199,99)))-1),_Lookup!$A:$B,2,FALSE),"?")&amp;"×"&amp;MID(TRIM(MID(SUBSTITUTE(F124,";",REPT(" ",99)),199,99)),FIND(":",TRIM(MID(SUBSTITUTE(F124,";",REPT(" ",99)),199,99)))+1,99)),IF(TRIM(MID(SUBSTITUTE(F124,";",REPT(" ",99)),298,99))="","",IFERROR(VLOOKUP(--LEFT(TRIM(MID(SUBSTITUTE(F124,";",REPT(" ",99)),298,99)),FIND(":",TRIM(MID(SUBSTITUTE(F124,";",REPT(" ",99)),298,99)))-1),_Lookup!$A:$B,2,FALSE),"?")&amp;"×"&amp;MID(TRIM(MID(SUBSTITUTE(F124,";",REPT(" ",99)),298,99)),FIND(":",TRIM(MID(SUBSTITUTE(F124,";",REPT(" ",99)),298,99)))+1,99)),IF(TRIM(MID(SUBSTITUTE(F124,";",REPT(" ",99)),397,99))="","",IFERROR(VLOOKUP(--LEFT(TRIM(MID(SUBSTITUTE(F124,";",REPT(" ",99)),397,99)),FIND(":",TRIM(MID(SUBSTITUTE(F124,";",REPT(" ",99)),397,99)))-1),_Lookup!$A:$B,2,FALSE),"?")&amp;"×"&amp;MID(TRIM(MID(SUBSTITUTE(F124,";",REPT(" ",99)),397,99)),FIND(":",TRIM(MID(SUBSTITUTE(F124,";",REPT(" ",99)),397,99)))+1,99))))</f>
        <v/>
      </c>
    </row>
    <row r="125">
      <c r="C125" s="11">
        <f>IFERROR(VLOOKUP(B125,StageData!$A:$B,2,FALSE),"")</f>
        <v/>
      </c>
      <c r="G125" s="11">
        <f>IF(F125="","",TEXTJOIN("; ",TRUE,IF(TRIM(MID(SUBSTITUTE(F125,";",REPT(" ",99)),1,99))="","",IFERROR(VLOOKUP(--LEFT(TRIM(MID(SUBSTITUTE(F125,";",REPT(" ",99)),1,99)),FIND(":",TRIM(MID(SUBSTITUTE(F125,";",REPT(" ",99)),1,99)))-1),_Lookup!$A:$B,2,FALSE),"?")&amp;"×"&amp;MID(TRIM(MID(SUBSTITUTE(F125,";",REPT(" ",99)),1,99)),FIND(":",TRIM(MID(SUBSTITUTE(F125,";",REPT(" ",99)),1,99)))+1,99)),IF(TRIM(MID(SUBSTITUTE(F125,";",REPT(" ",99)),100,99))="","",IFERROR(VLOOKUP(--LEFT(TRIM(MID(SUBSTITUTE(F125,";",REPT(" ",99)),100,99)),FIND(":",TRIM(MID(SUBSTITUTE(F125,";",REPT(" ",99)),100,99)))-1),_Lookup!$A:$B,2,FALSE),"?")&amp;"×"&amp;MID(TRIM(MID(SUBSTITUTE(F125,";",REPT(" ",99)),100,99)),FIND(":",TRIM(MID(SUBSTITUTE(F125,";",REPT(" ",99)),100,99)))+1,99)),IF(TRIM(MID(SUBSTITUTE(F125,";",REPT(" ",99)),199,99))="","",IFERROR(VLOOKUP(--LEFT(TRIM(MID(SUBSTITUTE(F125,";",REPT(" ",99)),199,99)),FIND(":",TRIM(MID(SUBSTITUTE(F125,";",REPT(" ",99)),199,99)))-1),_Lookup!$A:$B,2,FALSE),"?")&amp;"×"&amp;MID(TRIM(MID(SUBSTITUTE(F125,";",REPT(" ",99)),199,99)),FIND(":",TRIM(MID(SUBSTITUTE(F125,";",REPT(" ",99)),199,99)))+1,99)),IF(TRIM(MID(SUBSTITUTE(F125,";",REPT(" ",99)),298,99))="","",IFERROR(VLOOKUP(--LEFT(TRIM(MID(SUBSTITUTE(F125,";",REPT(" ",99)),298,99)),FIND(":",TRIM(MID(SUBSTITUTE(F125,";",REPT(" ",99)),298,99)))-1),_Lookup!$A:$B,2,FALSE),"?")&amp;"×"&amp;MID(TRIM(MID(SUBSTITUTE(F125,";",REPT(" ",99)),298,99)),FIND(":",TRIM(MID(SUBSTITUTE(F125,";",REPT(" ",99)),298,99)))+1,99)),IF(TRIM(MID(SUBSTITUTE(F125,";",REPT(" ",99)),397,99))="","",IFERROR(VLOOKUP(--LEFT(TRIM(MID(SUBSTITUTE(F125,";",REPT(" ",99)),397,99)),FIND(":",TRIM(MID(SUBSTITUTE(F125,";",REPT(" ",99)),397,99)))-1),_Lookup!$A:$B,2,FALSE),"?")&amp;"×"&amp;MID(TRIM(MID(SUBSTITUTE(F125,";",REPT(" ",99)),397,99)),FIND(":",TRIM(MID(SUBSTITUTE(F125,";",REPT(" ",99)),397,99)))+1,99))))</f>
        <v/>
      </c>
    </row>
    <row r="126">
      <c r="C126" s="11">
        <f>IFERROR(VLOOKUP(B126,StageData!$A:$B,2,FALSE),"")</f>
        <v/>
      </c>
      <c r="G126" s="11">
        <f>IF(F126="","",TEXTJOIN("; ",TRUE,IF(TRIM(MID(SUBSTITUTE(F126,";",REPT(" ",99)),1,99))="","",IFERROR(VLOOKUP(--LEFT(TRIM(MID(SUBSTITUTE(F126,";",REPT(" ",99)),1,99)),FIND(":",TRIM(MID(SUBSTITUTE(F126,";",REPT(" ",99)),1,99)))-1),_Lookup!$A:$B,2,FALSE),"?")&amp;"×"&amp;MID(TRIM(MID(SUBSTITUTE(F126,";",REPT(" ",99)),1,99)),FIND(":",TRIM(MID(SUBSTITUTE(F126,";",REPT(" ",99)),1,99)))+1,99)),IF(TRIM(MID(SUBSTITUTE(F126,";",REPT(" ",99)),100,99))="","",IFERROR(VLOOKUP(--LEFT(TRIM(MID(SUBSTITUTE(F126,";",REPT(" ",99)),100,99)),FIND(":",TRIM(MID(SUBSTITUTE(F126,";",REPT(" ",99)),100,99)))-1),_Lookup!$A:$B,2,FALSE),"?")&amp;"×"&amp;MID(TRIM(MID(SUBSTITUTE(F126,";",REPT(" ",99)),100,99)),FIND(":",TRIM(MID(SUBSTITUTE(F126,";",REPT(" ",99)),100,99)))+1,99)),IF(TRIM(MID(SUBSTITUTE(F126,";",REPT(" ",99)),199,99))="","",IFERROR(VLOOKUP(--LEFT(TRIM(MID(SUBSTITUTE(F126,";",REPT(" ",99)),199,99)),FIND(":",TRIM(MID(SUBSTITUTE(F126,";",REPT(" ",99)),199,99)))-1),_Lookup!$A:$B,2,FALSE),"?")&amp;"×"&amp;MID(TRIM(MID(SUBSTITUTE(F126,";",REPT(" ",99)),199,99)),FIND(":",TRIM(MID(SUBSTITUTE(F126,";",REPT(" ",99)),199,99)))+1,99)),IF(TRIM(MID(SUBSTITUTE(F126,";",REPT(" ",99)),298,99))="","",IFERROR(VLOOKUP(--LEFT(TRIM(MID(SUBSTITUTE(F126,";",REPT(" ",99)),298,99)),FIND(":",TRIM(MID(SUBSTITUTE(F126,";",REPT(" ",99)),298,99)))-1),_Lookup!$A:$B,2,FALSE),"?")&amp;"×"&amp;MID(TRIM(MID(SUBSTITUTE(F126,";",REPT(" ",99)),298,99)),FIND(":",TRIM(MID(SUBSTITUTE(F126,";",REPT(" ",99)),298,99)))+1,99)),IF(TRIM(MID(SUBSTITUTE(F126,";",REPT(" ",99)),397,99))="","",IFERROR(VLOOKUP(--LEFT(TRIM(MID(SUBSTITUTE(F126,";",REPT(" ",99)),397,99)),FIND(":",TRIM(MID(SUBSTITUTE(F126,";",REPT(" ",99)),397,99)))-1),_Lookup!$A:$B,2,FALSE),"?")&amp;"×"&amp;MID(TRIM(MID(SUBSTITUTE(F126,";",REPT(" ",99)),397,99)),FIND(":",TRIM(MID(SUBSTITUTE(F126,";",REPT(" ",99)),397,99)))+1,99))))</f>
        <v/>
      </c>
    </row>
    <row r="127">
      <c r="C127" s="11">
        <f>IFERROR(VLOOKUP(B127,StageData!$A:$B,2,FALSE),"")</f>
        <v/>
      </c>
      <c r="G127" s="11">
        <f>IF(F127="","",TEXTJOIN("; ",TRUE,IF(TRIM(MID(SUBSTITUTE(F127,";",REPT(" ",99)),1,99))="","",IFERROR(VLOOKUP(--LEFT(TRIM(MID(SUBSTITUTE(F127,";",REPT(" ",99)),1,99)),FIND(":",TRIM(MID(SUBSTITUTE(F127,";",REPT(" ",99)),1,99)))-1),_Lookup!$A:$B,2,FALSE),"?")&amp;"×"&amp;MID(TRIM(MID(SUBSTITUTE(F127,";",REPT(" ",99)),1,99)),FIND(":",TRIM(MID(SUBSTITUTE(F127,";",REPT(" ",99)),1,99)))+1,99)),IF(TRIM(MID(SUBSTITUTE(F127,";",REPT(" ",99)),100,99))="","",IFERROR(VLOOKUP(--LEFT(TRIM(MID(SUBSTITUTE(F127,";",REPT(" ",99)),100,99)),FIND(":",TRIM(MID(SUBSTITUTE(F127,";",REPT(" ",99)),100,99)))-1),_Lookup!$A:$B,2,FALSE),"?")&amp;"×"&amp;MID(TRIM(MID(SUBSTITUTE(F127,";",REPT(" ",99)),100,99)),FIND(":",TRIM(MID(SUBSTITUTE(F127,";",REPT(" ",99)),100,99)))+1,99)),IF(TRIM(MID(SUBSTITUTE(F127,";",REPT(" ",99)),199,99))="","",IFERROR(VLOOKUP(--LEFT(TRIM(MID(SUBSTITUTE(F127,";",REPT(" ",99)),199,99)),FIND(":",TRIM(MID(SUBSTITUTE(F127,";",REPT(" ",99)),199,99)))-1),_Lookup!$A:$B,2,FALSE),"?")&amp;"×"&amp;MID(TRIM(MID(SUBSTITUTE(F127,";",REPT(" ",99)),199,99)),FIND(":",TRIM(MID(SUBSTITUTE(F127,";",REPT(" ",99)),199,99)))+1,99)),IF(TRIM(MID(SUBSTITUTE(F127,";",REPT(" ",99)),298,99))="","",IFERROR(VLOOKUP(--LEFT(TRIM(MID(SUBSTITUTE(F127,";",REPT(" ",99)),298,99)),FIND(":",TRIM(MID(SUBSTITUTE(F127,";",REPT(" ",99)),298,99)))-1),_Lookup!$A:$B,2,FALSE),"?")&amp;"×"&amp;MID(TRIM(MID(SUBSTITUTE(F127,";",REPT(" ",99)),298,99)),FIND(":",TRIM(MID(SUBSTITUTE(F127,";",REPT(" ",99)),298,99)))+1,99)),IF(TRIM(MID(SUBSTITUTE(F127,";",REPT(" ",99)),397,99))="","",IFERROR(VLOOKUP(--LEFT(TRIM(MID(SUBSTITUTE(F127,";",REPT(" ",99)),397,99)),FIND(":",TRIM(MID(SUBSTITUTE(F127,";",REPT(" ",99)),397,99)))-1),_Lookup!$A:$B,2,FALSE),"?")&amp;"×"&amp;MID(TRIM(MID(SUBSTITUTE(F127,";",REPT(" ",99)),397,99)),FIND(":",TRIM(MID(SUBSTITUTE(F127,";",REPT(" ",99)),397,99)))+1,99))))</f>
        <v/>
      </c>
    </row>
    <row r="128">
      <c r="C128" s="11">
        <f>IFERROR(VLOOKUP(B128,StageData!$A:$B,2,FALSE),"")</f>
        <v/>
      </c>
      <c r="G128" s="11">
        <f>IF(F128="","",TEXTJOIN("; ",TRUE,IF(TRIM(MID(SUBSTITUTE(F128,";",REPT(" ",99)),1,99))="","",IFERROR(VLOOKUP(--LEFT(TRIM(MID(SUBSTITUTE(F128,";",REPT(" ",99)),1,99)),FIND(":",TRIM(MID(SUBSTITUTE(F128,";",REPT(" ",99)),1,99)))-1),_Lookup!$A:$B,2,FALSE),"?")&amp;"×"&amp;MID(TRIM(MID(SUBSTITUTE(F128,";",REPT(" ",99)),1,99)),FIND(":",TRIM(MID(SUBSTITUTE(F128,";",REPT(" ",99)),1,99)))+1,99)),IF(TRIM(MID(SUBSTITUTE(F128,";",REPT(" ",99)),100,99))="","",IFERROR(VLOOKUP(--LEFT(TRIM(MID(SUBSTITUTE(F128,";",REPT(" ",99)),100,99)),FIND(":",TRIM(MID(SUBSTITUTE(F128,";",REPT(" ",99)),100,99)))-1),_Lookup!$A:$B,2,FALSE),"?")&amp;"×"&amp;MID(TRIM(MID(SUBSTITUTE(F128,";",REPT(" ",99)),100,99)),FIND(":",TRIM(MID(SUBSTITUTE(F128,";",REPT(" ",99)),100,99)))+1,99)),IF(TRIM(MID(SUBSTITUTE(F128,";",REPT(" ",99)),199,99))="","",IFERROR(VLOOKUP(--LEFT(TRIM(MID(SUBSTITUTE(F128,";",REPT(" ",99)),199,99)),FIND(":",TRIM(MID(SUBSTITUTE(F128,";",REPT(" ",99)),199,99)))-1),_Lookup!$A:$B,2,FALSE),"?")&amp;"×"&amp;MID(TRIM(MID(SUBSTITUTE(F128,";",REPT(" ",99)),199,99)),FIND(":",TRIM(MID(SUBSTITUTE(F128,";",REPT(" ",99)),199,99)))+1,99)),IF(TRIM(MID(SUBSTITUTE(F128,";",REPT(" ",99)),298,99))="","",IFERROR(VLOOKUP(--LEFT(TRIM(MID(SUBSTITUTE(F128,";",REPT(" ",99)),298,99)),FIND(":",TRIM(MID(SUBSTITUTE(F128,";",REPT(" ",99)),298,99)))-1),_Lookup!$A:$B,2,FALSE),"?")&amp;"×"&amp;MID(TRIM(MID(SUBSTITUTE(F128,";",REPT(" ",99)),298,99)),FIND(":",TRIM(MID(SUBSTITUTE(F128,";",REPT(" ",99)),298,99)))+1,99)),IF(TRIM(MID(SUBSTITUTE(F128,";",REPT(" ",99)),397,99))="","",IFERROR(VLOOKUP(--LEFT(TRIM(MID(SUBSTITUTE(F128,";",REPT(" ",99)),397,99)),FIND(":",TRIM(MID(SUBSTITUTE(F128,";",REPT(" ",99)),397,99)))-1),_Lookup!$A:$B,2,FALSE),"?")&amp;"×"&amp;MID(TRIM(MID(SUBSTITUTE(F128,";",REPT(" ",99)),397,99)),FIND(":",TRIM(MID(SUBSTITUTE(F128,";",REPT(" ",99)),397,99)))+1,99))))</f>
        <v/>
      </c>
    </row>
    <row r="129">
      <c r="C129" s="11">
        <f>IFERROR(VLOOKUP(B129,StageData!$A:$B,2,FALSE),"")</f>
        <v/>
      </c>
      <c r="G129" s="11">
        <f>IF(F129="","",TEXTJOIN("; ",TRUE,IF(TRIM(MID(SUBSTITUTE(F129,";",REPT(" ",99)),1,99))="","",IFERROR(VLOOKUP(--LEFT(TRIM(MID(SUBSTITUTE(F129,";",REPT(" ",99)),1,99)),FIND(":",TRIM(MID(SUBSTITUTE(F129,";",REPT(" ",99)),1,99)))-1),_Lookup!$A:$B,2,FALSE),"?")&amp;"×"&amp;MID(TRIM(MID(SUBSTITUTE(F129,";",REPT(" ",99)),1,99)),FIND(":",TRIM(MID(SUBSTITUTE(F129,";",REPT(" ",99)),1,99)))+1,99)),IF(TRIM(MID(SUBSTITUTE(F129,";",REPT(" ",99)),100,99))="","",IFERROR(VLOOKUP(--LEFT(TRIM(MID(SUBSTITUTE(F129,";",REPT(" ",99)),100,99)),FIND(":",TRIM(MID(SUBSTITUTE(F129,";",REPT(" ",99)),100,99)))-1),_Lookup!$A:$B,2,FALSE),"?")&amp;"×"&amp;MID(TRIM(MID(SUBSTITUTE(F129,";",REPT(" ",99)),100,99)),FIND(":",TRIM(MID(SUBSTITUTE(F129,";",REPT(" ",99)),100,99)))+1,99)),IF(TRIM(MID(SUBSTITUTE(F129,";",REPT(" ",99)),199,99))="","",IFERROR(VLOOKUP(--LEFT(TRIM(MID(SUBSTITUTE(F129,";",REPT(" ",99)),199,99)),FIND(":",TRIM(MID(SUBSTITUTE(F129,";",REPT(" ",99)),199,99)))-1),_Lookup!$A:$B,2,FALSE),"?")&amp;"×"&amp;MID(TRIM(MID(SUBSTITUTE(F129,";",REPT(" ",99)),199,99)),FIND(":",TRIM(MID(SUBSTITUTE(F129,";",REPT(" ",99)),199,99)))+1,99)),IF(TRIM(MID(SUBSTITUTE(F129,";",REPT(" ",99)),298,99))="","",IFERROR(VLOOKUP(--LEFT(TRIM(MID(SUBSTITUTE(F129,";",REPT(" ",99)),298,99)),FIND(":",TRIM(MID(SUBSTITUTE(F129,";",REPT(" ",99)),298,99)))-1),_Lookup!$A:$B,2,FALSE),"?")&amp;"×"&amp;MID(TRIM(MID(SUBSTITUTE(F129,";",REPT(" ",99)),298,99)),FIND(":",TRIM(MID(SUBSTITUTE(F129,";",REPT(" ",99)),298,99)))+1,99)),IF(TRIM(MID(SUBSTITUTE(F129,";",REPT(" ",99)),397,99))="","",IFERROR(VLOOKUP(--LEFT(TRIM(MID(SUBSTITUTE(F129,";",REPT(" ",99)),397,99)),FIND(":",TRIM(MID(SUBSTITUTE(F129,";",REPT(" ",99)),397,99)))-1),_Lookup!$A:$B,2,FALSE),"?")&amp;"×"&amp;MID(TRIM(MID(SUBSTITUTE(F129,";",REPT(" ",99)),397,99)),FIND(":",TRIM(MID(SUBSTITUTE(F129,";",REPT(" ",99)),397,99)))+1,99))))</f>
        <v/>
      </c>
    </row>
    <row r="130">
      <c r="C130" s="11">
        <f>IFERROR(VLOOKUP(B130,StageData!$A:$B,2,FALSE),"")</f>
        <v/>
      </c>
      <c r="G130" s="11">
        <f>IF(F130="","",TEXTJOIN("; ",TRUE,IF(TRIM(MID(SUBSTITUTE(F130,";",REPT(" ",99)),1,99))="","",IFERROR(VLOOKUP(--LEFT(TRIM(MID(SUBSTITUTE(F130,";",REPT(" ",99)),1,99)),FIND(":",TRIM(MID(SUBSTITUTE(F130,";",REPT(" ",99)),1,99)))-1),_Lookup!$A:$B,2,FALSE),"?")&amp;"×"&amp;MID(TRIM(MID(SUBSTITUTE(F130,";",REPT(" ",99)),1,99)),FIND(":",TRIM(MID(SUBSTITUTE(F130,";",REPT(" ",99)),1,99)))+1,99)),IF(TRIM(MID(SUBSTITUTE(F130,";",REPT(" ",99)),100,99))="","",IFERROR(VLOOKUP(--LEFT(TRIM(MID(SUBSTITUTE(F130,";",REPT(" ",99)),100,99)),FIND(":",TRIM(MID(SUBSTITUTE(F130,";",REPT(" ",99)),100,99)))-1),_Lookup!$A:$B,2,FALSE),"?")&amp;"×"&amp;MID(TRIM(MID(SUBSTITUTE(F130,";",REPT(" ",99)),100,99)),FIND(":",TRIM(MID(SUBSTITUTE(F130,";",REPT(" ",99)),100,99)))+1,99)),IF(TRIM(MID(SUBSTITUTE(F130,";",REPT(" ",99)),199,99))="","",IFERROR(VLOOKUP(--LEFT(TRIM(MID(SUBSTITUTE(F130,";",REPT(" ",99)),199,99)),FIND(":",TRIM(MID(SUBSTITUTE(F130,";",REPT(" ",99)),199,99)))-1),_Lookup!$A:$B,2,FALSE),"?")&amp;"×"&amp;MID(TRIM(MID(SUBSTITUTE(F130,";",REPT(" ",99)),199,99)),FIND(":",TRIM(MID(SUBSTITUTE(F130,";",REPT(" ",99)),199,99)))+1,99)),IF(TRIM(MID(SUBSTITUTE(F130,";",REPT(" ",99)),298,99))="","",IFERROR(VLOOKUP(--LEFT(TRIM(MID(SUBSTITUTE(F130,";",REPT(" ",99)),298,99)),FIND(":",TRIM(MID(SUBSTITUTE(F130,";",REPT(" ",99)),298,99)))-1),_Lookup!$A:$B,2,FALSE),"?")&amp;"×"&amp;MID(TRIM(MID(SUBSTITUTE(F130,";",REPT(" ",99)),298,99)),FIND(":",TRIM(MID(SUBSTITUTE(F130,";",REPT(" ",99)),298,99)))+1,99)),IF(TRIM(MID(SUBSTITUTE(F130,";",REPT(" ",99)),397,99))="","",IFERROR(VLOOKUP(--LEFT(TRIM(MID(SUBSTITUTE(F130,";",REPT(" ",99)),397,99)),FIND(":",TRIM(MID(SUBSTITUTE(F130,";",REPT(" ",99)),397,99)))-1),_Lookup!$A:$B,2,FALSE),"?")&amp;"×"&amp;MID(TRIM(MID(SUBSTITUTE(F130,";",REPT(" ",99)),397,99)),FIND(":",TRIM(MID(SUBSTITUTE(F130,";",REPT(" ",99)),397,99)))+1,99))))</f>
        <v/>
      </c>
    </row>
    <row r="131">
      <c r="C131" s="11">
        <f>IFERROR(VLOOKUP(B131,StageData!$A:$B,2,FALSE),"")</f>
        <v/>
      </c>
      <c r="G131" s="11">
        <f>IF(F131="","",TEXTJOIN("; ",TRUE,IF(TRIM(MID(SUBSTITUTE(F131,";",REPT(" ",99)),1,99))="","",IFERROR(VLOOKUP(--LEFT(TRIM(MID(SUBSTITUTE(F131,";",REPT(" ",99)),1,99)),FIND(":",TRIM(MID(SUBSTITUTE(F131,";",REPT(" ",99)),1,99)))-1),_Lookup!$A:$B,2,FALSE),"?")&amp;"×"&amp;MID(TRIM(MID(SUBSTITUTE(F131,";",REPT(" ",99)),1,99)),FIND(":",TRIM(MID(SUBSTITUTE(F131,";",REPT(" ",99)),1,99)))+1,99)),IF(TRIM(MID(SUBSTITUTE(F131,";",REPT(" ",99)),100,99))="","",IFERROR(VLOOKUP(--LEFT(TRIM(MID(SUBSTITUTE(F131,";",REPT(" ",99)),100,99)),FIND(":",TRIM(MID(SUBSTITUTE(F131,";",REPT(" ",99)),100,99)))-1),_Lookup!$A:$B,2,FALSE),"?")&amp;"×"&amp;MID(TRIM(MID(SUBSTITUTE(F131,";",REPT(" ",99)),100,99)),FIND(":",TRIM(MID(SUBSTITUTE(F131,";",REPT(" ",99)),100,99)))+1,99)),IF(TRIM(MID(SUBSTITUTE(F131,";",REPT(" ",99)),199,99))="","",IFERROR(VLOOKUP(--LEFT(TRIM(MID(SUBSTITUTE(F131,";",REPT(" ",99)),199,99)),FIND(":",TRIM(MID(SUBSTITUTE(F131,";",REPT(" ",99)),199,99)))-1),_Lookup!$A:$B,2,FALSE),"?")&amp;"×"&amp;MID(TRIM(MID(SUBSTITUTE(F131,";",REPT(" ",99)),199,99)),FIND(":",TRIM(MID(SUBSTITUTE(F131,";",REPT(" ",99)),199,99)))+1,99)),IF(TRIM(MID(SUBSTITUTE(F131,";",REPT(" ",99)),298,99))="","",IFERROR(VLOOKUP(--LEFT(TRIM(MID(SUBSTITUTE(F131,";",REPT(" ",99)),298,99)),FIND(":",TRIM(MID(SUBSTITUTE(F131,";",REPT(" ",99)),298,99)))-1),_Lookup!$A:$B,2,FALSE),"?")&amp;"×"&amp;MID(TRIM(MID(SUBSTITUTE(F131,";",REPT(" ",99)),298,99)),FIND(":",TRIM(MID(SUBSTITUTE(F131,";",REPT(" ",99)),298,99)))+1,99)),IF(TRIM(MID(SUBSTITUTE(F131,";",REPT(" ",99)),397,99))="","",IFERROR(VLOOKUP(--LEFT(TRIM(MID(SUBSTITUTE(F131,";",REPT(" ",99)),397,99)),FIND(":",TRIM(MID(SUBSTITUTE(F131,";",REPT(" ",99)),397,99)))-1),_Lookup!$A:$B,2,FALSE),"?")&amp;"×"&amp;MID(TRIM(MID(SUBSTITUTE(F131,";",REPT(" ",99)),397,99)),FIND(":",TRIM(MID(SUBSTITUTE(F131,";",REPT(" ",99)),397,99)))+1,99))))</f>
        <v/>
      </c>
    </row>
    <row r="132">
      <c r="C132" s="11">
        <f>IFERROR(VLOOKUP(B132,StageData!$A:$B,2,FALSE),"")</f>
        <v/>
      </c>
      <c r="G132" s="11">
        <f>IF(F132="","",TEXTJOIN("; ",TRUE,IF(TRIM(MID(SUBSTITUTE(F132,";",REPT(" ",99)),1,99))="","",IFERROR(VLOOKUP(--LEFT(TRIM(MID(SUBSTITUTE(F132,";",REPT(" ",99)),1,99)),FIND(":",TRIM(MID(SUBSTITUTE(F132,";",REPT(" ",99)),1,99)))-1),_Lookup!$A:$B,2,FALSE),"?")&amp;"×"&amp;MID(TRIM(MID(SUBSTITUTE(F132,";",REPT(" ",99)),1,99)),FIND(":",TRIM(MID(SUBSTITUTE(F132,";",REPT(" ",99)),1,99)))+1,99)),IF(TRIM(MID(SUBSTITUTE(F132,";",REPT(" ",99)),100,99))="","",IFERROR(VLOOKUP(--LEFT(TRIM(MID(SUBSTITUTE(F132,";",REPT(" ",99)),100,99)),FIND(":",TRIM(MID(SUBSTITUTE(F132,";",REPT(" ",99)),100,99)))-1),_Lookup!$A:$B,2,FALSE),"?")&amp;"×"&amp;MID(TRIM(MID(SUBSTITUTE(F132,";",REPT(" ",99)),100,99)),FIND(":",TRIM(MID(SUBSTITUTE(F132,";",REPT(" ",99)),100,99)))+1,99)),IF(TRIM(MID(SUBSTITUTE(F132,";",REPT(" ",99)),199,99))="","",IFERROR(VLOOKUP(--LEFT(TRIM(MID(SUBSTITUTE(F132,";",REPT(" ",99)),199,99)),FIND(":",TRIM(MID(SUBSTITUTE(F132,";",REPT(" ",99)),199,99)))-1),_Lookup!$A:$B,2,FALSE),"?")&amp;"×"&amp;MID(TRIM(MID(SUBSTITUTE(F132,";",REPT(" ",99)),199,99)),FIND(":",TRIM(MID(SUBSTITUTE(F132,";",REPT(" ",99)),199,99)))+1,99)),IF(TRIM(MID(SUBSTITUTE(F132,";",REPT(" ",99)),298,99))="","",IFERROR(VLOOKUP(--LEFT(TRIM(MID(SUBSTITUTE(F132,";",REPT(" ",99)),298,99)),FIND(":",TRIM(MID(SUBSTITUTE(F132,";",REPT(" ",99)),298,99)))-1),_Lookup!$A:$B,2,FALSE),"?")&amp;"×"&amp;MID(TRIM(MID(SUBSTITUTE(F132,";",REPT(" ",99)),298,99)),FIND(":",TRIM(MID(SUBSTITUTE(F132,";",REPT(" ",99)),298,99)))+1,99)),IF(TRIM(MID(SUBSTITUTE(F132,";",REPT(" ",99)),397,99))="","",IFERROR(VLOOKUP(--LEFT(TRIM(MID(SUBSTITUTE(F132,";",REPT(" ",99)),397,99)),FIND(":",TRIM(MID(SUBSTITUTE(F132,";",REPT(" ",99)),397,99)))-1),_Lookup!$A:$B,2,FALSE),"?")&amp;"×"&amp;MID(TRIM(MID(SUBSTITUTE(F132,";",REPT(" ",99)),397,99)),FIND(":",TRIM(MID(SUBSTITUTE(F132,";",REPT(" ",99)),397,99)))+1,99))))</f>
        <v/>
      </c>
    </row>
    <row r="133">
      <c r="C133" s="11">
        <f>IFERROR(VLOOKUP(B133,StageData!$A:$B,2,FALSE),"")</f>
        <v/>
      </c>
      <c r="G133" s="11">
        <f>IF(F133="","",TEXTJOIN("; ",TRUE,IF(TRIM(MID(SUBSTITUTE(F133,";",REPT(" ",99)),1,99))="","",IFERROR(VLOOKUP(--LEFT(TRIM(MID(SUBSTITUTE(F133,";",REPT(" ",99)),1,99)),FIND(":",TRIM(MID(SUBSTITUTE(F133,";",REPT(" ",99)),1,99)))-1),_Lookup!$A:$B,2,FALSE),"?")&amp;"×"&amp;MID(TRIM(MID(SUBSTITUTE(F133,";",REPT(" ",99)),1,99)),FIND(":",TRIM(MID(SUBSTITUTE(F133,";",REPT(" ",99)),1,99)))+1,99)),IF(TRIM(MID(SUBSTITUTE(F133,";",REPT(" ",99)),100,99))="","",IFERROR(VLOOKUP(--LEFT(TRIM(MID(SUBSTITUTE(F133,";",REPT(" ",99)),100,99)),FIND(":",TRIM(MID(SUBSTITUTE(F133,";",REPT(" ",99)),100,99)))-1),_Lookup!$A:$B,2,FALSE),"?")&amp;"×"&amp;MID(TRIM(MID(SUBSTITUTE(F133,";",REPT(" ",99)),100,99)),FIND(":",TRIM(MID(SUBSTITUTE(F133,";",REPT(" ",99)),100,99)))+1,99)),IF(TRIM(MID(SUBSTITUTE(F133,";",REPT(" ",99)),199,99))="","",IFERROR(VLOOKUP(--LEFT(TRIM(MID(SUBSTITUTE(F133,";",REPT(" ",99)),199,99)),FIND(":",TRIM(MID(SUBSTITUTE(F133,";",REPT(" ",99)),199,99)))-1),_Lookup!$A:$B,2,FALSE),"?")&amp;"×"&amp;MID(TRIM(MID(SUBSTITUTE(F133,";",REPT(" ",99)),199,99)),FIND(":",TRIM(MID(SUBSTITUTE(F133,";",REPT(" ",99)),199,99)))+1,99)),IF(TRIM(MID(SUBSTITUTE(F133,";",REPT(" ",99)),298,99))="","",IFERROR(VLOOKUP(--LEFT(TRIM(MID(SUBSTITUTE(F133,";",REPT(" ",99)),298,99)),FIND(":",TRIM(MID(SUBSTITUTE(F133,";",REPT(" ",99)),298,99)))-1),_Lookup!$A:$B,2,FALSE),"?")&amp;"×"&amp;MID(TRIM(MID(SUBSTITUTE(F133,";",REPT(" ",99)),298,99)),FIND(":",TRIM(MID(SUBSTITUTE(F133,";",REPT(" ",99)),298,99)))+1,99)),IF(TRIM(MID(SUBSTITUTE(F133,";",REPT(" ",99)),397,99))="","",IFERROR(VLOOKUP(--LEFT(TRIM(MID(SUBSTITUTE(F133,";",REPT(" ",99)),397,99)),FIND(":",TRIM(MID(SUBSTITUTE(F133,";",REPT(" ",99)),397,99)))-1),_Lookup!$A:$B,2,FALSE),"?")&amp;"×"&amp;MID(TRIM(MID(SUBSTITUTE(F133,";",REPT(" ",99)),397,99)),FIND(":",TRIM(MID(SUBSTITUTE(F133,";",REPT(" ",99)),397,99)))+1,99))))</f>
        <v/>
      </c>
    </row>
    <row r="134">
      <c r="C134" s="11">
        <f>IFERROR(VLOOKUP(B134,StageData!$A:$B,2,FALSE),"")</f>
        <v/>
      </c>
      <c r="G134" s="11">
        <f>IF(F134="","",TEXTJOIN("; ",TRUE,IF(TRIM(MID(SUBSTITUTE(F134,";",REPT(" ",99)),1,99))="","",IFERROR(VLOOKUP(--LEFT(TRIM(MID(SUBSTITUTE(F134,";",REPT(" ",99)),1,99)),FIND(":",TRIM(MID(SUBSTITUTE(F134,";",REPT(" ",99)),1,99)))-1),_Lookup!$A:$B,2,FALSE),"?")&amp;"×"&amp;MID(TRIM(MID(SUBSTITUTE(F134,";",REPT(" ",99)),1,99)),FIND(":",TRIM(MID(SUBSTITUTE(F134,";",REPT(" ",99)),1,99)))+1,99)),IF(TRIM(MID(SUBSTITUTE(F134,";",REPT(" ",99)),100,99))="","",IFERROR(VLOOKUP(--LEFT(TRIM(MID(SUBSTITUTE(F134,";",REPT(" ",99)),100,99)),FIND(":",TRIM(MID(SUBSTITUTE(F134,";",REPT(" ",99)),100,99)))-1),_Lookup!$A:$B,2,FALSE),"?")&amp;"×"&amp;MID(TRIM(MID(SUBSTITUTE(F134,";",REPT(" ",99)),100,99)),FIND(":",TRIM(MID(SUBSTITUTE(F134,";",REPT(" ",99)),100,99)))+1,99)),IF(TRIM(MID(SUBSTITUTE(F134,";",REPT(" ",99)),199,99))="","",IFERROR(VLOOKUP(--LEFT(TRIM(MID(SUBSTITUTE(F134,";",REPT(" ",99)),199,99)),FIND(":",TRIM(MID(SUBSTITUTE(F134,";",REPT(" ",99)),199,99)))-1),_Lookup!$A:$B,2,FALSE),"?")&amp;"×"&amp;MID(TRIM(MID(SUBSTITUTE(F134,";",REPT(" ",99)),199,99)),FIND(":",TRIM(MID(SUBSTITUTE(F134,";",REPT(" ",99)),199,99)))+1,99)),IF(TRIM(MID(SUBSTITUTE(F134,";",REPT(" ",99)),298,99))="","",IFERROR(VLOOKUP(--LEFT(TRIM(MID(SUBSTITUTE(F134,";",REPT(" ",99)),298,99)),FIND(":",TRIM(MID(SUBSTITUTE(F134,";",REPT(" ",99)),298,99)))-1),_Lookup!$A:$B,2,FALSE),"?")&amp;"×"&amp;MID(TRIM(MID(SUBSTITUTE(F134,";",REPT(" ",99)),298,99)),FIND(":",TRIM(MID(SUBSTITUTE(F134,";",REPT(" ",99)),298,99)))+1,99)),IF(TRIM(MID(SUBSTITUTE(F134,";",REPT(" ",99)),397,99))="","",IFERROR(VLOOKUP(--LEFT(TRIM(MID(SUBSTITUTE(F134,";",REPT(" ",99)),397,99)),FIND(":",TRIM(MID(SUBSTITUTE(F134,";",REPT(" ",99)),397,99)))-1),_Lookup!$A:$B,2,FALSE),"?")&amp;"×"&amp;MID(TRIM(MID(SUBSTITUTE(F134,";",REPT(" ",99)),397,99)),FIND(":",TRIM(MID(SUBSTITUTE(F134,";",REPT(" ",99)),397,99)))+1,99))))</f>
        <v/>
      </c>
    </row>
    <row r="135">
      <c r="C135" s="11">
        <f>IFERROR(VLOOKUP(B135,StageData!$A:$B,2,FALSE),"")</f>
        <v/>
      </c>
      <c r="G135" s="11">
        <f>IF(F135="","",TEXTJOIN("; ",TRUE,IF(TRIM(MID(SUBSTITUTE(F135,";",REPT(" ",99)),1,99))="","",IFERROR(VLOOKUP(--LEFT(TRIM(MID(SUBSTITUTE(F135,";",REPT(" ",99)),1,99)),FIND(":",TRIM(MID(SUBSTITUTE(F135,";",REPT(" ",99)),1,99)))-1),_Lookup!$A:$B,2,FALSE),"?")&amp;"×"&amp;MID(TRIM(MID(SUBSTITUTE(F135,";",REPT(" ",99)),1,99)),FIND(":",TRIM(MID(SUBSTITUTE(F135,";",REPT(" ",99)),1,99)))+1,99)),IF(TRIM(MID(SUBSTITUTE(F135,";",REPT(" ",99)),100,99))="","",IFERROR(VLOOKUP(--LEFT(TRIM(MID(SUBSTITUTE(F135,";",REPT(" ",99)),100,99)),FIND(":",TRIM(MID(SUBSTITUTE(F135,";",REPT(" ",99)),100,99)))-1),_Lookup!$A:$B,2,FALSE),"?")&amp;"×"&amp;MID(TRIM(MID(SUBSTITUTE(F135,";",REPT(" ",99)),100,99)),FIND(":",TRIM(MID(SUBSTITUTE(F135,";",REPT(" ",99)),100,99)))+1,99)),IF(TRIM(MID(SUBSTITUTE(F135,";",REPT(" ",99)),199,99))="","",IFERROR(VLOOKUP(--LEFT(TRIM(MID(SUBSTITUTE(F135,";",REPT(" ",99)),199,99)),FIND(":",TRIM(MID(SUBSTITUTE(F135,";",REPT(" ",99)),199,99)))-1),_Lookup!$A:$B,2,FALSE),"?")&amp;"×"&amp;MID(TRIM(MID(SUBSTITUTE(F135,";",REPT(" ",99)),199,99)),FIND(":",TRIM(MID(SUBSTITUTE(F135,";",REPT(" ",99)),199,99)))+1,99)),IF(TRIM(MID(SUBSTITUTE(F135,";",REPT(" ",99)),298,99))="","",IFERROR(VLOOKUP(--LEFT(TRIM(MID(SUBSTITUTE(F135,";",REPT(" ",99)),298,99)),FIND(":",TRIM(MID(SUBSTITUTE(F135,";",REPT(" ",99)),298,99)))-1),_Lookup!$A:$B,2,FALSE),"?")&amp;"×"&amp;MID(TRIM(MID(SUBSTITUTE(F135,";",REPT(" ",99)),298,99)),FIND(":",TRIM(MID(SUBSTITUTE(F135,";",REPT(" ",99)),298,99)))+1,99)),IF(TRIM(MID(SUBSTITUTE(F135,";",REPT(" ",99)),397,99))="","",IFERROR(VLOOKUP(--LEFT(TRIM(MID(SUBSTITUTE(F135,";",REPT(" ",99)),397,99)),FIND(":",TRIM(MID(SUBSTITUTE(F135,";",REPT(" ",99)),397,99)))-1),_Lookup!$A:$B,2,FALSE),"?")&amp;"×"&amp;MID(TRIM(MID(SUBSTITUTE(F135,";",REPT(" ",99)),397,99)),FIND(":",TRIM(MID(SUBSTITUTE(F135,";",REPT(" ",99)),397,99)))+1,99))))</f>
        <v/>
      </c>
    </row>
    <row r="136">
      <c r="C136" s="11">
        <f>IFERROR(VLOOKUP(B136,StageData!$A:$B,2,FALSE),"")</f>
        <v/>
      </c>
      <c r="G136" s="11">
        <f>IF(F136="","",TEXTJOIN("; ",TRUE,IF(TRIM(MID(SUBSTITUTE(F136,";",REPT(" ",99)),1,99))="","",IFERROR(VLOOKUP(--LEFT(TRIM(MID(SUBSTITUTE(F136,";",REPT(" ",99)),1,99)),FIND(":",TRIM(MID(SUBSTITUTE(F136,";",REPT(" ",99)),1,99)))-1),_Lookup!$A:$B,2,FALSE),"?")&amp;"×"&amp;MID(TRIM(MID(SUBSTITUTE(F136,";",REPT(" ",99)),1,99)),FIND(":",TRIM(MID(SUBSTITUTE(F136,";",REPT(" ",99)),1,99)))+1,99)),IF(TRIM(MID(SUBSTITUTE(F136,";",REPT(" ",99)),100,99))="","",IFERROR(VLOOKUP(--LEFT(TRIM(MID(SUBSTITUTE(F136,";",REPT(" ",99)),100,99)),FIND(":",TRIM(MID(SUBSTITUTE(F136,";",REPT(" ",99)),100,99)))-1),_Lookup!$A:$B,2,FALSE),"?")&amp;"×"&amp;MID(TRIM(MID(SUBSTITUTE(F136,";",REPT(" ",99)),100,99)),FIND(":",TRIM(MID(SUBSTITUTE(F136,";",REPT(" ",99)),100,99)))+1,99)),IF(TRIM(MID(SUBSTITUTE(F136,";",REPT(" ",99)),199,99))="","",IFERROR(VLOOKUP(--LEFT(TRIM(MID(SUBSTITUTE(F136,";",REPT(" ",99)),199,99)),FIND(":",TRIM(MID(SUBSTITUTE(F136,";",REPT(" ",99)),199,99)))-1),_Lookup!$A:$B,2,FALSE),"?")&amp;"×"&amp;MID(TRIM(MID(SUBSTITUTE(F136,";",REPT(" ",99)),199,99)),FIND(":",TRIM(MID(SUBSTITUTE(F136,";",REPT(" ",99)),199,99)))+1,99)),IF(TRIM(MID(SUBSTITUTE(F136,";",REPT(" ",99)),298,99))="","",IFERROR(VLOOKUP(--LEFT(TRIM(MID(SUBSTITUTE(F136,";",REPT(" ",99)),298,99)),FIND(":",TRIM(MID(SUBSTITUTE(F136,";",REPT(" ",99)),298,99)))-1),_Lookup!$A:$B,2,FALSE),"?")&amp;"×"&amp;MID(TRIM(MID(SUBSTITUTE(F136,";",REPT(" ",99)),298,99)),FIND(":",TRIM(MID(SUBSTITUTE(F136,";",REPT(" ",99)),298,99)))+1,99)),IF(TRIM(MID(SUBSTITUTE(F136,";",REPT(" ",99)),397,99))="","",IFERROR(VLOOKUP(--LEFT(TRIM(MID(SUBSTITUTE(F136,";",REPT(" ",99)),397,99)),FIND(":",TRIM(MID(SUBSTITUTE(F136,";",REPT(" ",99)),397,99)))-1),_Lookup!$A:$B,2,FALSE),"?")&amp;"×"&amp;MID(TRIM(MID(SUBSTITUTE(F136,";",REPT(" ",99)),397,99)),FIND(":",TRIM(MID(SUBSTITUTE(F136,";",REPT(" ",99)),397,99)))+1,99))))</f>
        <v/>
      </c>
    </row>
    <row r="137">
      <c r="C137" s="11">
        <f>IFERROR(VLOOKUP(B137,StageData!$A:$B,2,FALSE),"")</f>
        <v/>
      </c>
      <c r="G137" s="11">
        <f>IF(F137="","",TEXTJOIN("; ",TRUE,IF(TRIM(MID(SUBSTITUTE(F137,";",REPT(" ",99)),1,99))="","",IFERROR(VLOOKUP(--LEFT(TRIM(MID(SUBSTITUTE(F137,";",REPT(" ",99)),1,99)),FIND(":",TRIM(MID(SUBSTITUTE(F137,";",REPT(" ",99)),1,99)))-1),_Lookup!$A:$B,2,FALSE),"?")&amp;"×"&amp;MID(TRIM(MID(SUBSTITUTE(F137,";",REPT(" ",99)),1,99)),FIND(":",TRIM(MID(SUBSTITUTE(F137,";",REPT(" ",99)),1,99)))+1,99)),IF(TRIM(MID(SUBSTITUTE(F137,";",REPT(" ",99)),100,99))="","",IFERROR(VLOOKUP(--LEFT(TRIM(MID(SUBSTITUTE(F137,";",REPT(" ",99)),100,99)),FIND(":",TRIM(MID(SUBSTITUTE(F137,";",REPT(" ",99)),100,99)))-1),_Lookup!$A:$B,2,FALSE),"?")&amp;"×"&amp;MID(TRIM(MID(SUBSTITUTE(F137,";",REPT(" ",99)),100,99)),FIND(":",TRIM(MID(SUBSTITUTE(F137,";",REPT(" ",99)),100,99)))+1,99)),IF(TRIM(MID(SUBSTITUTE(F137,";",REPT(" ",99)),199,99))="","",IFERROR(VLOOKUP(--LEFT(TRIM(MID(SUBSTITUTE(F137,";",REPT(" ",99)),199,99)),FIND(":",TRIM(MID(SUBSTITUTE(F137,";",REPT(" ",99)),199,99)))-1),_Lookup!$A:$B,2,FALSE),"?")&amp;"×"&amp;MID(TRIM(MID(SUBSTITUTE(F137,";",REPT(" ",99)),199,99)),FIND(":",TRIM(MID(SUBSTITUTE(F137,";",REPT(" ",99)),199,99)))+1,99)),IF(TRIM(MID(SUBSTITUTE(F137,";",REPT(" ",99)),298,99))="","",IFERROR(VLOOKUP(--LEFT(TRIM(MID(SUBSTITUTE(F137,";",REPT(" ",99)),298,99)),FIND(":",TRIM(MID(SUBSTITUTE(F137,";",REPT(" ",99)),298,99)))-1),_Lookup!$A:$B,2,FALSE),"?")&amp;"×"&amp;MID(TRIM(MID(SUBSTITUTE(F137,";",REPT(" ",99)),298,99)),FIND(":",TRIM(MID(SUBSTITUTE(F137,";",REPT(" ",99)),298,99)))+1,99)),IF(TRIM(MID(SUBSTITUTE(F137,";",REPT(" ",99)),397,99))="","",IFERROR(VLOOKUP(--LEFT(TRIM(MID(SUBSTITUTE(F137,";",REPT(" ",99)),397,99)),FIND(":",TRIM(MID(SUBSTITUTE(F137,";",REPT(" ",99)),397,99)))-1),_Lookup!$A:$B,2,FALSE),"?")&amp;"×"&amp;MID(TRIM(MID(SUBSTITUTE(F137,";",REPT(" ",99)),397,99)),FIND(":",TRIM(MID(SUBSTITUTE(F137,";",REPT(" ",99)),397,99)))+1,99))))</f>
        <v/>
      </c>
    </row>
    <row r="138">
      <c r="C138" s="11">
        <f>IFERROR(VLOOKUP(B138,StageData!$A:$B,2,FALSE),"")</f>
        <v/>
      </c>
      <c r="G138" s="11">
        <f>IF(F138="","",TEXTJOIN("; ",TRUE,IF(TRIM(MID(SUBSTITUTE(F138,";",REPT(" ",99)),1,99))="","",IFERROR(VLOOKUP(--LEFT(TRIM(MID(SUBSTITUTE(F138,";",REPT(" ",99)),1,99)),FIND(":",TRIM(MID(SUBSTITUTE(F138,";",REPT(" ",99)),1,99)))-1),_Lookup!$A:$B,2,FALSE),"?")&amp;"×"&amp;MID(TRIM(MID(SUBSTITUTE(F138,";",REPT(" ",99)),1,99)),FIND(":",TRIM(MID(SUBSTITUTE(F138,";",REPT(" ",99)),1,99)))+1,99)),IF(TRIM(MID(SUBSTITUTE(F138,";",REPT(" ",99)),100,99))="","",IFERROR(VLOOKUP(--LEFT(TRIM(MID(SUBSTITUTE(F138,";",REPT(" ",99)),100,99)),FIND(":",TRIM(MID(SUBSTITUTE(F138,";",REPT(" ",99)),100,99)))-1),_Lookup!$A:$B,2,FALSE),"?")&amp;"×"&amp;MID(TRIM(MID(SUBSTITUTE(F138,";",REPT(" ",99)),100,99)),FIND(":",TRIM(MID(SUBSTITUTE(F138,";",REPT(" ",99)),100,99)))+1,99)),IF(TRIM(MID(SUBSTITUTE(F138,";",REPT(" ",99)),199,99))="","",IFERROR(VLOOKUP(--LEFT(TRIM(MID(SUBSTITUTE(F138,";",REPT(" ",99)),199,99)),FIND(":",TRIM(MID(SUBSTITUTE(F138,";",REPT(" ",99)),199,99)))-1),_Lookup!$A:$B,2,FALSE),"?")&amp;"×"&amp;MID(TRIM(MID(SUBSTITUTE(F138,";",REPT(" ",99)),199,99)),FIND(":",TRIM(MID(SUBSTITUTE(F138,";",REPT(" ",99)),199,99)))+1,99)),IF(TRIM(MID(SUBSTITUTE(F138,";",REPT(" ",99)),298,99))="","",IFERROR(VLOOKUP(--LEFT(TRIM(MID(SUBSTITUTE(F138,";",REPT(" ",99)),298,99)),FIND(":",TRIM(MID(SUBSTITUTE(F138,";",REPT(" ",99)),298,99)))-1),_Lookup!$A:$B,2,FALSE),"?")&amp;"×"&amp;MID(TRIM(MID(SUBSTITUTE(F138,";",REPT(" ",99)),298,99)),FIND(":",TRIM(MID(SUBSTITUTE(F138,";",REPT(" ",99)),298,99)))+1,99)),IF(TRIM(MID(SUBSTITUTE(F138,";",REPT(" ",99)),397,99))="","",IFERROR(VLOOKUP(--LEFT(TRIM(MID(SUBSTITUTE(F138,";",REPT(" ",99)),397,99)),FIND(":",TRIM(MID(SUBSTITUTE(F138,";",REPT(" ",99)),397,99)))-1),_Lookup!$A:$B,2,FALSE),"?")&amp;"×"&amp;MID(TRIM(MID(SUBSTITUTE(F138,";",REPT(" ",99)),397,99)),FIND(":",TRIM(MID(SUBSTITUTE(F138,";",REPT(" ",99)),397,99)))+1,99))))</f>
        <v/>
      </c>
    </row>
    <row r="139">
      <c r="C139" s="11">
        <f>IFERROR(VLOOKUP(B139,StageData!$A:$B,2,FALSE),"")</f>
        <v/>
      </c>
      <c r="G139" s="11">
        <f>IF(F139="","",TEXTJOIN("; ",TRUE,IF(TRIM(MID(SUBSTITUTE(F139,";",REPT(" ",99)),1,99))="","",IFERROR(VLOOKUP(--LEFT(TRIM(MID(SUBSTITUTE(F139,";",REPT(" ",99)),1,99)),FIND(":",TRIM(MID(SUBSTITUTE(F139,";",REPT(" ",99)),1,99)))-1),_Lookup!$A:$B,2,FALSE),"?")&amp;"×"&amp;MID(TRIM(MID(SUBSTITUTE(F139,";",REPT(" ",99)),1,99)),FIND(":",TRIM(MID(SUBSTITUTE(F139,";",REPT(" ",99)),1,99)))+1,99)),IF(TRIM(MID(SUBSTITUTE(F139,";",REPT(" ",99)),100,99))="","",IFERROR(VLOOKUP(--LEFT(TRIM(MID(SUBSTITUTE(F139,";",REPT(" ",99)),100,99)),FIND(":",TRIM(MID(SUBSTITUTE(F139,";",REPT(" ",99)),100,99)))-1),_Lookup!$A:$B,2,FALSE),"?")&amp;"×"&amp;MID(TRIM(MID(SUBSTITUTE(F139,";",REPT(" ",99)),100,99)),FIND(":",TRIM(MID(SUBSTITUTE(F139,";",REPT(" ",99)),100,99)))+1,99)),IF(TRIM(MID(SUBSTITUTE(F139,";",REPT(" ",99)),199,99))="","",IFERROR(VLOOKUP(--LEFT(TRIM(MID(SUBSTITUTE(F139,";",REPT(" ",99)),199,99)),FIND(":",TRIM(MID(SUBSTITUTE(F139,";",REPT(" ",99)),199,99)))-1),_Lookup!$A:$B,2,FALSE),"?")&amp;"×"&amp;MID(TRIM(MID(SUBSTITUTE(F139,";",REPT(" ",99)),199,99)),FIND(":",TRIM(MID(SUBSTITUTE(F139,";",REPT(" ",99)),199,99)))+1,99)),IF(TRIM(MID(SUBSTITUTE(F139,";",REPT(" ",99)),298,99))="","",IFERROR(VLOOKUP(--LEFT(TRIM(MID(SUBSTITUTE(F139,";",REPT(" ",99)),298,99)),FIND(":",TRIM(MID(SUBSTITUTE(F139,";",REPT(" ",99)),298,99)))-1),_Lookup!$A:$B,2,FALSE),"?")&amp;"×"&amp;MID(TRIM(MID(SUBSTITUTE(F139,";",REPT(" ",99)),298,99)),FIND(":",TRIM(MID(SUBSTITUTE(F139,";",REPT(" ",99)),298,99)))+1,99)),IF(TRIM(MID(SUBSTITUTE(F139,";",REPT(" ",99)),397,99))="","",IFERROR(VLOOKUP(--LEFT(TRIM(MID(SUBSTITUTE(F139,";",REPT(" ",99)),397,99)),FIND(":",TRIM(MID(SUBSTITUTE(F139,";",REPT(" ",99)),397,99)))-1),_Lookup!$A:$B,2,FALSE),"?")&amp;"×"&amp;MID(TRIM(MID(SUBSTITUTE(F139,";",REPT(" ",99)),397,99)),FIND(":",TRIM(MID(SUBSTITUTE(F139,";",REPT(" ",99)),397,99)))+1,99))))</f>
        <v/>
      </c>
    </row>
    <row r="140">
      <c r="C140" s="11">
        <f>IFERROR(VLOOKUP(B140,StageData!$A:$B,2,FALSE),"")</f>
        <v/>
      </c>
      <c r="G140" s="11">
        <f>IF(F140="","",TEXTJOIN("; ",TRUE,IF(TRIM(MID(SUBSTITUTE(F140,";",REPT(" ",99)),1,99))="","",IFERROR(VLOOKUP(--LEFT(TRIM(MID(SUBSTITUTE(F140,";",REPT(" ",99)),1,99)),FIND(":",TRIM(MID(SUBSTITUTE(F140,";",REPT(" ",99)),1,99)))-1),_Lookup!$A:$B,2,FALSE),"?")&amp;"×"&amp;MID(TRIM(MID(SUBSTITUTE(F140,";",REPT(" ",99)),1,99)),FIND(":",TRIM(MID(SUBSTITUTE(F140,";",REPT(" ",99)),1,99)))+1,99)),IF(TRIM(MID(SUBSTITUTE(F140,";",REPT(" ",99)),100,99))="","",IFERROR(VLOOKUP(--LEFT(TRIM(MID(SUBSTITUTE(F140,";",REPT(" ",99)),100,99)),FIND(":",TRIM(MID(SUBSTITUTE(F140,";",REPT(" ",99)),100,99)))-1),_Lookup!$A:$B,2,FALSE),"?")&amp;"×"&amp;MID(TRIM(MID(SUBSTITUTE(F140,";",REPT(" ",99)),100,99)),FIND(":",TRIM(MID(SUBSTITUTE(F140,";",REPT(" ",99)),100,99)))+1,99)),IF(TRIM(MID(SUBSTITUTE(F140,";",REPT(" ",99)),199,99))="","",IFERROR(VLOOKUP(--LEFT(TRIM(MID(SUBSTITUTE(F140,";",REPT(" ",99)),199,99)),FIND(":",TRIM(MID(SUBSTITUTE(F140,";",REPT(" ",99)),199,99)))-1),_Lookup!$A:$B,2,FALSE),"?")&amp;"×"&amp;MID(TRIM(MID(SUBSTITUTE(F140,";",REPT(" ",99)),199,99)),FIND(":",TRIM(MID(SUBSTITUTE(F140,";",REPT(" ",99)),199,99)))+1,99)),IF(TRIM(MID(SUBSTITUTE(F140,";",REPT(" ",99)),298,99))="","",IFERROR(VLOOKUP(--LEFT(TRIM(MID(SUBSTITUTE(F140,";",REPT(" ",99)),298,99)),FIND(":",TRIM(MID(SUBSTITUTE(F140,";",REPT(" ",99)),298,99)))-1),_Lookup!$A:$B,2,FALSE),"?")&amp;"×"&amp;MID(TRIM(MID(SUBSTITUTE(F140,";",REPT(" ",99)),298,99)),FIND(":",TRIM(MID(SUBSTITUTE(F140,";",REPT(" ",99)),298,99)))+1,99)),IF(TRIM(MID(SUBSTITUTE(F140,";",REPT(" ",99)),397,99))="","",IFERROR(VLOOKUP(--LEFT(TRIM(MID(SUBSTITUTE(F140,";",REPT(" ",99)),397,99)),FIND(":",TRIM(MID(SUBSTITUTE(F140,";",REPT(" ",99)),397,99)))-1),_Lookup!$A:$B,2,FALSE),"?")&amp;"×"&amp;MID(TRIM(MID(SUBSTITUTE(F140,";",REPT(" ",99)),397,99)),FIND(":",TRIM(MID(SUBSTITUTE(F140,";",REPT(" ",99)),397,99)))+1,99))))</f>
        <v/>
      </c>
    </row>
    <row r="141">
      <c r="C141" s="11">
        <f>IFERROR(VLOOKUP(B141,StageData!$A:$B,2,FALSE),"")</f>
        <v/>
      </c>
      <c r="G141" s="11">
        <f>IF(F141="","",TEXTJOIN("; ",TRUE,IF(TRIM(MID(SUBSTITUTE(F141,";",REPT(" ",99)),1,99))="","",IFERROR(VLOOKUP(--LEFT(TRIM(MID(SUBSTITUTE(F141,";",REPT(" ",99)),1,99)),FIND(":",TRIM(MID(SUBSTITUTE(F141,";",REPT(" ",99)),1,99)))-1),_Lookup!$A:$B,2,FALSE),"?")&amp;"×"&amp;MID(TRIM(MID(SUBSTITUTE(F141,";",REPT(" ",99)),1,99)),FIND(":",TRIM(MID(SUBSTITUTE(F141,";",REPT(" ",99)),1,99)))+1,99)),IF(TRIM(MID(SUBSTITUTE(F141,";",REPT(" ",99)),100,99))="","",IFERROR(VLOOKUP(--LEFT(TRIM(MID(SUBSTITUTE(F141,";",REPT(" ",99)),100,99)),FIND(":",TRIM(MID(SUBSTITUTE(F141,";",REPT(" ",99)),100,99)))-1),_Lookup!$A:$B,2,FALSE),"?")&amp;"×"&amp;MID(TRIM(MID(SUBSTITUTE(F141,";",REPT(" ",99)),100,99)),FIND(":",TRIM(MID(SUBSTITUTE(F141,";",REPT(" ",99)),100,99)))+1,99)),IF(TRIM(MID(SUBSTITUTE(F141,";",REPT(" ",99)),199,99))="","",IFERROR(VLOOKUP(--LEFT(TRIM(MID(SUBSTITUTE(F141,";",REPT(" ",99)),199,99)),FIND(":",TRIM(MID(SUBSTITUTE(F141,";",REPT(" ",99)),199,99)))-1),_Lookup!$A:$B,2,FALSE),"?")&amp;"×"&amp;MID(TRIM(MID(SUBSTITUTE(F141,";",REPT(" ",99)),199,99)),FIND(":",TRIM(MID(SUBSTITUTE(F141,";",REPT(" ",99)),199,99)))+1,99)),IF(TRIM(MID(SUBSTITUTE(F141,";",REPT(" ",99)),298,99))="","",IFERROR(VLOOKUP(--LEFT(TRIM(MID(SUBSTITUTE(F141,";",REPT(" ",99)),298,99)),FIND(":",TRIM(MID(SUBSTITUTE(F141,";",REPT(" ",99)),298,99)))-1),_Lookup!$A:$B,2,FALSE),"?")&amp;"×"&amp;MID(TRIM(MID(SUBSTITUTE(F141,";",REPT(" ",99)),298,99)),FIND(":",TRIM(MID(SUBSTITUTE(F141,";",REPT(" ",99)),298,99)))+1,99)),IF(TRIM(MID(SUBSTITUTE(F141,";",REPT(" ",99)),397,99))="","",IFERROR(VLOOKUP(--LEFT(TRIM(MID(SUBSTITUTE(F141,";",REPT(" ",99)),397,99)),FIND(":",TRIM(MID(SUBSTITUTE(F141,";",REPT(" ",99)),397,99)))-1),_Lookup!$A:$B,2,FALSE),"?")&amp;"×"&amp;MID(TRIM(MID(SUBSTITUTE(F141,";",REPT(" ",99)),397,99)),FIND(":",TRIM(MID(SUBSTITUTE(F141,";",REPT(" ",99)),397,99)))+1,99))))</f>
        <v/>
      </c>
    </row>
    <row r="142">
      <c r="C142" s="11">
        <f>IFERROR(VLOOKUP(B142,StageData!$A:$B,2,FALSE),"")</f>
        <v/>
      </c>
      <c r="G142" s="11">
        <f>IF(F142="","",TEXTJOIN("; ",TRUE,IF(TRIM(MID(SUBSTITUTE(F142,";",REPT(" ",99)),1,99))="","",IFERROR(VLOOKUP(--LEFT(TRIM(MID(SUBSTITUTE(F142,";",REPT(" ",99)),1,99)),FIND(":",TRIM(MID(SUBSTITUTE(F142,";",REPT(" ",99)),1,99)))-1),_Lookup!$A:$B,2,FALSE),"?")&amp;"×"&amp;MID(TRIM(MID(SUBSTITUTE(F142,";",REPT(" ",99)),1,99)),FIND(":",TRIM(MID(SUBSTITUTE(F142,";",REPT(" ",99)),1,99)))+1,99)),IF(TRIM(MID(SUBSTITUTE(F142,";",REPT(" ",99)),100,99))="","",IFERROR(VLOOKUP(--LEFT(TRIM(MID(SUBSTITUTE(F142,";",REPT(" ",99)),100,99)),FIND(":",TRIM(MID(SUBSTITUTE(F142,";",REPT(" ",99)),100,99)))-1),_Lookup!$A:$B,2,FALSE),"?")&amp;"×"&amp;MID(TRIM(MID(SUBSTITUTE(F142,";",REPT(" ",99)),100,99)),FIND(":",TRIM(MID(SUBSTITUTE(F142,";",REPT(" ",99)),100,99)))+1,99)),IF(TRIM(MID(SUBSTITUTE(F142,";",REPT(" ",99)),199,99))="","",IFERROR(VLOOKUP(--LEFT(TRIM(MID(SUBSTITUTE(F142,";",REPT(" ",99)),199,99)),FIND(":",TRIM(MID(SUBSTITUTE(F142,";",REPT(" ",99)),199,99)))-1),_Lookup!$A:$B,2,FALSE),"?")&amp;"×"&amp;MID(TRIM(MID(SUBSTITUTE(F142,";",REPT(" ",99)),199,99)),FIND(":",TRIM(MID(SUBSTITUTE(F142,";",REPT(" ",99)),199,99)))+1,99)),IF(TRIM(MID(SUBSTITUTE(F142,";",REPT(" ",99)),298,99))="","",IFERROR(VLOOKUP(--LEFT(TRIM(MID(SUBSTITUTE(F142,";",REPT(" ",99)),298,99)),FIND(":",TRIM(MID(SUBSTITUTE(F142,";",REPT(" ",99)),298,99)))-1),_Lookup!$A:$B,2,FALSE),"?")&amp;"×"&amp;MID(TRIM(MID(SUBSTITUTE(F142,";",REPT(" ",99)),298,99)),FIND(":",TRIM(MID(SUBSTITUTE(F142,";",REPT(" ",99)),298,99)))+1,99)),IF(TRIM(MID(SUBSTITUTE(F142,";",REPT(" ",99)),397,99))="","",IFERROR(VLOOKUP(--LEFT(TRIM(MID(SUBSTITUTE(F142,";",REPT(" ",99)),397,99)),FIND(":",TRIM(MID(SUBSTITUTE(F142,";",REPT(" ",99)),397,99)))-1),_Lookup!$A:$B,2,FALSE),"?")&amp;"×"&amp;MID(TRIM(MID(SUBSTITUTE(F142,";",REPT(" ",99)),397,99)),FIND(":",TRIM(MID(SUBSTITUTE(F142,";",REPT(" ",99)),397,99)))+1,99))))</f>
        <v/>
      </c>
    </row>
    <row r="143">
      <c r="C143" s="11">
        <f>IFERROR(VLOOKUP(B143,StageData!$A:$B,2,FALSE),"")</f>
        <v/>
      </c>
      <c r="G143" s="11">
        <f>IF(F143="","",TEXTJOIN("; ",TRUE,IF(TRIM(MID(SUBSTITUTE(F143,";",REPT(" ",99)),1,99))="","",IFERROR(VLOOKUP(--LEFT(TRIM(MID(SUBSTITUTE(F143,";",REPT(" ",99)),1,99)),FIND(":",TRIM(MID(SUBSTITUTE(F143,";",REPT(" ",99)),1,99)))-1),_Lookup!$A:$B,2,FALSE),"?")&amp;"×"&amp;MID(TRIM(MID(SUBSTITUTE(F143,";",REPT(" ",99)),1,99)),FIND(":",TRIM(MID(SUBSTITUTE(F143,";",REPT(" ",99)),1,99)))+1,99)),IF(TRIM(MID(SUBSTITUTE(F143,";",REPT(" ",99)),100,99))="","",IFERROR(VLOOKUP(--LEFT(TRIM(MID(SUBSTITUTE(F143,";",REPT(" ",99)),100,99)),FIND(":",TRIM(MID(SUBSTITUTE(F143,";",REPT(" ",99)),100,99)))-1),_Lookup!$A:$B,2,FALSE),"?")&amp;"×"&amp;MID(TRIM(MID(SUBSTITUTE(F143,";",REPT(" ",99)),100,99)),FIND(":",TRIM(MID(SUBSTITUTE(F143,";",REPT(" ",99)),100,99)))+1,99)),IF(TRIM(MID(SUBSTITUTE(F143,";",REPT(" ",99)),199,99))="","",IFERROR(VLOOKUP(--LEFT(TRIM(MID(SUBSTITUTE(F143,";",REPT(" ",99)),199,99)),FIND(":",TRIM(MID(SUBSTITUTE(F143,";",REPT(" ",99)),199,99)))-1),_Lookup!$A:$B,2,FALSE),"?")&amp;"×"&amp;MID(TRIM(MID(SUBSTITUTE(F143,";",REPT(" ",99)),199,99)),FIND(":",TRIM(MID(SUBSTITUTE(F143,";",REPT(" ",99)),199,99)))+1,99)),IF(TRIM(MID(SUBSTITUTE(F143,";",REPT(" ",99)),298,99))="","",IFERROR(VLOOKUP(--LEFT(TRIM(MID(SUBSTITUTE(F143,";",REPT(" ",99)),298,99)),FIND(":",TRIM(MID(SUBSTITUTE(F143,";",REPT(" ",99)),298,99)))-1),_Lookup!$A:$B,2,FALSE),"?")&amp;"×"&amp;MID(TRIM(MID(SUBSTITUTE(F143,";",REPT(" ",99)),298,99)),FIND(":",TRIM(MID(SUBSTITUTE(F143,";",REPT(" ",99)),298,99)))+1,99)),IF(TRIM(MID(SUBSTITUTE(F143,";",REPT(" ",99)),397,99))="","",IFERROR(VLOOKUP(--LEFT(TRIM(MID(SUBSTITUTE(F143,";",REPT(" ",99)),397,99)),FIND(":",TRIM(MID(SUBSTITUTE(F143,";",REPT(" ",99)),397,99)))-1),_Lookup!$A:$B,2,FALSE),"?")&amp;"×"&amp;MID(TRIM(MID(SUBSTITUTE(F143,";",REPT(" ",99)),397,99)),FIND(":",TRIM(MID(SUBSTITUTE(F143,";",REPT(" ",99)),397,99)))+1,99))))</f>
        <v/>
      </c>
    </row>
    <row r="144">
      <c r="C144" s="11">
        <f>IFERROR(VLOOKUP(B144,StageData!$A:$B,2,FALSE),"")</f>
        <v/>
      </c>
      <c r="G144" s="11">
        <f>IF(F144="","",TEXTJOIN("; ",TRUE,IF(TRIM(MID(SUBSTITUTE(F144,";",REPT(" ",99)),1,99))="","",IFERROR(VLOOKUP(--LEFT(TRIM(MID(SUBSTITUTE(F144,";",REPT(" ",99)),1,99)),FIND(":",TRIM(MID(SUBSTITUTE(F144,";",REPT(" ",99)),1,99)))-1),_Lookup!$A:$B,2,FALSE),"?")&amp;"×"&amp;MID(TRIM(MID(SUBSTITUTE(F144,";",REPT(" ",99)),1,99)),FIND(":",TRIM(MID(SUBSTITUTE(F144,";",REPT(" ",99)),1,99)))+1,99)),IF(TRIM(MID(SUBSTITUTE(F144,";",REPT(" ",99)),100,99))="","",IFERROR(VLOOKUP(--LEFT(TRIM(MID(SUBSTITUTE(F144,";",REPT(" ",99)),100,99)),FIND(":",TRIM(MID(SUBSTITUTE(F144,";",REPT(" ",99)),100,99)))-1),_Lookup!$A:$B,2,FALSE),"?")&amp;"×"&amp;MID(TRIM(MID(SUBSTITUTE(F144,";",REPT(" ",99)),100,99)),FIND(":",TRIM(MID(SUBSTITUTE(F144,";",REPT(" ",99)),100,99)))+1,99)),IF(TRIM(MID(SUBSTITUTE(F144,";",REPT(" ",99)),199,99))="","",IFERROR(VLOOKUP(--LEFT(TRIM(MID(SUBSTITUTE(F144,";",REPT(" ",99)),199,99)),FIND(":",TRIM(MID(SUBSTITUTE(F144,";",REPT(" ",99)),199,99)))-1),_Lookup!$A:$B,2,FALSE),"?")&amp;"×"&amp;MID(TRIM(MID(SUBSTITUTE(F144,";",REPT(" ",99)),199,99)),FIND(":",TRIM(MID(SUBSTITUTE(F144,";",REPT(" ",99)),199,99)))+1,99)),IF(TRIM(MID(SUBSTITUTE(F144,";",REPT(" ",99)),298,99))="","",IFERROR(VLOOKUP(--LEFT(TRIM(MID(SUBSTITUTE(F144,";",REPT(" ",99)),298,99)),FIND(":",TRIM(MID(SUBSTITUTE(F144,";",REPT(" ",99)),298,99)))-1),_Lookup!$A:$B,2,FALSE),"?")&amp;"×"&amp;MID(TRIM(MID(SUBSTITUTE(F144,";",REPT(" ",99)),298,99)),FIND(":",TRIM(MID(SUBSTITUTE(F144,";",REPT(" ",99)),298,99)))+1,99)),IF(TRIM(MID(SUBSTITUTE(F144,";",REPT(" ",99)),397,99))="","",IFERROR(VLOOKUP(--LEFT(TRIM(MID(SUBSTITUTE(F144,";",REPT(" ",99)),397,99)),FIND(":",TRIM(MID(SUBSTITUTE(F144,";",REPT(" ",99)),397,99)))-1),_Lookup!$A:$B,2,FALSE),"?")&amp;"×"&amp;MID(TRIM(MID(SUBSTITUTE(F144,";",REPT(" ",99)),397,99)),FIND(":",TRIM(MID(SUBSTITUTE(F144,";",REPT(" ",99)),397,99)))+1,99))))</f>
        <v/>
      </c>
    </row>
    <row r="145">
      <c r="C145" s="11">
        <f>IFERROR(VLOOKUP(B145,StageData!$A:$B,2,FALSE),"")</f>
        <v/>
      </c>
      <c r="G145" s="11">
        <f>IF(F145="","",TEXTJOIN("; ",TRUE,IF(TRIM(MID(SUBSTITUTE(F145,";",REPT(" ",99)),1,99))="","",IFERROR(VLOOKUP(--LEFT(TRIM(MID(SUBSTITUTE(F145,";",REPT(" ",99)),1,99)),FIND(":",TRIM(MID(SUBSTITUTE(F145,";",REPT(" ",99)),1,99)))-1),_Lookup!$A:$B,2,FALSE),"?")&amp;"×"&amp;MID(TRIM(MID(SUBSTITUTE(F145,";",REPT(" ",99)),1,99)),FIND(":",TRIM(MID(SUBSTITUTE(F145,";",REPT(" ",99)),1,99)))+1,99)),IF(TRIM(MID(SUBSTITUTE(F145,";",REPT(" ",99)),100,99))="","",IFERROR(VLOOKUP(--LEFT(TRIM(MID(SUBSTITUTE(F145,";",REPT(" ",99)),100,99)),FIND(":",TRIM(MID(SUBSTITUTE(F145,";",REPT(" ",99)),100,99)))-1),_Lookup!$A:$B,2,FALSE),"?")&amp;"×"&amp;MID(TRIM(MID(SUBSTITUTE(F145,";",REPT(" ",99)),100,99)),FIND(":",TRIM(MID(SUBSTITUTE(F145,";",REPT(" ",99)),100,99)))+1,99)),IF(TRIM(MID(SUBSTITUTE(F145,";",REPT(" ",99)),199,99))="","",IFERROR(VLOOKUP(--LEFT(TRIM(MID(SUBSTITUTE(F145,";",REPT(" ",99)),199,99)),FIND(":",TRIM(MID(SUBSTITUTE(F145,";",REPT(" ",99)),199,99)))-1),_Lookup!$A:$B,2,FALSE),"?")&amp;"×"&amp;MID(TRIM(MID(SUBSTITUTE(F145,";",REPT(" ",99)),199,99)),FIND(":",TRIM(MID(SUBSTITUTE(F145,";",REPT(" ",99)),199,99)))+1,99)),IF(TRIM(MID(SUBSTITUTE(F145,";",REPT(" ",99)),298,99))="","",IFERROR(VLOOKUP(--LEFT(TRIM(MID(SUBSTITUTE(F145,";",REPT(" ",99)),298,99)),FIND(":",TRIM(MID(SUBSTITUTE(F145,";",REPT(" ",99)),298,99)))-1),_Lookup!$A:$B,2,FALSE),"?")&amp;"×"&amp;MID(TRIM(MID(SUBSTITUTE(F145,";",REPT(" ",99)),298,99)),FIND(":",TRIM(MID(SUBSTITUTE(F145,";",REPT(" ",99)),298,99)))+1,99)),IF(TRIM(MID(SUBSTITUTE(F145,";",REPT(" ",99)),397,99))="","",IFERROR(VLOOKUP(--LEFT(TRIM(MID(SUBSTITUTE(F145,";",REPT(" ",99)),397,99)),FIND(":",TRIM(MID(SUBSTITUTE(F145,";",REPT(" ",99)),397,99)))-1),_Lookup!$A:$B,2,FALSE),"?")&amp;"×"&amp;MID(TRIM(MID(SUBSTITUTE(F145,";",REPT(" ",99)),397,99)),FIND(":",TRIM(MID(SUBSTITUTE(F145,";",REPT(" ",99)),397,99)))+1,99))))</f>
        <v/>
      </c>
    </row>
    <row r="146">
      <c r="C146" s="11">
        <f>IFERROR(VLOOKUP(B146,StageData!$A:$B,2,FALSE),"")</f>
        <v/>
      </c>
      <c r="G146" s="11">
        <f>IF(F146="","",TEXTJOIN("; ",TRUE,IF(TRIM(MID(SUBSTITUTE(F146,";",REPT(" ",99)),1,99))="","",IFERROR(VLOOKUP(--LEFT(TRIM(MID(SUBSTITUTE(F146,";",REPT(" ",99)),1,99)),FIND(":",TRIM(MID(SUBSTITUTE(F146,";",REPT(" ",99)),1,99)))-1),_Lookup!$A:$B,2,FALSE),"?")&amp;"×"&amp;MID(TRIM(MID(SUBSTITUTE(F146,";",REPT(" ",99)),1,99)),FIND(":",TRIM(MID(SUBSTITUTE(F146,";",REPT(" ",99)),1,99)))+1,99)),IF(TRIM(MID(SUBSTITUTE(F146,";",REPT(" ",99)),100,99))="","",IFERROR(VLOOKUP(--LEFT(TRIM(MID(SUBSTITUTE(F146,";",REPT(" ",99)),100,99)),FIND(":",TRIM(MID(SUBSTITUTE(F146,";",REPT(" ",99)),100,99)))-1),_Lookup!$A:$B,2,FALSE),"?")&amp;"×"&amp;MID(TRIM(MID(SUBSTITUTE(F146,";",REPT(" ",99)),100,99)),FIND(":",TRIM(MID(SUBSTITUTE(F146,";",REPT(" ",99)),100,99)))+1,99)),IF(TRIM(MID(SUBSTITUTE(F146,";",REPT(" ",99)),199,99))="","",IFERROR(VLOOKUP(--LEFT(TRIM(MID(SUBSTITUTE(F146,";",REPT(" ",99)),199,99)),FIND(":",TRIM(MID(SUBSTITUTE(F146,";",REPT(" ",99)),199,99)))-1),_Lookup!$A:$B,2,FALSE),"?")&amp;"×"&amp;MID(TRIM(MID(SUBSTITUTE(F146,";",REPT(" ",99)),199,99)),FIND(":",TRIM(MID(SUBSTITUTE(F146,";",REPT(" ",99)),199,99)))+1,99)),IF(TRIM(MID(SUBSTITUTE(F146,";",REPT(" ",99)),298,99))="","",IFERROR(VLOOKUP(--LEFT(TRIM(MID(SUBSTITUTE(F146,";",REPT(" ",99)),298,99)),FIND(":",TRIM(MID(SUBSTITUTE(F146,";",REPT(" ",99)),298,99)))-1),_Lookup!$A:$B,2,FALSE),"?")&amp;"×"&amp;MID(TRIM(MID(SUBSTITUTE(F146,";",REPT(" ",99)),298,99)),FIND(":",TRIM(MID(SUBSTITUTE(F146,";",REPT(" ",99)),298,99)))+1,99)),IF(TRIM(MID(SUBSTITUTE(F146,";",REPT(" ",99)),397,99))="","",IFERROR(VLOOKUP(--LEFT(TRIM(MID(SUBSTITUTE(F146,";",REPT(" ",99)),397,99)),FIND(":",TRIM(MID(SUBSTITUTE(F146,";",REPT(" ",99)),397,99)))-1),_Lookup!$A:$B,2,FALSE),"?")&amp;"×"&amp;MID(TRIM(MID(SUBSTITUTE(F146,";",REPT(" ",99)),397,99)),FIND(":",TRIM(MID(SUBSTITUTE(F146,";",REPT(" ",99)),397,99)))+1,99))))</f>
        <v/>
      </c>
    </row>
    <row r="147">
      <c r="C147" s="11">
        <f>IFERROR(VLOOKUP(B147,StageData!$A:$B,2,FALSE),"")</f>
        <v/>
      </c>
      <c r="G147" s="11">
        <f>IF(F147="","",TEXTJOIN("; ",TRUE,IF(TRIM(MID(SUBSTITUTE(F147,";",REPT(" ",99)),1,99))="","",IFERROR(VLOOKUP(--LEFT(TRIM(MID(SUBSTITUTE(F147,";",REPT(" ",99)),1,99)),FIND(":",TRIM(MID(SUBSTITUTE(F147,";",REPT(" ",99)),1,99)))-1),_Lookup!$A:$B,2,FALSE),"?")&amp;"×"&amp;MID(TRIM(MID(SUBSTITUTE(F147,";",REPT(" ",99)),1,99)),FIND(":",TRIM(MID(SUBSTITUTE(F147,";",REPT(" ",99)),1,99)))+1,99)),IF(TRIM(MID(SUBSTITUTE(F147,";",REPT(" ",99)),100,99))="","",IFERROR(VLOOKUP(--LEFT(TRIM(MID(SUBSTITUTE(F147,";",REPT(" ",99)),100,99)),FIND(":",TRIM(MID(SUBSTITUTE(F147,";",REPT(" ",99)),100,99)))-1),_Lookup!$A:$B,2,FALSE),"?")&amp;"×"&amp;MID(TRIM(MID(SUBSTITUTE(F147,";",REPT(" ",99)),100,99)),FIND(":",TRIM(MID(SUBSTITUTE(F147,";",REPT(" ",99)),100,99)))+1,99)),IF(TRIM(MID(SUBSTITUTE(F147,";",REPT(" ",99)),199,99))="","",IFERROR(VLOOKUP(--LEFT(TRIM(MID(SUBSTITUTE(F147,";",REPT(" ",99)),199,99)),FIND(":",TRIM(MID(SUBSTITUTE(F147,";",REPT(" ",99)),199,99)))-1),_Lookup!$A:$B,2,FALSE),"?")&amp;"×"&amp;MID(TRIM(MID(SUBSTITUTE(F147,";",REPT(" ",99)),199,99)),FIND(":",TRIM(MID(SUBSTITUTE(F147,";",REPT(" ",99)),199,99)))+1,99)),IF(TRIM(MID(SUBSTITUTE(F147,";",REPT(" ",99)),298,99))="","",IFERROR(VLOOKUP(--LEFT(TRIM(MID(SUBSTITUTE(F147,";",REPT(" ",99)),298,99)),FIND(":",TRIM(MID(SUBSTITUTE(F147,";",REPT(" ",99)),298,99)))-1),_Lookup!$A:$B,2,FALSE),"?")&amp;"×"&amp;MID(TRIM(MID(SUBSTITUTE(F147,";",REPT(" ",99)),298,99)),FIND(":",TRIM(MID(SUBSTITUTE(F147,";",REPT(" ",99)),298,99)))+1,99)),IF(TRIM(MID(SUBSTITUTE(F147,";",REPT(" ",99)),397,99))="","",IFERROR(VLOOKUP(--LEFT(TRIM(MID(SUBSTITUTE(F147,";",REPT(" ",99)),397,99)),FIND(":",TRIM(MID(SUBSTITUTE(F147,";",REPT(" ",99)),397,99)))-1),_Lookup!$A:$B,2,FALSE),"?")&amp;"×"&amp;MID(TRIM(MID(SUBSTITUTE(F147,";",REPT(" ",99)),397,99)),FIND(":",TRIM(MID(SUBSTITUTE(F147,";",REPT(" ",99)),397,99)))+1,99))))</f>
        <v/>
      </c>
    </row>
    <row r="148">
      <c r="C148" s="11">
        <f>IFERROR(VLOOKUP(B148,StageData!$A:$B,2,FALSE),"")</f>
        <v/>
      </c>
      <c r="G148" s="11">
        <f>IF(F148="","",TEXTJOIN("; ",TRUE,IF(TRIM(MID(SUBSTITUTE(F148,";",REPT(" ",99)),1,99))="","",IFERROR(VLOOKUP(--LEFT(TRIM(MID(SUBSTITUTE(F148,";",REPT(" ",99)),1,99)),FIND(":",TRIM(MID(SUBSTITUTE(F148,";",REPT(" ",99)),1,99)))-1),_Lookup!$A:$B,2,FALSE),"?")&amp;"×"&amp;MID(TRIM(MID(SUBSTITUTE(F148,";",REPT(" ",99)),1,99)),FIND(":",TRIM(MID(SUBSTITUTE(F148,";",REPT(" ",99)),1,99)))+1,99)),IF(TRIM(MID(SUBSTITUTE(F148,";",REPT(" ",99)),100,99))="","",IFERROR(VLOOKUP(--LEFT(TRIM(MID(SUBSTITUTE(F148,";",REPT(" ",99)),100,99)),FIND(":",TRIM(MID(SUBSTITUTE(F148,";",REPT(" ",99)),100,99)))-1),_Lookup!$A:$B,2,FALSE),"?")&amp;"×"&amp;MID(TRIM(MID(SUBSTITUTE(F148,";",REPT(" ",99)),100,99)),FIND(":",TRIM(MID(SUBSTITUTE(F148,";",REPT(" ",99)),100,99)))+1,99)),IF(TRIM(MID(SUBSTITUTE(F148,";",REPT(" ",99)),199,99))="","",IFERROR(VLOOKUP(--LEFT(TRIM(MID(SUBSTITUTE(F148,";",REPT(" ",99)),199,99)),FIND(":",TRIM(MID(SUBSTITUTE(F148,";",REPT(" ",99)),199,99)))-1),_Lookup!$A:$B,2,FALSE),"?")&amp;"×"&amp;MID(TRIM(MID(SUBSTITUTE(F148,";",REPT(" ",99)),199,99)),FIND(":",TRIM(MID(SUBSTITUTE(F148,";",REPT(" ",99)),199,99)))+1,99)),IF(TRIM(MID(SUBSTITUTE(F148,";",REPT(" ",99)),298,99))="","",IFERROR(VLOOKUP(--LEFT(TRIM(MID(SUBSTITUTE(F148,";",REPT(" ",99)),298,99)),FIND(":",TRIM(MID(SUBSTITUTE(F148,";",REPT(" ",99)),298,99)))-1),_Lookup!$A:$B,2,FALSE),"?")&amp;"×"&amp;MID(TRIM(MID(SUBSTITUTE(F148,";",REPT(" ",99)),298,99)),FIND(":",TRIM(MID(SUBSTITUTE(F148,";",REPT(" ",99)),298,99)))+1,99)),IF(TRIM(MID(SUBSTITUTE(F148,";",REPT(" ",99)),397,99))="","",IFERROR(VLOOKUP(--LEFT(TRIM(MID(SUBSTITUTE(F148,";",REPT(" ",99)),397,99)),FIND(":",TRIM(MID(SUBSTITUTE(F148,";",REPT(" ",99)),397,99)))-1),_Lookup!$A:$B,2,FALSE),"?")&amp;"×"&amp;MID(TRIM(MID(SUBSTITUTE(F148,";",REPT(" ",99)),397,99)),FIND(":",TRIM(MID(SUBSTITUTE(F148,";",REPT(" ",99)),397,99)))+1,99))))</f>
        <v/>
      </c>
    </row>
    <row r="149">
      <c r="C149" s="11">
        <f>IFERROR(VLOOKUP(B149,StageData!$A:$B,2,FALSE),"")</f>
        <v/>
      </c>
      <c r="G149" s="11">
        <f>IF(F149="","",TEXTJOIN("; ",TRUE,IF(TRIM(MID(SUBSTITUTE(F149,";",REPT(" ",99)),1,99))="","",IFERROR(VLOOKUP(--LEFT(TRIM(MID(SUBSTITUTE(F149,";",REPT(" ",99)),1,99)),FIND(":",TRIM(MID(SUBSTITUTE(F149,";",REPT(" ",99)),1,99)))-1),_Lookup!$A:$B,2,FALSE),"?")&amp;"×"&amp;MID(TRIM(MID(SUBSTITUTE(F149,";",REPT(" ",99)),1,99)),FIND(":",TRIM(MID(SUBSTITUTE(F149,";",REPT(" ",99)),1,99)))+1,99)),IF(TRIM(MID(SUBSTITUTE(F149,";",REPT(" ",99)),100,99))="","",IFERROR(VLOOKUP(--LEFT(TRIM(MID(SUBSTITUTE(F149,";",REPT(" ",99)),100,99)),FIND(":",TRIM(MID(SUBSTITUTE(F149,";",REPT(" ",99)),100,99)))-1),_Lookup!$A:$B,2,FALSE),"?")&amp;"×"&amp;MID(TRIM(MID(SUBSTITUTE(F149,";",REPT(" ",99)),100,99)),FIND(":",TRIM(MID(SUBSTITUTE(F149,";",REPT(" ",99)),100,99)))+1,99)),IF(TRIM(MID(SUBSTITUTE(F149,";",REPT(" ",99)),199,99))="","",IFERROR(VLOOKUP(--LEFT(TRIM(MID(SUBSTITUTE(F149,";",REPT(" ",99)),199,99)),FIND(":",TRIM(MID(SUBSTITUTE(F149,";",REPT(" ",99)),199,99)))-1),_Lookup!$A:$B,2,FALSE),"?")&amp;"×"&amp;MID(TRIM(MID(SUBSTITUTE(F149,";",REPT(" ",99)),199,99)),FIND(":",TRIM(MID(SUBSTITUTE(F149,";",REPT(" ",99)),199,99)))+1,99)),IF(TRIM(MID(SUBSTITUTE(F149,";",REPT(" ",99)),298,99))="","",IFERROR(VLOOKUP(--LEFT(TRIM(MID(SUBSTITUTE(F149,";",REPT(" ",99)),298,99)),FIND(":",TRIM(MID(SUBSTITUTE(F149,";",REPT(" ",99)),298,99)))-1),_Lookup!$A:$B,2,FALSE),"?")&amp;"×"&amp;MID(TRIM(MID(SUBSTITUTE(F149,";",REPT(" ",99)),298,99)),FIND(":",TRIM(MID(SUBSTITUTE(F149,";",REPT(" ",99)),298,99)))+1,99)),IF(TRIM(MID(SUBSTITUTE(F149,";",REPT(" ",99)),397,99))="","",IFERROR(VLOOKUP(--LEFT(TRIM(MID(SUBSTITUTE(F149,";",REPT(" ",99)),397,99)),FIND(":",TRIM(MID(SUBSTITUTE(F149,";",REPT(" ",99)),397,99)))-1),_Lookup!$A:$B,2,FALSE),"?")&amp;"×"&amp;MID(TRIM(MID(SUBSTITUTE(F149,";",REPT(" ",99)),397,99)),FIND(":",TRIM(MID(SUBSTITUTE(F149,";",REPT(" ",99)),397,99)))+1,99))))</f>
        <v/>
      </c>
    </row>
    <row r="150">
      <c r="C150" s="11">
        <f>IFERROR(VLOOKUP(B150,StageData!$A:$B,2,FALSE),"")</f>
        <v/>
      </c>
      <c r="G150" s="11">
        <f>IF(F150="","",TEXTJOIN("; ",TRUE,IF(TRIM(MID(SUBSTITUTE(F150,";",REPT(" ",99)),1,99))="","",IFERROR(VLOOKUP(--LEFT(TRIM(MID(SUBSTITUTE(F150,";",REPT(" ",99)),1,99)),FIND(":",TRIM(MID(SUBSTITUTE(F150,";",REPT(" ",99)),1,99)))-1),_Lookup!$A:$B,2,FALSE),"?")&amp;"×"&amp;MID(TRIM(MID(SUBSTITUTE(F150,";",REPT(" ",99)),1,99)),FIND(":",TRIM(MID(SUBSTITUTE(F150,";",REPT(" ",99)),1,99)))+1,99)),IF(TRIM(MID(SUBSTITUTE(F150,";",REPT(" ",99)),100,99))="","",IFERROR(VLOOKUP(--LEFT(TRIM(MID(SUBSTITUTE(F150,";",REPT(" ",99)),100,99)),FIND(":",TRIM(MID(SUBSTITUTE(F150,";",REPT(" ",99)),100,99)))-1),_Lookup!$A:$B,2,FALSE),"?")&amp;"×"&amp;MID(TRIM(MID(SUBSTITUTE(F150,";",REPT(" ",99)),100,99)),FIND(":",TRIM(MID(SUBSTITUTE(F150,";",REPT(" ",99)),100,99)))+1,99)),IF(TRIM(MID(SUBSTITUTE(F150,";",REPT(" ",99)),199,99))="","",IFERROR(VLOOKUP(--LEFT(TRIM(MID(SUBSTITUTE(F150,";",REPT(" ",99)),199,99)),FIND(":",TRIM(MID(SUBSTITUTE(F150,";",REPT(" ",99)),199,99)))-1),_Lookup!$A:$B,2,FALSE),"?")&amp;"×"&amp;MID(TRIM(MID(SUBSTITUTE(F150,";",REPT(" ",99)),199,99)),FIND(":",TRIM(MID(SUBSTITUTE(F150,";",REPT(" ",99)),199,99)))+1,99)),IF(TRIM(MID(SUBSTITUTE(F150,";",REPT(" ",99)),298,99))="","",IFERROR(VLOOKUP(--LEFT(TRIM(MID(SUBSTITUTE(F150,";",REPT(" ",99)),298,99)),FIND(":",TRIM(MID(SUBSTITUTE(F150,";",REPT(" ",99)),298,99)))-1),_Lookup!$A:$B,2,FALSE),"?")&amp;"×"&amp;MID(TRIM(MID(SUBSTITUTE(F150,";",REPT(" ",99)),298,99)),FIND(":",TRIM(MID(SUBSTITUTE(F150,";",REPT(" ",99)),298,99)))+1,99)),IF(TRIM(MID(SUBSTITUTE(F150,";",REPT(" ",99)),397,99))="","",IFERROR(VLOOKUP(--LEFT(TRIM(MID(SUBSTITUTE(F150,";",REPT(" ",99)),397,99)),FIND(":",TRIM(MID(SUBSTITUTE(F150,";",REPT(" ",99)),397,99)))-1),_Lookup!$A:$B,2,FALSE),"?")&amp;"×"&amp;MID(TRIM(MID(SUBSTITUTE(F150,";",REPT(" ",99)),397,99)),FIND(":",TRIM(MID(SUBSTITUTE(F150,";",REPT(" ",99)),397,99)))+1,99))))</f>
        <v/>
      </c>
    </row>
    <row r="151">
      <c r="C151" s="11">
        <f>IFERROR(VLOOKUP(B151,StageData!$A:$B,2,FALSE),"")</f>
        <v/>
      </c>
      <c r="G151" s="11">
        <f>IF(F151="","",TEXTJOIN("; ",TRUE,IF(TRIM(MID(SUBSTITUTE(F151,";",REPT(" ",99)),1,99))="","",IFERROR(VLOOKUP(--LEFT(TRIM(MID(SUBSTITUTE(F151,";",REPT(" ",99)),1,99)),FIND(":",TRIM(MID(SUBSTITUTE(F151,";",REPT(" ",99)),1,99)))-1),_Lookup!$A:$B,2,FALSE),"?")&amp;"×"&amp;MID(TRIM(MID(SUBSTITUTE(F151,";",REPT(" ",99)),1,99)),FIND(":",TRIM(MID(SUBSTITUTE(F151,";",REPT(" ",99)),1,99)))+1,99)),IF(TRIM(MID(SUBSTITUTE(F151,";",REPT(" ",99)),100,99))="","",IFERROR(VLOOKUP(--LEFT(TRIM(MID(SUBSTITUTE(F151,";",REPT(" ",99)),100,99)),FIND(":",TRIM(MID(SUBSTITUTE(F151,";",REPT(" ",99)),100,99)))-1),_Lookup!$A:$B,2,FALSE),"?")&amp;"×"&amp;MID(TRIM(MID(SUBSTITUTE(F151,";",REPT(" ",99)),100,99)),FIND(":",TRIM(MID(SUBSTITUTE(F151,";",REPT(" ",99)),100,99)))+1,99)),IF(TRIM(MID(SUBSTITUTE(F151,";",REPT(" ",99)),199,99))="","",IFERROR(VLOOKUP(--LEFT(TRIM(MID(SUBSTITUTE(F151,";",REPT(" ",99)),199,99)),FIND(":",TRIM(MID(SUBSTITUTE(F151,";",REPT(" ",99)),199,99)))-1),_Lookup!$A:$B,2,FALSE),"?")&amp;"×"&amp;MID(TRIM(MID(SUBSTITUTE(F151,";",REPT(" ",99)),199,99)),FIND(":",TRIM(MID(SUBSTITUTE(F151,";",REPT(" ",99)),199,99)))+1,99)),IF(TRIM(MID(SUBSTITUTE(F151,";",REPT(" ",99)),298,99))="","",IFERROR(VLOOKUP(--LEFT(TRIM(MID(SUBSTITUTE(F151,";",REPT(" ",99)),298,99)),FIND(":",TRIM(MID(SUBSTITUTE(F151,";",REPT(" ",99)),298,99)))-1),_Lookup!$A:$B,2,FALSE),"?")&amp;"×"&amp;MID(TRIM(MID(SUBSTITUTE(F151,";",REPT(" ",99)),298,99)),FIND(":",TRIM(MID(SUBSTITUTE(F151,";",REPT(" ",99)),298,99)))+1,99)),IF(TRIM(MID(SUBSTITUTE(F151,";",REPT(" ",99)),397,99))="","",IFERROR(VLOOKUP(--LEFT(TRIM(MID(SUBSTITUTE(F151,";",REPT(" ",99)),397,99)),FIND(":",TRIM(MID(SUBSTITUTE(F151,";",REPT(" ",99)),397,99)))-1),_Lookup!$A:$B,2,FALSE),"?")&amp;"×"&amp;MID(TRIM(MID(SUBSTITUTE(F151,";",REPT(" ",99)),397,99)),FIND(":",TRIM(MID(SUBSTITUTE(F151,";",REPT(" ",99)),397,99)))+1,99))))</f>
        <v/>
      </c>
    </row>
    <row r="152">
      <c r="C152" s="11">
        <f>IFERROR(VLOOKUP(B152,StageData!$A:$B,2,FALSE),"")</f>
        <v/>
      </c>
      <c r="G152" s="11">
        <f>IF(F152="","",TEXTJOIN("; ",TRUE,IF(TRIM(MID(SUBSTITUTE(F152,";",REPT(" ",99)),1,99))="","",IFERROR(VLOOKUP(--LEFT(TRIM(MID(SUBSTITUTE(F152,";",REPT(" ",99)),1,99)),FIND(":",TRIM(MID(SUBSTITUTE(F152,";",REPT(" ",99)),1,99)))-1),_Lookup!$A:$B,2,FALSE),"?")&amp;"×"&amp;MID(TRIM(MID(SUBSTITUTE(F152,";",REPT(" ",99)),1,99)),FIND(":",TRIM(MID(SUBSTITUTE(F152,";",REPT(" ",99)),1,99)))+1,99)),IF(TRIM(MID(SUBSTITUTE(F152,";",REPT(" ",99)),100,99))="","",IFERROR(VLOOKUP(--LEFT(TRIM(MID(SUBSTITUTE(F152,";",REPT(" ",99)),100,99)),FIND(":",TRIM(MID(SUBSTITUTE(F152,";",REPT(" ",99)),100,99)))-1),_Lookup!$A:$B,2,FALSE),"?")&amp;"×"&amp;MID(TRIM(MID(SUBSTITUTE(F152,";",REPT(" ",99)),100,99)),FIND(":",TRIM(MID(SUBSTITUTE(F152,";",REPT(" ",99)),100,99)))+1,99)),IF(TRIM(MID(SUBSTITUTE(F152,";",REPT(" ",99)),199,99))="","",IFERROR(VLOOKUP(--LEFT(TRIM(MID(SUBSTITUTE(F152,";",REPT(" ",99)),199,99)),FIND(":",TRIM(MID(SUBSTITUTE(F152,";",REPT(" ",99)),199,99)))-1),_Lookup!$A:$B,2,FALSE),"?")&amp;"×"&amp;MID(TRIM(MID(SUBSTITUTE(F152,";",REPT(" ",99)),199,99)),FIND(":",TRIM(MID(SUBSTITUTE(F152,";",REPT(" ",99)),199,99)))+1,99)),IF(TRIM(MID(SUBSTITUTE(F152,";",REPT(" ",99)),298,99))="","",IFERROR(VLOOKUP(--LEFT(TRIM(MID(SUBSTITUTE(F152,";",REPT(" ",99)),298,99)),FIND(":",TRIM(MID(SUBSTITUTE(F152,";",REPT(" ",99)),298,99)))-1),_Lookup!$A:$B,2,FALSE),"?")&amp;"×"&amp;MID(TRIM(MID(SUBSTITUTE(F152,";",REPT(" ",99)),298,99)),FIND(":",TRIM(MID(SUBSTITUTE(F152,";",REPT(" ",99)),298,99)))+1,99)),IF(TRIM(MID(SUBSTITUTE(F152,";",REPT(" ",99)),397,99))="","",IFERROR(VLOOKUP(--LEFT(TRIM(MID(SUBSTITUTE(F152,";",REPT(" ",99)),397,99)),FIND(":",TRIM(MID(SUBSTITUTE(F152,";",REPT(" ",99)),397,99)))-1),_Lookup!$A:$B,2,FALSE),"?")&amp;"×"&amp;MID(TRIM(MID(SUBSTITUTE(F152,";",REPT(" ",99)),397,99)),FIND(":",TRIM(MID(SUBSTITUTE(F152,";",REPT(" ",99)),397,99)))+1,99))))</f>
        <v/>
      </c>
    </row>
    <row r="153">
      <c r="C153" s="11">
        <f>IFERROR(VLOOKUP(B153,StageData!$A:$B,2,FALSE),"")</f>
        <v/>
      </c>
      <c r="G153" s="11">
        <f>IF(F153="","",TEXTJOIN("; ",TRUE,IF(TRIM(MID(SUBSTITUTE(F153,";",REPT(" ",99)),1,99))="","",IFERROR(VLOOKUP(--LEFT(TRIM(MID(SUBSTITUTE(F153,";",REPT(" ",99)),1,99)),FIND(":",TRIM(MID(SUBSTITUTE(F153,";",REPT(" ",99)),1,99)))-1),_Lookup!$A:$B,2,FALSE),"?")&amp;"×"&amp;MID(TRIM(MID(SUBSTITUTE(F153,";",REPT(" ",99)),1,99)),FIND(":",TRIM(MID(SUBSTITUTE(F153,";",REPT(" ",99)),1,99)))+1,99)),IF(TRIM(MID(SUBSTITUTE(F153,";",REPT(" ",99)),100,99))="","",IFERROR(VLOOKUP(--LEFT(TRIM(MID(SUBSTITUTE(F153,";",REPT(" ",99)),100,99)),FIND(":",TRIM(MID(SUBSTITUTE(F153,";",REPT(" ",99)),100,99)))-1),_Lookup!$A:$B,2,FALSE),"?")&amp;"×"&amp;MID(TRIM(MID(SUBSTITUTE(F153,";",REPT(" ",99)),100,99)),FIND(":",TRIM(MID(SUBSTITUTE(F153,";",REPT(" ",99)),100,99)))+1,99)),IF(TRIM(MID(SUBSTITUTE(F153,";",REPT(" ",99)),199,99))="","",IFERROR(VLOOKUP(--LEFT(TRIM(MID(SUBSTITUTE(F153,";",REPT(" ",99)),199,99)),FIND(":",TRIM(MID(SUBSTITUTE(F153,";",REPT(" ",99)),199,99)))-1),_Lookup!$A:$B,2,FALSE),"?")&amp;"×"&amp;MID(TRIM(MID(SUBSTITUTE(F153,";",REPT(" ",99)),199,99)),FIND(":",TRIM(MID(SUBSTITUTE(F153,";",REPT(" ",99)),199,99)))+1,99)),IF(TRIM(MID(SUBSTITUTE(F153,";",REPT(" ",99)),298,99))="","",IFERROR(VLOOKUP(--LEFT(TRIM(MID(SUBSTITUTE(F153,";",REPT(" ",99)),298,99)),FIND(":",TRIM(MID(SUBSTITUTE(F153,";",REPT(" ",99)),298,99)))-1),_Lookup!$A:$B,2,FALSE),"?")&amp;"×"&amp;MID(TRIM(MID(SUBSTITUTE(F153,";",REPT(" ",99)),298,99)),FIND(":",TRIM(MID(SUBSTITUTE(F153,";",REPT(" ",99)),298,99)))+1,99)),IF(TRIM(MID(SUBSTITUTE(F153,";",REPT(" ",99)),397,99))="","",IFERROR(VLOOKUP(--LEFT(TRIM(MID(SUBSTITUTE(F153,";",REPT(" ",99)),397,99)),FIND(":",TRIM(MID(SUBSTITUTE(F153,";",REPT(" ",99)),397,99)))-1),_Lookup!$A:$B,2,FALSE),"?")&amp;"×"&amp;MID(TRIM(MID(SUBSTITUTE(F153,";",REPT(" ",99)),397,99)),FIND(":",TRIM(MID(SUBSTITUTE(F153,";",REPT(" ",99)),397,99)))+1,99))))</f>
        <v/>
      </c>
    </row>
    <row r="154">
      <c r="C154" s="11">
        <f>IFERROR(VLOOKUP(B154,StageData!$A:$B,2,FALSE),"")</f>
        <v/>
      </c>
      <c r="G154" s="11">
        <f>IF(F154="","",TEXTJOIN("; ",TRUE,IF(TRIM(MID(SUBSTITUTE(F154,";",REPT(" ",99)),1,99))="","",IFERROR(VLOOKUP(--LEFT(TRIM(MID(SUBSTITUTE(F154,";",REPT(" ",99)),1,99)),FIND(":",TRIM(MID(SUBSTITUTE(F154,";",REPT(" ",99)),1,99)))-1),_Lookup!$A:$B,2,FALSE),"?")&amp;"×"&amp;MID(TRIM(MID(SUBSTITUTE(F154,";",REPT(" ",99)),1,99)),FIND(":",TRIM(MID(SUBSTITUTE(F154,";",REPT(" ",99)),1,99)))+1,99)),IF(TRIM(MID(SUBSTITUTE(F154,";",REPT(" ",99)),100,99))="","",IFERROR(VLOOKUP(--LEFT(TRIM(MID(SUBSTITUTE(F154,";",REPT(" ",99)),100,99)),FIND(":",TRIM(MID(SUBSTITUTE(F154,";",REPT(" ",99)),100,99)))-1),_Lookup!$A:$B,2,FALSE),"?")&amp;"×"&amp;MID(TRIM(MID(SUBSTITUTE(F154,";",REPT(" ",99)),100,99)),FIND(":",TRIM(MID(SUBSTITUTE(F154,";",REPT(" ",99)),100,99)))+1,99)),IF(TRIM(MID(SUBSTITUTE(F154,";",REPT(" ",99)),199,99))="","",IFERROR(VLOOKUP(--LEFT(TRIM(MID(SUBSTITUTE(F154,";",REPT(" ",99)),199,99)),FIND(":",TRIM(MID(SUBSTITUTE(F154,";",REPT(" ",99)),199,99)))-1),_Lookup!$A:$B,2,FALSE),"?")&amp;"×"&amp;MID(TRIM(MID(SUBSTITUTE(F154,";",REPT(" ",99)),199,99)),FIND(":",TRIM(MID(SUBSTITUTE(F154,";",REPT(" ",99)),199,99)))+1,99)),IF(TRIM(MID(SUBSTITUTE(F154,";",REPT(" ",99)),298,99))="","",IFERROR(VLOOKUP(--LEFT(TRIM(MID(SUBSTITUTE(F154,";",REPT(" ",99)),298,99)),FIND(":",TRIM(MID(SUBSTITUTE(F154,";",REPT(" ",99)),298,99)))-1),_Lookup!$A:$B,2,FALSE),"?")&amp;"×"&amp;MID(TRIM(MID(SUBSTITUTE(F154,";",REPT(" ",99)),298,99)),FIND(":",TRIM(MID(SUBSTITUTE(F154,";",REPT(" ",99)),298,99)))+1,99)),IF(TRIM(MID(SUBSTITUTE(F154,";",REPT(" ",99)),397,99))="","",IFERROR(VLOOKUP(--LEFT(TRIM(MID(SUBSTITUTE(F154,";",REPT(" ",99)),397,99)),FIND(":",TRIM(MID(SUBSTITUTE(F154,";",REPT(" ",99)),397,99)))-1),_Lookup!$A:$B,2,FALSE),"?")&amp;"×"&amp;MID(TRIM(MID(SUBSTITUTE(F154,";",REPT(" ",99)),397,99)),FIND(":",TRIM(MID(SUBSTITUTE(F154,";",REPT(" ",99)),397,99)))+1,99))))</f>
        <v/>
      </c>
    </row>
    <row r="155">
      <c r="C155" s="11">
        <f>IFERROR(VLOOKUP(B155,StageData!$A:$B,2,FALSE),"")</f>
        <v/>
      </c>
      <c r="G155" s="11">
        <f>IF(F155="","",TEXTJOIN("; ",TRUE,IF(TRIM(MID(SUBSTITUTE(F155,";",REPT(" ",99)),1,99))="","",IFERROR(VLOOKUP(--LEFT(TRIM(MID(SUBSTITUTE(F155,";",REPT(" ",99)),1,99)),FIND(":",TRIM(MID(SUBSTITUTE(F155,";",REPT(" ",99)),1,99)))-1),_Lookup!$A:$B,2,FALSE),"?")&amp;"×"&amp;MID(TRIM(MID(SUBSTITUTE(F155,";",REPT(" ",99)),1,99)),FIND(":",TRIM(MID(SUBSTITUTE(F155,";",REPT(" ",99)),1,99)))+1,99)),IF(TRIM(MID(SUBSTITUTE(F155,";",REPT(" ",99)),100,99))="","",IFERROR(VLOOKUP(--LEFT(TRIM(MID(SUBSTITUTE(F155,";",REPT(" ",99)),100,99)),FIND(":",TRIM(MID(SUBSTITUTE(F155,";",REPT(" ",99)),100,99)))-1),_Lookup!$A:$B,2,FALSE),"?")&amp;"×"&amp;MID(TRIM(MID(SUBSTITUTE(F155,";",REPT(" ",99)),100,99)),FIND(":",TRIM(MID(SUBSTITUTE(F155,";",REPT(" ",99)),100,99)))+1,99)),IF(TRIM(MID(SUBSTITUTE(F155,";",REPT(" ",99)),199,99))="","",IFERROR(VLOOKUP(--LEFT(TRIM(MID(SUBSTITUTE(F155,";",REPT(" ",99)),199,99)),FIND(":",TRIM(MID(SUBSTITUTE(F155,";",REPT(" ",99)),199,99)))-1),_Lookup!$A:$B,2,FALSE),"?")&amp;"×"&amp;MID(TRIM(MID(SUBSTITUTE(F155,";",REPT(" ",99)),199,99)),FIND(":",TRIM(MID(SUBSTITUTE(F155,";",REPT(" ",99)),199,99)))+1,99)),IF(TRIM(MID(SUBSTITUTE(F155,";",REPT(" ",99)),298,99))="","",IFERROR(VLOOKUP(--LEFT(TRIM(MID(SUBSTITUTE(F155,";",REPT(" ",99)),298,99)),FIND(":",TRIM(MID(SUBSTITUTE(F155,";",REPT(" ",99)),298,99)))-1),_Lookup!$A:$B,2,FALSE),"?")&amp;"×"&amp;MID(TRIM(MID(SUBSTITUTE(F155,";",REPT(" ",99)),298,99)),FIND(":",TRIM(MID(SUBSTITUTE(F155,";",REPT(" ",99)),298,99)))+1,99)),IF(TRIM(MID(SUBSTITUTE(F155,";",REPT(" ",99)),397,99))="","",IFERROR(VLOOKUP(--LEFT(TRIM(MID(SUBSTITUTE(F155,";",REPT(" ",99)),397,99)),FIND(":",TRIM(MID(SUBSTITUTE(F155,";",REPT(" ",99)),397,99)))-1),_Lookup!$A:$B,2,FALSE),"?")&amp;"×"&amp;MID(TRIM(MID(SUBSTITUTE(F155,";",REPT(" ",99)),397,99)),FIND(":",TRIM(MID(SUBSTITUTE(F155,";",REPT(" ",99)),397,99)))+1,99))))</f>
        <v/>
      </c>
    </row>
    <row r="156">
      <c r="C156" s="11">
        <f>IFERROR(VLOOKUP(B156,StageData!$A:$B,2,FALSE),"")</f>
        <v/>
      </c>
      <c r="G156" s="11">
        <f>IF(F156="","",TEXTJOIN("; ",TRUE,IF(TRIM(MID(SUBSTITUTE(F156,";",REPT(" ",99)),1,99))="","",IFERROR(VLOOKUP(--LEFT(TRIM(MID(SUBSTITUTE(F156,";",REPT(" ",99)),1,99)),FIND(":",TRIM(MID(SUBSTITUTE(F156,";",REPT(" ",99)),1,99)))-1),_Lookup!$A:$B,2,FALSE),"?")&amp;"×"&amp;MID(TRIM(MID(SUBSTITUTE(F156,";",REPT(" ",99)),1,99)),FIND(":",TRIM(MID(SUBSTITUTE(F156,";",REPT(" ",99)),1,99)))+1,99)),IF(TRIM(MID(SUBSTITUTE(F156,";",REPT(" ",99)),100,99))="","",IFERROR(VLOOKUP(--LEFT(TRIM(MID(SUBSTITUTE(F156,";",REPT(" ",99)),100,99)),FIND(":",TRIM(MID(SUBSTITUTE(F156,";",REPT(" ",99)),100,99)))-1),_Lookup!$A:$B,2,FALSE),"?")&amp;"×"&amp;MID(TRIM(MID(SUBSTITUTE(F156,";",REPT(" ",99)),100,99)),FIND(":",TRIM(MID(SUBSTITUTE(F156,";",REPT(" ",99)),100,99)))+1,99)),IF(TRIM(MID(SUBSTITUTE(F156,";",REPT(" ",99)),199,99))="","",IFERROR(VLOOKUP(--LEFT(TRIM(MID(SUBSTITUTE(F156,";",REPT(" ",99)),199,99)),FIND(":",TRIM(MID(SUBSTITUTE(F156,";",REPT(" ",99)),199,99)))-1),_Lookup!$A:$B,2,FALSE),"?")&amp;"×"&amp;MID(TRIM(MID(SUBSTITUTE(F156,";",REPT(" ",99)),199,99)),FIND(":",TRIM(MID(SUBSTITUTE(F156,";",REPT(" ",99)),199,99)))+1,99)),IF(TRIM(MID(SUBSTITUTE(F156,";",REPT(" ",99)),298,99))="","",IFERROR(VLOOKUP(--LEFT(TRIM(MID(SUBSTITUTE(F156,";",REPT(" ",99)),298,99)),FIND(":",TRIM(MID(SUBSTITUTE(F156,";",REPT(" ",99)),298,99)))-1),_Lookup!$A:$B,2,FALSE),"?")&amp;"×"&amp;MID(TRIM(MID(SUBSTITUTE(F156,";",REPT(" ",99)),298,99)),FIND(":",TRIM(MID(SUBSTITUTE(F156,";",REPT(" ",99)),298,99)))+1,99)),IF(TRIM(MID(SUBSTITUTE(F156,";",REPT(" ",99)),397,99))="","",IFERROR(VLOOKUP(--LEFT(TRIM(MID(SUBSTITUTE(F156,";",REPT(" ",99)),397,99)),FIND(":",TRIM(MID(SUBSTITUTE(F156,";",REPT(" ",99)),397,99)))-1),_Lookup!$A:$B,2,FALSE),"?")&amp;"×"&amp;MID(TRIM(MID(SUBSTITUTE(F156,";",REPT(" ",99)),397,99)),FIND(":",TRIM(MID(SUBSTITUTE(F156,";",REPT(" ",99)),397,99)))+1,99))))</f>
        <v/>
      </c>
    </row>
    <row r="157">
      <c r="C157" s="11">
        <f>IFERROR(VLOOKUP(B157,StageData!$A:$B,2,FALSE),"")</f>
        <v/>
      </c>
      <c r="G157" s="11">
        <f>IF(F157="","",TEXTJOIN("; ",TRUE,IF(TRIM(MID(SUBSTITUTE(F157,";",REPT(" ",99)),1,99))="","",IFERROR(VLOOKUP(--LEFT(TRIM(MID(SUBSTITUTE(F157,";",REPT(" ",99)),1,99)),FIND(":",TRIM(MID(SUBSTITUTE(F157,";",REPT(" ",99)),1,99)))-1),_Lookup!$A:$B,2,FALSE),"?")&amp;"×"&amp;MID(TRIM(MID(SUBSTITUTE(F157,";",REPT(" ",99)),1,99)),FIND(":",TRIM(MID(SUBSTITUTE(F157,";",REPT(" ",99)),1,99)))+1,99)),IF(TRIM(MID(SUBSTITUTE(F157,";",REPT(" ",99)),100,99))="","",IFERROR(VLOOKUP(--LEFT(TRIM(MID(SUBSTITUTE(F157,";",REPT(" ",99)),100,99)),FIND(":",TRIM(MID(SUBSTITUTE(F157,";",REPT(" ",99)),100,99)))-1),_Lookup!$A:$B,2,FALSE),"?")&amp;"×"&amp;MID(TRIM(MID(SUBSTITUTE(F157,";",REPT(" ",99)),100,99)),FIND(":",TRIM(MID(SUBSTITUTE(F157,";",REPT(" ",99)),100,99)))+1,99)),IF(TRIM(MID(SUBSTITUTE(F157,";",REPT(" ",99)),199,99))="","",IFERROR(VLOOKUP(--LEFT(TRIM(MID(SUBSTITUTE(F157,";",REPT(" ",99)),199,99)),FIND(":",TRIM(MID(SUBSTITUTE(F157,";",REPT(" ",99)),199,99)))-1),_Lookup!$A:$B,2,FALSE),"?")&amp;"×"&amp;MID(TRIM(MID(SUBSTITUTE(F157,";",REPT(" ",99)),199,99)),FIND(":",TRIM(MID(SUBSTITUTE(F157,";",REPT(" ",99)),199,99)))+1,99)),IF(TRIM(MID(SUBSTITUTE(F157,";",REPT(" ",99)),298,99))="","",IFERROR(VLOOKUP(--LEFT(TRIM(MID(SUBSTITUTE(F157,";",REPT(" ",99)),298,99)),FIND(":",TRIM(MID(SUBSTITUTE(F157,";",REPT(" ",99)),298,99)))-1),_Lookup!$A:$B,2,FALSE),"?")&amp;"×"&amp;MID(TRIM(MID(SUBSTITUTE(F157,";",REPT(" ",99)),298,99)),FIND(":",TRIM(MID(SUBSTITUTE(F157,";",REPT(" ",99)),298,99)))+1,99)),IF(TRIM(MID(SUBSTITUTE(F157,";",REPT(" ",99)),397,99))="","",IFERROR(VLOOKUP(--LEFT(TRIM(MID(SUBSTITUTE(F157,";",REPT(" ",99)),397,99)),FIND(":",TRIM(MID(SUBSTITUTE(F157,";",REPT(" ",99)),397,99)))-1),_Lookup!$A:$B,2,FALSE),"?")&amp;"×"&amp;MID(TRIM(MID(SUBSTITUTE(F157,";",REPT(" ",99)),397,99)),FIND(":",TRIM(MID(SUBSTITUTE(F157,";",REPT(" ",99)),397,99)))+1,99))))</f>
        <v/>
      </c>
    </row>
    <row r="158">
      <c r="C158" s="11">
        <f>IFERROR(VLOOKUP(B158,StageData!$A:$B,2,FALSE),"")</f>
        <v/>
      </c>
      <c r="G158" s="11">
        <f>IF(F158="","",TEXTJOIN("; ",TRUE,IF(TRIM(MID(SUBSTITUTE(F158,";",REPT(" ",99)),1,99))="","",IFERROR(VLOOKUP(--LEFT(TRIM(MID(SUBSTITUTE(F158,";",REPT(" ",99)),1,99)),FIND(":",TRIM(MID(SUBSTITUTE(F158,";",REPT(" ",99)),1,99)))-1),_Lookup!$A:$B,2,FALSE),"?")&amp;"×"&amp;MID(TRIM(MID(SUBSTITUTE(F158,";",REPT(" ",99)),1,99)),FIND(":",TRIM(MID(SUBSTITUTE(F158,";",REPT(" ",99)),1,99)))+1,99)),IF(TRIM(MID(SUBSTITUTE(F158,";",REPT(" ",99)),100,99))="","",IFERROR(VLOOKUP(--LEFT(TRIM(MID(SUBSTITUTE(F158,";",REPT(" ",99)),100,99)),FIND(":",TRIM(MID(SUBSTITUTE(F158,";",REPT(" ",99)),100,99)))-1),_Lookup!$A:$B,2,FALSE),"?")&amp;"×"&amp;MID(TRIM(MID(SUBSTITUTE(F158,";",REPT(" ",99)),100,99)),FIND(":",TRIM(MID(SUBSTITUTE(F158,";",REPT(" ",99)),100,99)))+1,99)),IF(TRIM(MID(SUBSTITUTE(F158,";",REPT(" ",99)),199,99))="","",IFERROR(VLOOKUP(--LEFT(TRIM(MID(SUBSTITUTE(F158,";",REPT(" ",99)),199,99)),FIND(":",TRIM(MID(SUBSTITUTE(F158,";",REPT(" ",99)),199,99)))-1),_Lookup!$A:$B,2,FALSE),"?")&amp;"×"&amp;MID(TRIM(MID(SUBSTITUTE(F158,";",REPT(" ",99)),199,99)),FIND(":",TRIM(MID(SUBSTITUTE(F158,";",REPT(" ",99)),199,99)))+1,99)),IF(TRIM(MID(SUBSTITUTE(F158,";",REPT(" ",99)),298,99))="","",IFERROR(VLOOKUP(--LEFT(TRIM(MID(SUBSTITUTE(F158,";",REPT(" ",99)),298,99)),FIND(":",TRIM(MID(SUBSTITUTE(F158,";",REPT(" ",99)),298,99)))-1),_Lookup!$A:$B,2,FALSE),"?")&amp;"×"&amp;MID(TRIM(MID(SUBSTITUTE(F158,";",REPT(" ",99)),298,99)),FIND(":",TRIM(MID(SUBSTITUTE(F158,";",REPT(" ",99)),298,99)))+1,99)),IF(TRIM(MID(SUBSTITUTE(F158,";",REPT(" ",99)),397,99))="","",IFERROR(VLOOKUP(--LEFT(TRIM(MID(SUBSTITUTE(F158,";",REPT(" ",99)),397,99)),FIND(":",TRIM(MID(SUBSTITUTE(F158,";",REPT(" ",99)),397,99)))-1),_Lookup!$A:$B,2,FALSE),"?")&amp;"×"&amp;MID(TRIM(MID(SUBSTITUTE(F158,";",REPT(" ",99)),397,99)),FIND(":",TRIM(MID(SUBSTITUTE(F158,";",REPT(" ",99)),397,99)))+1,99))))</f>
        <v/>
      </c>
    </row>
    <row r="159">
      <c r="C159" s="11">
        <f>IFERROR(VLOOKUP(B159,StageData!$A:$B,2,FALSE),"")</f>
        <v/>
      </c>
      <c r="G159" s="11">
        <f>IF(F159="","",TEXTJOIN("; ",TRUE,IF(TRIM(MID(SUBSTITUTE(F159,";",REPT(" ",99)),1,99))="","",IFERROR(VLOOKUP(--LEFT(TRIM(MID(SUBSTITUTE(F159,";",REPT(" ",99)),1,99)),FIND(":",TRIM(MID(SUBSTITUTE(F159,";",REPT(" ",99)),1,99)))-1),_Lookup!$A:$B,2,FALSE),"?")&amp;"×"&amp;MID(TRIM(MID(SUBSTITUTE(F159,";",REPT(" ",99)),1,99)),FIND(":",TRIM(MID(SUBSTITUTE(F159,";",REPT(" ",99)),1,99)))+1,99)),IF(TRIM(MID(SUBSTITUTE(F159,";",REPT(" ",99)),100,99))="","",IFERROR(VLOOKUP(--LEFT(TRIM(MID(SUBSTITUTE(F159,";",REPT(" ",99)),100,99)),FIND(":",TRIM(MID(SUBSTITUTE(F159,";",REPT(" ",99)),100,99)))-1),_Lookup!$A:$B,2,FALSE),"?")&amp;"×"&amp;MID(TRIM(MID(SUBSTITUTE(F159,";",REPT(" ",99)),100,99)),FIND(":",TRIM(MID(SUBSTITUTE(F159,";",REPT(" ",99)),100,99)))+1,99)),IF(TRIM(MID(SUBSTITUTE(F159,";",REPT(" ",99)),199,99))="","",IFERROR(VLOOKUP(--LEFT(TRIM(MID(SUBSTITUTE(F159,";",REPT(" ",99)),199,99)),FIND(":",TRIM(MID(SUBSTITUTE(F159,";",REPT(" ",99)),199,99)))-1),_Lookup!$A:$B,2,FALSE),"?")&amp;"×"&amp;MID(TRIM(MID(SUBSTITUTE(F159,";",REPT(" ",99)),199,99)),FIND(":",TRIM(MID(SUBSTITUTE(F159,";",REPT(" ",99)),199,99)))+1,99)),IF(TRIM(MID(SUBSTITUTE(F159,";",REPT(" ",99)),298,99))="","",IFERROR(VLOOKUP(--LEFT(TRIM(MID(SUBSTITUTE(F159,";",REPT(" ",99)),298,99)),FIND(":",TRIM(MID(SUBSTITUTE(F159,";",REPT(" ",99)),298,99)))-1),_Lookup!$A:$B,2,FALSE),"?")&amp;"×"&amp;MID(TRIM(MID(SUBSTITUTE(F159,";",REPT(" ",99)),298,99)),FIND(":",TRIM(MID(SUBSTITUTE(F159,";",REPT(" ",99)),298,99)))+1,99)),IF(TRIM(MID(SUBSTITUTE(F159,";",REPT(" ",99)),397,99))="","",IFERROR(VLOOKUP(--LEFT(TRIM(MID(SUBSTITUTE(F159,";",REPT(" ",99)),397,99)),FIND(":",TRIM(MID(SUBSTITUTE(F159,";",REPT(" ",99)),397,99)))-1),_Lookup!$A:$B,2,FALSE),"?")&amp;"×"&amp;MID(TRIM(MID(SUBSTITUTE(F159,";",REPT(" ",99)),397,99)),FIND(":",TRIM(MID(SUBSTITUTE(F159,";",REPT(" ",99)),397,99)))+1,99))))</f>
        <v/>
      </c>
    </row>
    <row r="160">
      <c r="C160" s="11">
        <f>IFERROR(VLOOKUP(B160,StageData!$A:$B,2,FALSE),"")</f>
        <v/>
      </c>
      <c r="G160" s="11">
        <f>IF(F160="","",TEXTJOIN("; ",TRUE,IF(TRIM(MID(SUBSTITUTE(F160,";",REPT(" ",99)),1,99))="","",IFERROR(VLOOKUP(--LEFT(TRIM(MID(SUBSTITUTE(F160,";",REPT(" ",99)),1,99)),FIND(":",TRIM(MID(SUBSTITUTE(F160,";",REPT(" ",99)),1,99)))-1),_Lookup!$A:$B,2,FALSE),"?")&amp;"×"&amp;MID(TRIM(MID(SUBSTITUTE(F160,";",REPT(" ",99)),1,99)),FIND(":",TRIM(MID(SUBSTITUTE(F160,";",REPT(" ",99)),1,99)))+1,99)),IF(TRIM(MID(SUBSTITUTE(F160,";",REPT(" ",99)),100,99))="","",IFERROR(VLOOKUP(--LEFT(TRIM(MID(SUBSTITUTE(F160,";",REPT(" ",99)),100,99)),FIND(":",TRIM(MID(SUBSTITUTE(F160,";",REPT(" ",99)),100,99)))-1),_Lookup!$A:$B,2,FALSE),"?")&amp;"×"&amp;MID(TRIM(MID(SUBSTITUTE(F160,";",REPT(" ",99)),100,99)),FIND(":",TRIM(MID(SUBSTITUTE(F160,";",REPT(" ",99)),100,99)))+1,99)),IF(TRIM(MID(SUBSTITUTE(F160,";",REPT(" ",99)),199,99))="","",IFERROR(VLOOKUP(--LEFT(TRIM(MID(SUBSTITUTE(F160,";",REPT(" ",99)),199,99)),FIND(":",TRIM(MID(SUBSTITUTE(F160,";",REPT(" ",99)),199,99)))-1),_Lookup!$A:$B,2,FALSE),"?")&amp;"×"&amp;MID(TRIM(MID(SUBSTITUTE(F160,";",REPT(" ",99)),199,99)),FIND(":",TRIM(MID(SUBSTITUTE(F160,";",REPT(" ",99)),199,99)))+1,99)),IF(TRIM(MID(SUBSTITUTE(F160,";",REPT(" ",99)),298,99))="","",IFERROR(VLOOKUP(--LEFT(TRIM(MID(SUBSTITUTE(F160,";",REPT(" ",99)),298,99)),FIND(":",TRIM(MID(SUBSTITUTE(F160,";",REPT(" ",99)),298,99)))-1),_Lookup!$A:$B,2,FALSE),"?")&amp;"×"&amp;MID(TRIM(MID(SUBSTITUTE(F160,";",REPT(" ",99)),298,99)),FIND(":",TRIM(MID(SUBSTITUTE(F160,";",REPT(" ",99)),298,99)))+1,99)),IF(TRIM(MID(SUBSTITUTE(F160,";",REPT(" ",99)),397,99))="","",IFERROR(VLOOKUP(--LEFT(TRIM(MID(SUBSTITUTE(F160,";",REPT(" ",99)),397,99)),FIND(":",TRIM(MID(SUBSTITUTE(F160,";",REPT(" ",99)),397,99)))-1),_Lookup!$A:$B,2,FALSE),"?")&amp;"×"&amp;MID(TRIM(MID(SUBSTITUTE(F160,";",REPT(" ",99)),397,99)),FIND(":",TRIM(MID(SUBSTITUTE(F160,";",REPT(" ",99)),397,99)))+1,99))))</f>
        <v/>
      </c>
    </row>
    <row r="161">
      <c r="C161" s="11">
        <f>IFERROR(VLOOKUP(B161,StageData!$A:$B,2,FALSE),"")</f>
        <v/>
      </c>
      <c r="G161" s="11">
        <f>IF(F161="","",TEXTJOIN("; ",TRUE,IF(TRIM(MID(SUBSTITUTE(F161,";",REPT(" ",99)),1,99))="","",IFERROR(VLOOKUP(--LEFT(TRIM(MID(SUBSTITUTE(F161,";",REPT(" ",99)),1,99)),FIND(":",TRIM(MID(SUBSTITUTE(F161,";",REPT(" ",99)),1,99)))-1),_Lookup!$A:$B,2,FALSE),"?")&amp;"×"&amp;MID(TRIM(MID(SUBSTITUTE(F161,";",REPT(" ",99)),1,99)),FIND(":",TRIM(MID(SUBSTITUTE(F161,";",REPT(" ",99)),1,99)))+1,99)),IF(TRIM(MID(SUBSTITUTE(F161,";",REPT(" ",99)),100,99))="","",IFERROR(VLOOKUP(--LEFT(TRIM(MID(SUBSTITUTE(F161,";",REPT(" ",99)),100,99)),FIND(":",TRIM(MID(SUBSTITUTE(F161,";",REPT(" ",99)),100,99)))-1),_Lookup!$A:$B,2,FALSE),"?")&amp;"×"&amp;MID(TRIM(MID(SUBSTITUTE(F161,";",REPT(" ",99)),100,99)),FIND(":",TRIM(MID(SUBSTITUTE(F161,";",REPT(" ",99)),100,99)))+1,99)),IF(TRIM(MID(SUBSTITUTE(F161,";",REPT(" ",99)),199,99))="","",IFERROR(VLOOKUP(--LEFT(TRIM(MID(SUBSTITUTE(F161,";",REPT(" ",99)),199,99)),FIND(":",TRIM(MID(SUBSTITUTE(F161,";",REPT(" ",99)),199,99)))-1),_Lookup!$A:$B,2,FALSE),"?")&amp;"×"&amp;MID(TRIM(MID(SUBSTITUTE(F161,";",REPT(" ",99)),199,99)),FIND(":",TRIM(MID(SUBSTITUTE(F161,";",REPT(" ",99)),199,99)))+1,99)),IF(TRIM(MID(SUBSTITUTE(F161,";",REPT(" ",99)),298,99))="","",IFERROR(VLOOKUP(--LEFT(TRIM(MID(SUBSTITUTE(F161,";",REPT(" ",99)),298,99)),FIND(":",TRIM(MID(SUBSTITUTE(F161,";",REPT(" ",99)),298,99)))-1),_Lookup!$A:$B,2,FALSE),"?")&amp;"×"&amp;MID(TRIM(MID(SUBSTITUTE(F161,";",REPT(" ",99)),298,99)),FIND(":",TRIM(MID(SUBSTITUTE(F161,";",REPT(" ",99)),298,99)))+1,99)),IF(TRIM(MID(SUBSTITUTE(F161,";",REPT(" ",99)),397,99))="","",IFERROR(VLOOKUP(--LEFT(TRIM(MID(SUBSTITUTE(F161,";",REPT(" ",99)),397,99)),FIND(":",TRIM(MID(SUBSTITUTE(F161,";",REPT(" ",99)),397,99)))-1),_Lookup!$A:$B,2,FALSE),"?")&amp;"×"&amp;MID(TRIM(MID(SUBSTITUTE(F161,";",REPT(" ",99)),397,99)),FIND(":",TRIM(MID(SUBSTITUTE(F161,";",REPT(" ",99)),397,99)))+1,99))))</f>
        <v/>
      </c>
    </row>
    <row r="162">
      <c r="C162" s="11">
        <f>IFERROR(VLOOKUP(B162,StageData!$A:$B,2,FALSE),"")</f>
        <v/>
      </c>
      <c r="G162" s="11">
        <f>IF(F162="","",TEXTJOIN("; ",TRUE,IF(TRIM(MID(SUBSTITUTE(F162,";",REPT(" ",99)),1,99))="","",IFERROR(VLOOKUP(--LEFT(TRIM(MID(SUBSTITUTE(F162,";",REPT(" ",99)),1,99)),FIND(":",TRIM(MID(SUBSTITUTE(F162,";",REPT(" ",99)),1,99)))-1),_Lookup!$A:$B,2,FALSE),"?")&amp;"×"&amp;MID(TRIM(MID(SUBSTITUTE(F162,";",REPT(" ",99)),1,99)),FIND(":",TRIM(MID(SUBSTITUTE(F162,";",REPT(" ",99)),1,99)))+1,99)),IF(TRIM(MID(SUBSTITUTE(F162,";",REPT(" ",99)),100,99))="","",IFERROR(VLOOKUP(--LEFT(TRIM(MID(SUBSTITUTE(F162,";",REPT(" ",99)),100,99)),FIND(":",TRIM(MID(SUBSTITUTE(F162,";",REPT(" ",99)),100,99)))-1),_Lookup!$A:$B,2,FALSE),"?")&amp;"×"&amp;MID(TRIM(MID(SUBSTITUTE(F162,";",REPT(" ",99)),100,99)),FIND(":",TRIM(MID(SUBSTITUTE(F162,";",REPT(" ",99)),100,99)))+1,99)),IF(TRIM(MID(SUBSTITUTE(F162,";",REPT(" ",99)),199,99))="","",IFERROR(VLOOKUP(--LEFT(TRIM(MID(SUBSTITUTE(F162,";",REPT(" ",99)),199,99)),FIND(":",TRIM(MID(SUBSTITUTE(F162,";",REPT(" ",99)),199,99)))-1),_Lookup!$A:$B,2,FALSE),"?")&amp;"×"&amp;MID(TRIM(MID(SUBSTITUTE(F162,";",REPT(" ",99)),199,99)),FIND(":",TRIM(MID(SUBSTITUTE(F162,";",REPT(" ",99)),199,99)))+1,99)),IF(TRIM(MID(SUBSTITUTE(F162,";",REPT(" ",99)),298,99))="","",IFERROR(VLOOKUP(--LEFT(TRIM(MID(SUBSTITUTE(F162,";",REPT(" ",99)),298,99)),FIND(":",TRIM(MID(SUBSTITUTE(F162,";",REPT(" ",99)),298,99)))-1),_Lookup!$A:$B,2,FALSE),"?")&amp;"×"&amp;MID(TRIM(MID(SUBSTITUTE(F162,";",REPT(" ",99)),298,99)),FIND(":",TRIM(MID(SUBSTITUTE(F162,";",REPT(" ",99)),298,99)))+1,99)),IF(TRIM(MID(SUBSTITUTE(F162,";",REPT(" ",99)),397,99))="","",IFERROR(VLOOKUP(--LEFT(TRIM(MID(SUBSTITUTE(F162,";",REPT(" ",99)),397,99)),FIND(":",TRIM(MID(SUBSTITUTE(F162,";",REPT(" ",99)),397,99)))-1),_Lookup!$A:$B,2,FALSE),"?")&amp;"×"&amp;MID(TRIM(MID(SUBSTITUTE(F162,";",REPT(" ",99)),397,99)),FIND(":",TRIM(MID(SUBSTITUTE(F162,";",REPT(" ",99)),397,99)))+1,99))))</f>
        <v/>
      </c>
    </row>
    <row r="163">
      <c r="C163" s="11">
        <f>IFERROR(VLOOKUP(B163,StageData!$A:$B,2,FALSE),"")</f>
        <v/>
      </c>
      <c r="G163" s="11">
        <f>IF(F163="","",TEXTJOIN("; ",TRUE,IF(TRIM(MID(SUBSTITUTE(F163,";",REPT(" ",99)),1,99))="","",IFERROR(VLOOKUP(--LEFT(TRIM(MID(SUBSTITUTE(F163,";",REPT(" ",99)),1,99)),FIND(":",TRIM(MID(SUBSTITUTE(F163,";",REPT(" ",99)),1,99)))-1),_Lookup!$A:$B,2,FALSE),"?")&amp;"×"&amp;MID(TRIM(MID(SUBSTITUTE(F163,";",REPT(" ",99)),1,99)),FIND(":",TRIM(MID(SUBSTITUTE(F163,";",REPT(" ",99)),1,99)))+1,99)),IF(TRIM(MID(SUBSTITUTE(F163,";",REPT(" ",99)),100,99))="","",IFERROR(VLOOKUP(--LEFT(TRIM(MID(SUBSTITUTE(F163,";",REPT(" ",99)),100,99)),FIND(":",TRIM(MID(SUBSTITUTE(F163,";",REPT(" ",99)),100,99)))-1),_Lookup!$A:$B,2,FALSE),"?")&amp;"×"&amp;MID(TRIM(MID(SUBSTITUTE(F163,";",REPT(" ",99)),100,99)),FIND(":",TRIM(MID(SUBSTITUTE(F163,";",REPT(" ",99)),100,99)))+1,99)),IF(TRIM(MID(SUBSTITUTE(F163,";",REPT(" ",99)),199,99))="","",IFERROR(VLOOKUP(--LEFT(TRIM(MID(SUBSTITUTE(F163,";",REPT(" ",99)),199,99)),FIND(":",TRIM(MID(SUBSTITUTE(F163,";",REPT(" ",99)),199,99)))-1),_Lookup!$A:$B,2,FALSE),"?")&amp;"×"&amp;MID(TRIM(MID(SUBSTITUTE(F163,";",REPT(" ",99)),199,99)),FIND(":",TRIM(MID(SUBSTITUTE(F163,";",REPT(" ",99)),199,99)))+1,99)),IF(TRIM(MID(SUBSTITUTE(F163,";",REPT(" ",99)),298,99))="","",IFERROR(VLOOKUP(--LEFT(TRIM(MID(SUBSTITUTE(F163,";",REPT(" ",99)),298,99)),FIND(":",TRIM(MID(SUBSTITUTE(F163,";",REPT(" ",99)),298,99)))-1),_Lookup!$A:$B,2,FALSE),"?")&amp;"×"&amp;MID(TRIM(MID(SUBSTITUTE(F163,";",REPT(" ",99)),298,99)),FIND(":",TRIM(MID(SUBSTITUTE(F163,";",REPT(" ",99)),298,99)))+1,99)),IF(TRIM(MID(SUBSTITUTE(F163,";",REPT(" ",99)),397,99))="","",IFERROR(VLOOKUP(--LEFT(TRIM(MID(SUBSTITUTE(F163,";",REPT(" ",99)),397,99)),FIND(":",TRIM(MID(SUBSTITUTE(F163,";",REPT(" ",99)),397,99)))-1),_Lookup!$A:$B,2,FALSE),"?")&amp;"×"&amp;MID(TRIM(MID(SUBSTITUTE(F163,";",REPT(" ",99)),397,99)),FIND(":",TRIM(MID(SUBSTITUTE(F163,";",REPT(" ",99)),397,99)))+1,99))))</f>
        <v/>
      </c>
    </row>
    <row r="164">
      <c r="C164" s="11">
        <f>IFERROR(VLOOKUP(B164,StageData!$A:$B,2,FALSE),"")</f>
        <v/>
      </c>
      <c r="G164" s="11">
        <f>IF(F164="","",TEXTJOIN("; ",TRUE,IF(TRIM(MID(SUBSTITUTE(F164,";",REPT(" ",99)),1,99))="","",IFERROR(VLOOKUP(--LEFT(TRIM(MID(SUBSTITUTE(F164,";",REPT(" ",99)),1,99)),FIND(":",TRIM(MID(SUBSTITUTE(F164,";",REPT(" ",99)),1,99)))-1),_Lookup!$A:$B,2,FALSE),"?")&amp;"×"&amp;MID(TRIM(MID(SUBSTITUTE(F164,";",REPT(" ",99)),1,99)),FIND(":",TRIM(MID(SUBSTITUTE(F164,";",REPT(" ",99)),1,99)))+1,99)),IF(TRIM(MID(SUBSTITUTE(F164,";",REPT(" ",99)),100,99))="","",IFERROR(VLOOKUP(--LEFT(TRIM(MID(SUBSTITUTE(F164,";",REPT(" ",99)),100,99)),FIND(":",TRIM(MID(SUBSTITUTE(F164,";",REPT(" ",99)),100,99)))-1),_Lookup!$A:$B,2,FALSE),"?")&amp;"×"&amp;MID(TRIM(MID(SUBSTITUTE(F164,";",REPT(" ",99)),100,99)),FIND(":",TRIM(MID(SUBSTITUTE(F164,";",REPT(" ",99)),100,99)))+1,99)),IF(TRIM(MID(SUBSTITUTE(F164,";",REPT(" ",99)),199,99))="","",IFERROR(VLOOKUP(--LEFT(TRIM(MID(SUBSTITUTE(F164,";",REPT(" ",99)),199,99)),FIND(":",TRIM(MID(SUBSTITUTE(F164,";",REPT(" ",99)),199,99)))-1),_Lookup!$A:$B,2,FALSE),"?")&amp;"×"&amp;MID(TRIM(MID(SUBSTITUTE(F164,";",REPT(" ",99)),199,99)),FIND(":",TRIM(MID(SUBSTITUTE(F164,";",REPT(" ",99)),199,99)))+1,99)),IF(TRIM(MID(SUBSTITUTE(F164,";",REPT(" ",99)),298,99))="","",IFERROR(VLOOKUP(--LEFT(TRIM(MID(SUBSTITUTE(F164,";",REPT(" ",99)),298,99)),FIND(":",TRIM(MID(SUBSTITUTE(F164,";",REPT(" ",99)),298,99)))-1),_Lookup!$A:$B,2,FALSE),"?")&amp;"×"&amp;MID(TRIM(MID(SUBSTITUTE(F164,";",REPT(" ",99)),298,99)),FIND(":",TRIM(MID(SUBSTITUTE(F164,";",REPT(" ",99)),298,99)))+1,99)),IF(TRIM(MID(SUBSTITUTE(F164,";",REPT(" ",99)),397,99))="","",IFERROR(VLOOKUP(--LEFT(TRIM(MID(SUBSTITUTE(F164,";",REPT(" ",99)),397,99)),FIND(":",TRIM(MID(SUBSTITUTE(F164,";",REPT(" ",99)),397,99)))-1),_Lookup!$A:$B,2,FALSE),"?")&amp;"×"&amp;MID(TRIM(MID(SUBSTITUTE(F164,";",REPT(" ",99)),397,99)),FIND(":",TRIM(MID(SUBSTITUTE(F164,";",REPT(" ",99)),397,99)))+1,99))))</f>
        <v/>
      </c>
    </row>
    <row r="165">
      <c r="C165" s="11">
        <f>IFERROR(VLOOKUP(B165,StageData!$A:$B,2,FALSE),"")</f>
        <v/>
      </c>
      <c r="G165" s="11">
        <f>IF(F165="","",TEXTJOIN("; ",TRUE,IF(TRIM(MID(SUBSTITUTE(F165,";",REPT(" ",99)),1,99))="","",IFERROR(VLOOKUP(--LEFT(TRIM(MID(SUBSTITUTE(F165,";",REPT(" ",99)),1,99)),FIND(":",TRIM(MID(SUBSTITUTE(F165,";",REPT(" ",99)),1,99)))-1),_Lookup!$A:$B,2,FALSE),"?")&amp;"×"&amp;MID(TRIM(MID(SUBSTITUTE(F165,";",REPT(" ",99)),1,99)),FIND(":",TRIM(MID(SUBSTITUTE(F165,";",REPT(" ",99)),1,99)))+1,99)),IF(TRIM(MID(SUBSTITUTE(F165,";",REPT(" ",99)),100,99))="","",IFERROR(VLOOKUP(--LEFT(TRIM(MID(SUBSTITUTE(F165,";",REPT(" ",99)),100,99)),FIND(":",TRIM(MID(SUBSTITUTE(F165,";",REPT(" ",99)),100,99)))-1),_Lookup!$A:$B,2,FALSE),"?")&amp;"×"&amp;MID(TRIM(MID(SUBSTITUTE(F165,";",REPT(" ",99)),100,99)),FIND(":",TRIM(MID(SUBSTITUTE(F165,";",REPT(" ",99)),100,99)))+1,99)),IF(TRIM(MID(SUBSTITUTE(F165,";",REPT(" ",99)),199,99))="","",IFERROR(VLOOKUP(--LEFT(TRIM(MID(SUBSTITUTE(F165,";",REPT(" ",99)),199,99)),FIND(":",TRIM(MID(SUBSTITUTE(F165,";",REPT(" ",99)),199,99)))-1),_Lookup!$A:$B,2,FALSE),"?")&amp;"×"&amp;MID(TRIM(MID(SUBSTITUTE(F165,";",REPT(" ",99)),199,99)),FIND(":",TRIM(MID(SUBSTITUTE(F165,";",REPT(" ",99)),199,99)))+1,99)),IF(TRIM(MID(SUBSTITUTE(F165,";",REPT(" ",99)),298,99))="","",IFERROR(VLOOKUP(--LEFT(TRIM(MID(SUBSTITUTE(F165,";",REPT(" ",99)),298,99)),FIND(":",TRIM(MID(SUBSTITUTE(F165,";",REPT(" ",99)),298,99)))-1),_Lookup!$A:$B,2,FALSE),"?")&amp;"×"&amp;MID(TRIM(MID(SUBSTITUTE(F165,";",REPT(" ",99)),298,99)),FIND(":",TRIM(MID(SUBSTITUTE(F165,";",REPT(" ",99)),298,99)))+1,99)),IF(TRIM(MID(SUBSTITUTE(F165,";",REPT(" ",99)),397,99))="","",IFERROR(VLOOKUP(--LEFT(TRIM(MID(SUBSTITUTE(F165,";",REPT(" ",99)),397,99)),FIND(":",TRIM(MID(SUBSTITUTE(F165,";",REPT(" ",99)),397,99)))-1),_Lookup!$A:$B,2,FALSE),"?")&amp;"×"&amp;MID(TRIM(MID(SUBSTITUTE(F165,";",REPT(" ",99)),397,99)),FIND(":",TRIM(MID(SUBSTITUTE(F165,";",REPT(" ",99)),397,99)))+1,99))))</f>
        <v/>
      </c>
    </row>
    <row r="166">
      <c r="C166" s="11">
        <f>IFERROR(VLOOKUP(B166,StageData!$A:$B,2,FALSE),"")</f>
        <v/>
      </c>
      <c r="G166" s="11">
        <f>IF(F166="","",TEXTJOIN("; ",TRUE,IF(TRIM(MID(SUBSTITUTE(F166,";",REPT(" ",99)),1,99))="","",IFERROR(VLOOKUP(--LEFT(TRIM(MID(SUBSTITUTE(F166,";",REPT(" ",99)),1,99)),FIND(":",TRIM(MID(SUBSTITUTE(F166,";",REPT(" ",99)),1,99)))-1),_Lookup!$A:$B,2,FALSE),"?")&amp;"×"&amp;MID(TRIM(MID(SUBSTITUTE(F166,";",REPT(" ",99)),1,99)),FIND(":",TRIM(MID(SUBSTITUTE(F166,";",REPT(" ",99)),1,99)))+1,99)),IF(TRIM(MID(SUBSTITUTE(F166,";",REPT(" ",99)),100,99))="","",IFERROR(VLOOKUP(--LEFT(TRIM(MID(SUBSTITUTE(F166,";",REPT(" ",99)),100,99)),FIND(":",TRIM(MID(SUBSTITUTE(F166,";",REPT(" ",99)),100,99)))-1),_Lookup!$A:$B,2,FALSE),"?")&amp;"×"&amp;MID(TRIM(MID(SUBSTITUTE(F166,";",REPT(" ",99)),100,99)),FIND(":",TRIM(MID(SUBSTITUTE(F166,";",REPT(" ",99)),100,99)))+1,99)),IF(TRIM(MID(SUBSTITUTE(F166,";",REPT(" ",99)),199,99))="","",IFERROR(VLOOKUP(--LEFT(TRIM(MID(SUBSTITUTE(F166,";",REPT(" ",99)),199,99)),FIND(":",TRIM(MID(SUBSTITUTE(F166,";",REPT(" ",99)),199,99)))-1),_Lookup!$A:$B,2,FALSE),"?")&amp;"×"&amp;MID(TRIM(MID(SUBSTITUTE(F166,";",REPT(" ",99)),199,99)),FIND(":",TRIM(MID(SUBSTITUTE(F166,";",REPT(" ",99)),199,99)))+1,99)),IF(TRIM(MID(SUBSTITUTE(F166,";",REPT(" ",99)),298,99))="","",IFERROR(VLOOKUP(--LEFT(TRIM(MID(SUBSTITUTE(F166,";",REPT(" ",99)),298,99)),FIND(":",TRIM(MID(SUBSTITUTE(F166,";",REPT(" ",99)),298,99)))-1),_Lookup!$A:$B,2,FALSE),"?")&amp;"×"&amp;MID(TRIM(MID(SUBSTITUTE(F166,";",REPT(" ",99)),298,99)),FIND(":",TRIM(MID(SUBSTITUTE(F166,";",REPT(" ",99)),298,99)))+1,99)),IF(TRIM(MID(SUBSTITUTE(F166,";",REPT(" ",99)),397,99))="","",IFERROR(VLOOKUP(--LEFT(TRIM(MID(SUBSTITUTE(F166,";",REPT(" ",99)),397,99)),FIND(":",TRIM(MID(SUBSTITUTE(F166,";",REPT(" ",99)),397,99)))-1),_Lookup!$A:$B,2,FALSE),"?")&amp;"×"&amp;MID(TRIM(MID(SUBSTITUTE(F166,";",REPT(" ",99)),397,99)),FIND(":",TRIM(MID(SUBSTITUTE(F166,";",REPT(" ",99)),397,99)))+1,99))))</f>
        <v/>
      </c>
    </row>
    <row r="167">
      <c r="C167" s="11">
        <f>IFERROR(VLOOKUP(B167,StageData!$A:$B,2,FALSE),"")</f>
        <v/>
      </c>
      <c r="G167" s="11">
        <f>IF(F167="","",TEXTJOIN("; ",TRUE,IF(TRIM(MID(SUBSTITUTE(F167,";",REPT(" ",99)),1,99))="","",IFERROR(VLOOKUP(--LEFT(TRIM(MID(SUBSTITUTE(F167,";",REPT(" ",99)),1,99)),FIND(":",TRIM(MID(SUBSTITUTE(F167,";",REPT(" ",99)),1,99)))-1),_Lookup!$A:$B,2,FALSE),"?")&amp;"×"&amp;MID(TRIM(MID(SUBSTITUTE(F167,";",REPT(" ",99)),1,99)),FIND(":",TRIM(MID(SUBSTITUTE(F167,";",REPT(" ",99)),1,99)))+1,99)),IF(TRIM(MID(SUBSTITUTE(F167,";",REPT(" ",99)),100,99))="","",IFERROR(VLOOKUP(--LEFT(TRIM(MID(SUBSTITUTE(F167,";",REPT(" ",99)),100,99)),FIND(":",TRIM(MID(SUBSTITUTE(F167,";",REPT(" ",99)),100,99)))-1),_Lookup!$A:$B,2,FALSE),"?")&amp;"×"&amp;MID(TRIM(MID(SUBSTITUTE(F167,";",REPT(" ",99)),100,99)),FIND(":",TRIM(MID(SUBSTITUTE(F167,";",REPT(" ",99)),100,99)))+1,99)),IF(TRIM(MID(SUBSTITUTE(F167,";",REPT(" ",99)),199,99))="","",IFERROR(VLOOKUP(--LEFT(TRIM(MID(SUBSTITUTE(F167,";",REPT(" ",99)),199,99)),FIND(":",TRIM(MID(SUBSTITUTE(F167,";",REPT(" ",99)),199,99)))-1),_Lookup!$A:$B,2,FALSE),"?")&amp;"×"&amp;MID(TRIM(MID(SUBSTITUTE(F167,";",REPT(" ",99)),199,99)),FIND(":",TRIM(MID(SUBSTITUTE(F167,";",REPT(" ",99)),199,99)))+1,99)),IF(TRIM(MID(SUBSTITUTE(F167,";",REPT(" ",99)),298,99))="","",IFERROR(VLOOKUP(--LEFT(TRIM(MID(SUBSTITUTE(F167,";",REPT(" ",99)),298,99)),FIND(":",TRIM(MID(SUBSTITUTE(F167,";",REPT(" ",99)),298,99)))-1),_Lookup!$A:$B,2,FALSE),"?")&amp;"×"&amp;MID(TRIM(MID(SUBSTITUTE(F167,";",REPT(" ",99)),298,99)),FIND(":",TRIM(MID(SUBSTITUTE(F167,";",REPT(" ",99)),298,99)))+1,99)),IF(TRIM(MID(SUBSTITUTE(F167,";",REPT(" ",99)),397,99))="","",IFERROR(VLOOKUP(--LEFT(TRIM(MID(SUBSTITUTE(F167,";",REPT(" ",99)),397,99)),FIND(":",TRIM(MID(SUBSTITUTE(F167,";",REPT(" ",99)),397,99)))-1),_Lookup!$A:$B,2,FALSE),"?")&amp;"×"&amp;MID(TRIM(MID(SUBSTITUTE(F167,";",REPT(" ",99)),397,99)),FIND(":",TRIM(MID(SUBSTITUTE(F167,";",REPT(" ",99)),397,99)))+1,99))))</f>
        <v/>
      </c>
    </row>
    <row r="168">
      <c r="C168" s="11">
        <f>IFERROR(VLOOKUP(B168,StageData!$A:$B,2,FALSE),"")</f>
        <v/>
      </c>
      <c r="G168" s="11">
        <f>IF(F168="","",TEXTJOIN("; ",TRUE,IF(TRIM(MID(SUBSTITUTE(F168,";",REPT(" ",99)),1,99))="","",IFERROR(VLOOKUP(--LEFT(TRIM(MID(SUBSTITUTE(F168,";",REPT(" ",99)),1,99)),FIND(":",TRIM(MID(SUBSTITUTE(F168,";",REPT(" ",99)),1,99)))-1),_Lookup!$A:$B,2,FALSE),"?")&amp;"×"&amp;MID(TRIM(MID(SUBSTITUTE(F168,";",REPT(" ",99)),1,99)),FIND(":",TRIM(MID(SUBSTITUTE(F168,";",REPT(" ",99)),1,99)))+1,99)),IF(TRIM(MID(SUBSTITUTE(F168,";",REPT(" ",99)),100,99))="","",IFERROR(VLOOKUP(--LEFT(TRIM(MID(SUBSTITUTE(F168,";",REPT(" ",99)),100,99)),FIND(":",TRIM(MID(SUBSTITUTE(F168,";",REPT(" ",99)),100,99)))-1),_Lookup!$A:$B,2,FALSE),"?")&amp;"×"&amp;MID(TRIM(MID(SUBSTITUTE(F168,";",REPT(" ",99)),100,99)),FIND(":",TRIM(MID(SUBSTITUTE(F168,";",REPT(" ",99)),100,99)))+1,99)),IF(TRIM(MID(SUBSTITUTE(F168,";",REPT(" ",99)),199,99))="","",IFERROR(VLOOKUP(--LEFT(TRIM(MID(SUBSTITUTE(F168,";",REPT(" ",99)),199,99)),FIND(":",TRIM(MID(SUBSTITUTE(F168,";",REPT(" ",99)),199,99)))-1),_Lookup!$A:$B,2,FALSE),"?")&amp;"×"&amp;MID(TRIM(MID(SUBSTITUTE(F168,";",REPT(" ",99)),199,99)),FIND(":",TRIM(MID(SUBSTITUTE(F168,";",REPT(" ",99)),199,99)))+1,99)),IF(TRIM(MID(SUBSTITUTE(F168,";",REPT(" ",99)),298,99))="","",IFERROR(VLOOKUP(--LEFT(TRIM(MID(SUBSTITUTE(F168,";",REPT(" ",99)),298,99)),FIND(":",TRIM(MID(SUBSTITUTE(F168,";",REPT(" ",99)),298,99)))-1),_Lookup!$A:$B,2,FALSE),"?")&amp;"×"&amp;MID(TRIM(MID(SUBSTITUTE(F168,";",REPT(" ",99)),298,99)),FIND(":",TRIM(MID(SUBSTITUTE(F168,";",REPT(" ",99)),298,99)))+1,99)),IF(TRIM(MID(SUBSTITUTE(F168,";",REPT(" ",99)),397,99))="","",IFERROR(VLOOKUP(--LEFT(TRIM(MID(SUBSTITUTE(F168,";",REPT(" ",99)),397,99)),FIND(":",TRIM(MID(SUBSTITUTE(F168,";",REPT(" ",99)),397,99)))-1),_Lookup!$A:$B,2,FALSE),"?")&amp;"×"&amp;MID(TRIM(MID(SUBSTITUTE(F168,";",REPT(" ",99)),397,99)),FIND(":",TRIM(MID(SUBSTITUTE(F168,";",REPT(" ",99)),397,99)))+1,99))))</f>
        <v/>
      </c>
    </row>
    <row r="169">
      <c r="C169" s="11">
        <f>IFERROR(VLOOKUP(B169,StageData!$A:$B,2,FALSE),"")</f>
        <v/>
      </c>
      <c r="G169" s="11">
        <f>IF(F169="","",TEXTJOIN("; ",TRUE,IF(TRIM(MID(SUBSTITUTE(F169,";",REPT(" ",99)),1,99))="","",IFERROR(VLOOKUP(--LEFT(TRIM(MID(SUBSTITUTE(F169,";",REPT(" ",99)),1,99)),FIND(":",TRIM(MID(SUBSTITUTE(F169,";",REPT(" ",99)),1,99)))-1),_Lookup!$A:$B,2,FALSE),"?")&amp;"×"&amp;MID(TRIM(MID(SUBSTITUTE(F169,";",REPT(" ",99)),1,99)),FIND(":",TRIM(MID(SUBSTITUTE(F169,";",REPT(" ",99)),1,99)))+1,99)),IF(TRIM(MID(SUBSTITUTE(F169,";",REPT(" ",99)),100,99))="","",IFERROR(VLOOKUP(--LEFT(TRIM(MID(SUBSTITUTE(F169,";",REPT(" ",99)),100,99)),FIND(":",TRIM(MID(SUBSTITUTE(F169,";",REPT(" ",99)),100,99)))-1),_Lookup!$A:$B,2,FALSE),"?")&amp;"×"&amp;MID(TRIM(MID(SUBSTITUTE(F169,";",REPT(" ",99)),100,99)),FIND(":",TRIM(MID(SUBSTITUTE(F169,";",REPT(" ",99)),100,99)))+1,99)),IF(TRIM(MID(SUBSTITUTE(F169,";",REPT(" ",99)),199,99))="","",IFERROR(VLOOKUP(--LEFT(TRIM(MID(SUBSTITUTE(F169,";",REPT(" ",99)),199,99)),FIND(":",TRIM(MID(SUBSTITUTE(F169,";",REPT(" ",99)),199,99)))-1),_Lookup!$A:$B,2,FALSE),"?")&amp;"×"&amp;MID(TRIM(MID(SUBSTITUTE(F169,";",REPT(" ",99)),199,99)),FIND(":",TRIM(MID(SUBSTITUTE(F169,";",REPT(" ",99)),199,99)))+1,99)),IF(TRIM(MID(SUBSTITUTE(F169,";",REPT(" ",99)),298,99))="","",IFERROR(VLOOKUP(--LEFT(TRIM(MID(SUBSTITUTE(F169,";",REPT(" ",99)),298,99)),FIND(":",TRIM(MID(SUBSTITUTE(F169,";",REPT(" ",99)),298,99)))-1),_Lookup!$A:$B,2,FALSE),"?")&amp;"×"&amp;MID(TRIM(MID(SUBSTITUTE(F169,";",REPT(" ",99)),298,99)),FIND(":",TRIM(MID(SUBSTITUTE(F169,";",REPT(" ",99)),298,99)))+1,99)),IF(TRIM(MID(SUBSTITUTE(F169,";",REPT(" ",99)),397,99))="","",IFERROR(VLOOKUP(--LEFT(TRIM(MID(SUBSTITUTE(F169,";",REPT(" ",99)),397,99)),FIND(":",TRIM(MID(SUBSTITUTE(F169,";",REPT(" ",99)),397,99)))-1),_Lookup!$A:$B,2,FALSE),"?")&amp;"×"&amp;MID(TRIM(MID(SUBSTITUTE(F169,";",REPT(" ",99)),397,99)),FIND(":",TRIM(MID(SUBSTITUTE(F169,";",REPT(" ",99)),397,99)))+1,99))))</f>
        <v/>
      </c>
    </row>
    <row r="170">
      <c r="C170" s="11">
        <f>IFERROR(VLOOKUP(B170,StageData!$A:$B,2,FALSE),"")</f>
        <v/>
      </c>
      <c r="G170" s="11">
        <f>IF(F170="","",TEXTJOIN("; ",TRUE,IF(TRIM(MID(SUBSTITUTE(F170,";",REPT(" ",99)),1,99))="","",IFERROR(VLOOKUP(--LEFT(TRIM(MID(SUBSTITUTE(F170,";",REPT(" ",99)),1,99)),FIND(":",TRIM(MID(SUBSTITUTE(F170,";",REPT(" ",99)),1,99)))-1),_Lookup!$A:$B,2,FALSE),"?")&amp;"×"&amp;MID(TRIM(MID(SUBSTITUTE(F170,";",REPT(" ",99)),1,99)),FIND(":",TRIM(MID(SUBSTITUTE(F170,";",REPT(" ",99)),1,99)))+1,99)),IF(TRIM(MID(SUBSTITUTE(F170,";",REPT(" ",99)),100,99))="","",IFERROR(VLOOKUP(--LEFT(TRIM(MID(SUBSTITUTE(F170,";",REPT(" ",99)),100,99)),FIND(":",TRIM(MID(SUBSTITUTE(F170,";",REPT(" ",99)),100,99)))-1),_Lookup!$A:$B,2,FALSE),"?")&amp;"×"&amp;MID(TRIM(MID(SUBSTITUTE(F170,";",REPT(" ",99)),100,99)),FIND(":",TRIM(MID(SUBSTITUTE(F170,";",REPT(" ",99)),100,99)))+1,99)),IF(TRIM(MID(SUBSTITUTE(F170,";",REPT(" ",99)),199,99))="","",IFERROR(VLOOKUP(--LEFT(TRIM(MID(SUBSTITUTE(F170,";",REPT(" ",99)),199,99)),FIND(":",TRIM(MID(SUBSTITUTE(F170,";",REPT(" ",99)),199,99)))-1),_Lookup!$A:$B,2,FALSE),"?")&amp;"×"&amp;MID(TRIM(MID(SUBSTITUTE(F170,";",REPT(" ",99)),199,99)),FIND(":",TRIM(MID(SUBSTITUTE(F170,";",REPT(" ",99)),199,99)))+1,99)),IF(TRIM(MID(SUBSTITUTE(F170,";",REPT(" ",99)),298,99))="","",IFERROR(VLOOKUP(--LEFT(TRIM(MID(SUBSTITUTE(F170,";",REPT(" ",99)),298,99)),FIND(":",TRIM(MID(SUBSTITUTE(F170,";",REPT(" ",99)),298,99)))-1),_Lookup!$A:$B,2,FALSE),"?")&amp;"×"&amp;MID(TRIM(MID(SUBSTITUTE(F170,";",REPT(" ",99)),298,99)),FIND(":",TRIM(MID(SUBSTITUTE(F170,";",REPT(" ",99)),298,99)))+1,99)),IF(TRIM(MID(SUBSTITUTE(F170,";",REPT(" ",99)),397,99))="","",IFERROR(VLOOKUP(--LEFT(TRIM(MID(SUBSTITUTE(F170,";",REPT(" ",99)),397,99)),FIND(":",TRIM(MID(SUBSTITUTE(F170,";",REPT(" ",99)),397,99)))-1),_Lookup!$A:$B,2,FALSE),"?")&amp;"×"&amp;MID(TRIM(MID(SUBSTITUTE(F170,";",REPT(" ",99)),397,99)),FIND(":",TRIM(MID(SUBSTITUTE(F170,";",REPT(" ",99)),397,99)))+1,99))))</f>
        <v/>
      </c>
    </row>
    <row r="171">
      <c r="C171" s="11">
        <f>IFERROR(VLOOKUP(B171,StageData!$A:$B,2,FALSE),"")</f>
        <v/>
      </c>
      <c r="G171" s="11">
        <f>IF(F171="","",TEXTJOIN("; ",TRUE,IF(TRIM(MID(SUBSTITUTE(F171,";",REPT(" ",99)),1,99))="","",IFERROR(VLOOKUP(--LEFT(TRIM(MID(SUBSTITUTE(F171,";",REPT(" ",99)),1,99)),FIND(":",TRIM(MID(SUBSTITUTE(F171,";",REPT(" ",99)),1,99)))-1),_Lookup!$A:$B,2,FALSE),"?")&amp;"×"&amp;MID(TRIM(MID(SUBSTITUTE(F171,";",REPT(" ",99)),1,99)),FIND(":",TRIM(MID(SUBSTITUTE(F171,";",REPT(" ",99)),1,99)))+1,99)),IF(TRIM(MID(SUBSTITUTE(F171,";",REPT(" ",99)),100,99))="","",IFERROR(VLOOKUP(--LEFT(TRIM(MID(SUBSTITUTE(F171,";",REPT(" ",99)),100,99)),FIND(":",TRIM(MID(SUBSTITUTE(F171,";",REPT(" ",99)),100,99)))-1),_Lookup!$A:$B,2,FALSE),"?")&amp;"×"&amp;MID(TRIM(MID(SUBSTITUTE(F171,";",REPT(" ",99)),100,99)),FIND(":",TRIM(MID(SUBSTITUTE(F171,";",REPT(" ",99)),100,99)))+1,99)),IF(TRIM(MID(SUBSTITUTE(F171,";",REPT(" ",99)),199,99))="","",IFERROR(VLOOKUP(--LEFT(TRIM(MID(SUBSTITUTE(F171,";",REPT(" ",99)),199,99)),FIND(":",TRIM(MID(SUBSTITUTE(F171,";",REPT(" ",99)),199,99)))-1),_Lookup!$A:$B,2,FALSE),"?")&amp;"×"&amp;MID(TRIM(MID(SUBSTITUTE(F171,";",REPT(" ",99)),199,99)),FIND(":",TRIM(MID(SUBSTITUTE(F171,";",REPT(" ",99)),199,99)))+1,99)),IF(TRIM(MID(SUBSTITUTE(F171,";",REPT(" ",99)),298,99))="","",IFERROR(VLOOKUP(--LEFT(TRIM(MID(SUBSTITUTE(F171,";",REPT(" ",99)),298,99)),FIND(":",TRIM(MID(SUBSTITUTE(F171,";",REPT(" ",99)),298,99)))-1),_Lookup!$A:$B,2,FALSE),"?")&amp;"×"&amp;MID(TRIM(MID(SUBSTITUTE(F171,";",REPT(" ",99)),298,99)),FIND(":",TRIM(MID(SUBSTITUTE(F171,";",REPT(" ",99)),298,99)))+1,99)),IF(TRIM(MID(SUBSTITUTE(F171,";",REPT(" ",99)),397,99))="","",IFERROR(VLOOKUP(--LEFT(TRIM(MID(SUBSTITUTE(F171,";",REPT(" ",99)),397,99)),FIND(":",TRIM(MID(SUBSTITUTE(F171,";",REPT(" ",99)),397,99)))-1),_Lookup!$A:$B,2,FALSE),"?")&amp;"×"&amp;MID(TRIM(MID(SUBSTITUTE(F171,";",REPT(" ",99)),397,99)),FIND(":",TRIM(MID(SUBSTITUTE(F171,";",REPT(" ",99)),397,99)))+1,99))))</f>
        <v/>
      </c>
    </row>
    <row r="172">
      <c r="C172" s="11">
        <f>IFERROR(VLOOKUP(B172,StageData!$A:$B,2,FALSE),"")</f>
        <v/>
      </c>
      <c r="G172" s="11">
        <f>IF(F172="","",TEXTJOIN("; ",TRUE,IF(TRIM(MID(SUBSTITUTE(F172,";",REPT(" ",99)),1,99))="","",IFERROR(VLOOKUP(--LEFT(TRIM(MID(SUBSTITUTE(F172,";",REPT(" ",99)),1,99)),FIND(":",TRIM(MID(SUBSTITUTE(F172,";",REPT(" ",99)),1,99)))-1),_Lookup!$A:$B,2,FALSE),"?")&amp;"×"&amp;MID(TRIM(MID(SUBSTITUTE(F172,";",REPT(" ",99)),1,99)),FIND(":",TRIM(MID(SUBSTITUTE(F172,";",REPT(" ",99)),1,99)))+1,99)),IF(TRIM(MID(SUBSTITUTE(F172,";",REPT(" ",99)),100,99))="","",IFERROR(VLOOKUP(--LEFT(TRIM(MID(SUBSTITUTE(F172,";",REPT(" ",99)),100,99)),FIND(":",TRIM(MID(SUBSTITUTE(F172,";",REPT(" ",99)),100,99)))-1),_Lookup!$A:$B,2,FALSE),"?")&amp;"×"&amp;MID(TRIM(MID(SUBSTITUTE(F172,";",REPT(" ",99)),100,99)),FIND(":",TRIM(MID(SUBSTITUTE(F172,";",REPT(" ",99)),100,99)))+1,99)),IF(TRIM(MID(SUBSTITUTE(F172,";",REPT(" ",99)),199,99))="","",IFERROR(VLOOKUP(--LEFT(TRIM(MID(SUBSTITUTE(F172,";",REPT(" ",99)),199,99)),FIND(":",TRIM(MID(SUBSTITUTE(F172,";",REPT(" ",99)),199,99)))-1),_Lookup!$A:$B,2,FALSE),"?")&amp;"×"&amp;MID(TRIM(MID(SUBSTITUTE(F172,";",REPT(" ",99)),199,99)),FIND(":",TRIM(MID(SUBSTITUTE(F172,";",REPT(" ",99)),199,99)))+1,99)),IF(TRIM(MID(SUBSTITUTE(F172,";",REPT(" ",99)),298,99))="","",IFERROR(VLOOKUP(--LEFT(TRIM(MID(SUBSTITUTE(F172,";",REPT(" ",99)),298,99)),FIND(":",TRIM(MID(SUBSTITUTE(F172,";",REPT(" ",99)),298,99)))-1),_Lookup!$A:$B,2,FALSE),"?")&amp;"×"&amp;MID(TRIM(MID(SUBSTITUTE(F172,";",REPT(" ",99)),298,99)),FIND(":",TRIM(MID(SUBSTITUTE(F172,";",REPT(" ",99)),298,99)))+1,99)),IF(TRIM(MID(SUBSTITUTE(F172,";",REPT(" ",99)),397,99))="","",IFERROR(VLOOKUP(--LEFT(TRIM(MID(SUBSTITUTE(F172,";",REPT(" ",99)),397,99)),FIND(":",TRIM(MID(SUBSTITUTE(F172,";",REPT(" ",99)),397,99)))-1),_Lookup!$A:$B,2,FALSE),"?")&amp;"×"&amp;MID(TRIM(MID(SUBSTITUTE(F172,";",REPT(" ",99)),397,99)),FIND(":",TRIM(MID(SUBSTITUTE(F172,";",REPT(" ",99)),397,99)))+1,99))))</f>
        <v/>
      </c>
    </row>
    <row r="173">
      <c r="C173" s="11">
        <f>IFERROR(VLOOKUP(B173,StageData!$A:$B,2,FALSE),"")</f>
        <v/>
      </c>
      <c r="G173" s="11">
        <f>IF(F173="","",TEXTJOIN("; ",TRUE,IF(TRIM(MID(SUBSTITUTE(F173,";",REPT(" ",99)),1,99))="","",IFERROR(VLOOKUP(--LEFT(TRIM(MID(SUBSTITUTE(F173,";",REPT(" ",99)),1,99)),FIND(":",TRIM(MID(SUBSTITUTE(F173,";",REPT(" ",99)),1,99)))-1),_Lookup!$A:$B,2,FALSE),"?")&amp;"×"&amp;MID(TRIM(MID(SUBSTITUTE(F173,";",REPT(" ",99)),1,99)),FIND(":",TRIM(MID(SUBSTITUTE(F173,";",REPT(" ",99)),1,99)))+1,99)),IF(TRIM(MID(SUBSTITUTE(F173,";",REPT(" ",99)),100,99))="","",IFERROR(VLOOKUP(--LEFT(TRIM(MID(SUBSTITUTE(F173,";",REPT(" ",99)),100,99)),FIND(":",TRIM(MID(SUBSTITUTE(F173,";",REPT(" ",99)),100,99)))-1),_Lookup!$A:$B,2,FALSE),"?")&amp;"×"&amp;MID(TRIM(MID(SUBSTITUTE(F173,";",REPT(" ",99)),100,99)),FIND(":",TRIM(MID(SUBSTITUTE(F173,";",REPT(" ",99)),100,99)))+1,99)),IF(TRIM(MID(SUBSTITUTE(F173,";",REPT(" ",99)),199,99))="","",IFERROR(VLOOKUP(--LEFT(TRIM(MID(SUBSTITUTE(F173,";",REPT(" ",99)),199,99)),FIND(":",TRIM(MID(SUBSTITUTE(F173,";",REPT(" ",99)),199,99)))-1),_Lookup!$A:$B,2,FALSE),"?")&amp;"×"&amp;MID(TRIM(MID(SUBSTITUTE(F173,";",REPT(" ",99)),199,99)),FIND(":",TRIM(MID(SUBSTITUTE(F173,";",REPT(" ",99)),199,99)))+1,99)),IF(TRIM(MID(SUBSTITUTE(F173,";",REPT(" ",99)),298,99))="","",IFERROR(VLOOKUP(--LEFT(TRIM(MID(SUBSTITUTE(F173,";",REPT(" ",99)),298,99)),FIND(":",TRIM(MID(SUBSTITUTE(F173,";",REPT(" ",99)),298,99)))-1),_Lookup!$A:$B,2,FALSE),"?")&amp;"×"&amp;MID(TRIM(MID(SUBSTITUTE(F173,";",REPT(" ",99)),298,99)),FIND(":",TRIM(MID(SUBSTITUTE(F173,";",REPT(" ",99)),298,99)))+1,99)),IF(TRIM(MID(SUBSTITUTE(F173,";",REPT(" ",99)),397,99))="","",IFERROR(VLOOKUP(--LEFT(TRIM(MID(SUBSTITUTE(F173,";",REPT(" ",99)),397,99)),FIND(":",TRIM(MID(SUBSTITUTE(F173,";",REPT(" ",99)),397,99)))-1),_Lookup!$A:$B,2,FALSE),"?")&amp;"×"&amp;MID(TRIM(MID(SUBSTITUTE(F173,";",REPT(" ",99)),397,99)),FIND(":",TRIM(MID(SUBSTITUTE(F173,";",REPT(" ",99)),397,99)))+1,99))))</f>
        <v/>
      </c>
    </row>
    <row r="174">
      <c r="C174" s="11">
        <f>IFERROR(VLOOKUP(B174,StageData!$A:$B,2,FALSE),"")</f>
        <v/>
      </c>
      <c r="G174" s="11">
        <f>IF(F174="","",TEXTJOIN("; ",TRUE,IF(TRIM(MID(SUBSTITUTE(F174,";",REPT(" ",99)),1,99))="","",IFERROR(VLOOKUP(--LEFT(TRIM(MID(SUBSTITUTE(F174,";",REPT(" ",99)),1,99)),FIND(":",TRIM(MID(SUBSTITUTE(F174,";",REPT(" ",99)),1,99)))-1),_Lookup!$A:$B,2,FALSE),"?")&amp;"×"&amp;MID(TRIM(MID(SUBSTITUTE(F174,";",REPT(" ",99)),1,99)),FIND(":",TRIM(MID(SUBSTITUTE(F174,";",REPT(" ",99)),1,99)))+1,99)),IF(TRIM(MID(SUBSTITUTE(F174,";",REPT(" ",99)),100,99))="","",IFERROR(VLOOKUP(--LEFT(TRIM(MID(SUBSTITUTE(F174,";",REPT(" ",99)),100,99)),FIND(":",TRIM(MID(SUBSTITUTE(F174,";",REPT(" ",99)),100,99)))-1),_Lookup!$A:$B,2,FALSE),"?")&amp;"×"&amp;MID(TRIM(MID(SUBSTITUTE(F174,";",REPT(" ",99)),100,99)),FIND(":",TRIM(MID(SUBSTITUTE(F174,";",REPT(" ",99)),100,99)))+1,99)),IF(TRIM(MID(SUBSTITUTE(F174,";",REPT(" ",99)),199,99))="","",IFERROR(VLOOKUP(--LEFT(TRIM(MID(SUBSTITUTE(F174,";",REPT(" ",99)),199,99)),FIND(":",TRIM(MID(SUBSTITUTE(F174,";",REPT(" ",99)),199,99)))-1),_Lookup!$A:$B,2,FALSE),"?")&amp;"×"&amp;MID(TRIM(MID(SUBSTITUTE(F174,";",REPT(" ",99)),199,99)),FIND(":",TRIM(MID(SUBSTITUTE(F174,";",REPT(" ",99)),199,99)))+1,99)),IF(TRIM(MID(SUBSTITUTE(F174,";",REPT(" ",99)),298,99))="","",IFERROR(VLOOKUP(--LEFT(TRIM(MID(SUBSTITUTE(F174,";",REPT(" ",99)),298,99)),FIND(":",TRIM(MID(SUBSTITUTE(F174,";",REPT(" ",99)),298,99)))-1),_Lookup!$A:$B,2,FALSE),"?")&amp;"×"&amp;MID(TRIM(MID(SUBSTITUTE(F174,";",REPT(" ",99)),298,99)),FIND(":",TRIM(MID(SUBSTITUTE(F174,";",REPT(" ",99)),298,99)))+1,99)),IF(TRIM(MID(SUBSTITUTE(F174,";",REPT(" ",99)),397,99))="","",IFERROR(VLOOKUP(--LEFT(TRIM(MID(SUBSTITUTE(F174,";",REPT(" ",99)),397,99)),FIND(":",TRIM(MID(SUBSTITUTE(F174,";",REPT(" ",99)),397,99)))-1),_Lookup!$A:$B,2,FALSE),"?")&amp;"×"&amp;MID(TRIM(MID(SUBSTITUTE(F174,";",REPT(" ",99)),397,99)),FIND(":",TRIM(MID(SUBSTITUTE(F174,";",REPT(" ",99)),397,99)))+1,99))))</f>
        <v/>
      </c>
    </row>
    <row r="175">
      <c r="C175" s="11">
        <f>IFERROR(VLOOKUP(B175,StageData!$A:$B,2,FALSE),"")</f>
        <v/>
      </c>
      <c r="G175" s="11">
        <f>IF(F175="","",TEXTJOIN("; ",TRUE,IF(TRIM(MID(SUBSTITUTE(F175,";",REPT(" ",99)),1,99))="","",IFERROR(VLOOKUP(--LEFT(TRIM(MID(SUBSTITUTE(F175,";",REPT(" ",99)),1,99)),FIND(":",TRIM(MID(SUBSTITUTE(F175,";",REPT(" ",99)),1,99)))-1),_Lookup!$A:$B,2,FALSE),"?")&amp;"×"&amp;MID(TRIM(MID(SUBSTITUTE(F175,";",REPT(" ",99)),1,99)),FIND(":",TRIM(MID(SUBSTITUTE(F175,";",REPT(" ",99)),1,99)))+1,99)),IF(TRIM(MID(SUBSTITUTE(F175,";",REPT(" ",99)),100,99))="","",IFERROR(VLOOKUP(--LEFT(TRIM(MID(SUBSTITUTE(F175,";",REPT(" ",99)),100,99)),FIND(":",TRIM(MID(SUBSTITUTE(F175,";",REPT(" ",99)),100,99)))-1),_Lookup!$A:$B,2,FALSE),"?")&amp;"×"&amp;MID(TRIM(MID(SUBSTITUTE(F175,";",REPT(" ",99)),100,99)),FIND(":",TRIM(MID(SUBSTITUTE(F175,";",REPT(" ",99)),100,99)))+1,99)),IF(TRIM(MID(SUBSTITUTE(F175,";",REPT(" ",99)),199,99))="","",IFERROR(VLOOKUP(--LEFT(TRIM(MID(SUBSTITUTE(F175,";",REPT(" ",99)),199,99)),FIND(":",TRIM(MID(SUBSTITUTE(F175,";",REPT(" ",99)),199,99)))-1),_Lookup!$A:$B,2,FALSE),"?")&amp;"×"&amp;MID(TRIM(MID(SUBSTITUTE(F175,";",REPT(" ",99)),199,99)),FIND(":",TRIM(MID(SUBSTITUTE(F175,";",REPT(" ",99)),199,99)))+1,99)),IF(TRIM(MID(SUBSTITUTE(F175,";",REPT(" ",99)),298,99))="","",IFERROR(VLOOKUP(--LEFT(TRIM(MID(SUBSTITUTE(F175,";",REPT(" ",99)),298,99)),FIND(":",TRIM(MID(SUBSTITUTE(F175,";",REPT(" ",99)),298,99)))-1),_Lookup!$A:$B,2,FALSE),"?")&amp;"×"&amp;MID(TRIM(MID(SUBSTITUTE(F175,";",REPT(" ",99)),298,99)),FIND(":",TRIM(MID(SUBSTITUTE(F175,";",REPT(" ",99)),298,99)))+1,99)),IF(TRIM(MID(SUBSTITUTE(F175,";",REPT(" ",99)),397,99))="","",IFERROR(VLOOKUP(--LEFT(TRIM(MID(SUBSTITUTE(F175,";",REPT(" ",99)),397,99)),FIND(":",TRIM(MID(SUBSTITUTE(F175,";",REPT(" ",99)),397,99)))-1),_Lookup!$A:$B,2,FALSE),"?")&amp;"×"&amp;MID(TRIM(MID(SUBSTITUTE(F175,";",REPT(" ",99)),397,99)),FIND(":",TRIM(MID(SUBSTITUTE(F175,";",REPT(" ",99)),397,99)))+1,99))))</f>
        <v/>
      </c>
    </row>
    <row r="176">
      <c r="C176" s="11">
        <f>IFERROR(VLOOKUP(B176,StageData!$A:$B,2,FALSE),"")</f>
        <v/>
      </c>
      <c r="G176" s="11">
        <f>IF(F176="","",TEXTJOIN("; ",TRUE,IF(TRIM(MID(SUBSTITUTE(F176,";",REPT(" ",99)),1,99))="","",IFERROR(VLOOKUP(--LEFT(TRIM(MID(SUBSTITUTE(F176,";",REPT(" ",99)),1,99)),FIND(":",TRIM(MID(SUBSTITUTE(F176,";",REPT(" ",99)),1,99)))-1),_Lookup!$A:$B,2,FALSE),"?")&amp;"×"&amp;MID(TRIM(MID(SUBSTITUTE(F176,";",REPT(" ",99)),1,99)),FIND(":",TRIM(MID(SUBSTITUTE(F176,";",REPT(" ",99)),1,99)))+1,99)),IF(TRIM(MID(SUBSTITUTE(F176,";",REPT(" ",99)),100,99))="","",IFERROR(VLOOKUP(--LEFT(TRIM(MID(SUBSTITUTE(F176,";",REPT(" ",99)),100,99)),FIND(":",TRIM(MID(SUBSTITUTE(F176,";",REPT(" ",99)),100,99)))-1),_Lookup!$A:$B,2,FALSE),"?")&amp;"×"&amp;MID(TRIM(MID(SUBSTITUTE(F176,";",REPT(" ",99)),100,99)),FIND(":",TRIM(MID(SUBSTITUTE(F176,";",REPT(" ",99)),100,99)))+1,99)),IF(TRIM(MID(SUBSTITUTE(F176,";",REPT(" ",99)),199,99))="","",IFERROR(VLOOKUP(--LEFT(TRIM(MID(SUBSTITUTE(F176,";",REPT(" ",99)),199,99)),FIND(":",TRIM(MID(SUBSTITUTE(F176,";",REPT(" ",99)),199,99)))-1),_Lookup!$A:$B,2,FALSE),"?")&amp;"×"&amp;MID(TRIM(MID(SUBSTITUTE(F176,";",REPT(" ",99)),199,99)),FIND(":",TRIM(MID(SUBSTITUTE(F176,";",REPT(" ",99)),199,99)))+1,99)),IF(TRIM(MID(SUBSTITUTE(F176,";",REPT(" ",99)),298,99))="","",IFERROR(VLOOKUP(--LEFT(TRIM(MID(SUBSTITUTE(F176,";",REPT(" ",99)),298,99)),FIND(":",TRIM(MID(SUBSTITUTE(F176,";",REPT(" ",99)),298,99)))-1),_Lookup!$A:$B,2,FALSE),"?")&amp;"×"&amp;MID(TRIM(MID(SUBSTITUTE(F176,";",REPT(" ",99)),298,99)),FIND(":",TRIM(MID(SUBSTITUTE(F176,";",REPT(" ",99)),298,99)))+1,99)),IF(TRIM(MID(SUBSTITUTE(F176,";",REPT(" ",99)),397,99))="","",IFERROR(VLOOKUP(--LEFT(TRIM(MID(SUBSTITUTE(F176,";",REPT(" ",99)),397,99)),FIND(":",TRIM(MID(SUBSTITUTE(F176,";",REPT(" ",99)),397,99)))-1),_Lookup!$A:$B,2,FALSE),"?")&amp;"×"&amp;MID(TRIM(MID(SUBSTITUTE(F176,";",REPT(" ",99)),397,99)),FIND(":",TRIM(MID(SUBSTITUTE(F176,";",REPT(" ",99)),397,99)))+1,99))))</f>
        <v/>
      </c>
    </row>
    <row r="177">
      <c r="C177" s="11">
        <f>IFERROR(VLOOKUP(B177,StageData!$A:$B,2,FALSE),"")</f>
        <v/>
      </c>
      <c r="G177" s="11">
        <f>IF(F177="","",TEXTJOIN("; ",TRUE,IF(TRIM(MID(SUBSTITUTE(F177,";",REPT(" ",99)),1,99))="","",IFERROR(VLOOKUP(--LEFT(TRIM(MID(SUBSTITUTE(F177,";",REPT(" ",99)),1,99)),FIND(":",TRIM(MID(SUBSTITUTE(F177,";",REPT(" ",99)),1,99)))-1),_Lookup!$A:$B,2,FALSE),"?")&amp;"×"&amp;MID(TRIM(MID(SUBSTITUTE(F177,";",REPT(" ",99)),1,99)),FIND(":",TRIM(MID(SUBSTITUTE(F177,";",REPT(" ",99)),1,99)))+1,99)),IF(TRIM(MID(SUBSTITUTE(F177,";",REPT(" ",99)),100,99))="","",IFERROR(VLOOKUP(--LEFT(TRIM(MID(SUBSTITUTE(F177,";",REPT(" ",99)),100,99)),FIND(":",TRIM(MID(SUBSTITUTE(F177,";",REPT(" ",99)),100,99)))-1),_Lookup!$A:$B,2,FALSE),"?")&amp;"×"&amp;MID(TRIM(MID(SUBSTITUTE(F177,";",REPT(" ",99)),100,99)),FIND(":",TRIM(MID(SUBSTITUTE(F177,";",REPT(" ",99)),100,99)))+1,99)),IF(TRIM(MID(SUBSTITUTE(F177,";",REPT(" ",99)),199,99))="","",IFERROR(VLOOKUP(--LEFT(TRIM(MID(SUBSTITUTE(F177,";",REPT(" ",99)),199,99)),FIND(":",TRIM(MID(SUBSTITUTE(F177,";",REPT(" ",99)),199,99)))-1),_Lookup!$A:$B,2,FALSE),"?")&amp;"×"&amp;MID(TRIM(MID(SUBSTITUTE(F177,";",REPT(" ",99)),199,99)),FIND(":",TRIM(MID(SUBSTITUTE(F177,";",REPT(" ",99)),199,99)))+1,99)),IF(TRIM(MID(SUBSTITUTE(F177,";",REPT(" ",99)),298,99))="","",IFERROR(VLOOKUP(--LEFT(TRIM(MID(SUBSTITUTE(F177,";",REPT(" ",99)),298,99)),FIND(":",TRIM(MID(SUBSTITUTE(F177,";",REPT(" ",99)),298,99)))-1),_Lookup!$A:$B,2,FALSE),"?")&amp;"×"&amp;MID(TRIM(MID(SUBSTITUTE(F177,";",REPT(" ",99)),298,99)),FIND(":",TRIM(MID(SUBSTITUTE(F177,";",REPT(" ",99)),298,99)))+1,99)),IF(TRIM(MID(SUBSTITUTE(F177,";",REPT(" ",99)),397,99))="","",IFERROR(VLOOKUP(--LEFT(TRIM(MID(SUBSTITUTE(F177,";",REPT(" ",99)),397,99)),FIND(":",TRIM(MID(SUBSTITUTE(F177,";",REPT(" ",99)),397,99)))-1),_Lookup!$A:$B,2,FALSE),"?")&amp;"×"&amp;MID(TRIM(MID(SUBSTITUTE(F177,";",REPT(" ",99)),397,99)),FIND(":",TRIM(MID(SUBSTITUTE(F177,";",REPT(" ",99)),397,99)))+1,99))))</f>
        <v/>
      </c>
    </row>
    <row r="178">
      <c r="C178" s="11">
        <f>IFERROR(VLOOKUP(B178,StageData!$A:$B,2,FALSE),"")</f>
        <v/>
      </c>
      <c r="G178" s="11">
        <f>IF(F178="","",TEXTJOIN("; ",TRUE,IF(TRIM(MID(SUBSTITUTE(F178,";",REPT(" ",99)),1,99))="","",IFERROR(VLOOKUP(--LEFT(TRIM(MID(SUBSTITUTE(F178,";",REPT(" ",99)),1,99)),FIND(":",TRIM(MID(SUBSTITUTE(F178,";",REPT(" ",99)),1,99)))-1),_Lookup!$A:$B,2,FALSE),"?")&amp;"×"&amp;MID(TRIM(MID(SUBSTITUTE(F178,";",REPT(" ",99)),1,99)),FIND(":",TRIM(MID(SUBSTITUTE(F178,";",REPT(" ",99)),1,99)))+1,99)),IF(TRIM(MID(SUBSTITUTE(F178,";",REPT(" ",99)),100,99))="","",IFERROR(VLOOKUP(--LEFT(TRIM(MID(SUBSTITUTE(F178,";",REPT(" ",99)),100,99)),FIND(":",TRIM(MID(SUBSTITUTE(F178,";",REPT(" ",99)),100,99)))-1),_Lookup!$A:$B,2,FALSE),"?")&amp;"×"&amp;MID(TRIM(MID(SUBSTITUTE(F178,";",REPT(" ",99)),100,99)),FIND(":",TRIM(MID(SUBSTITUTE(F178,";",REPT(" ",99)),100,99)))+1,99)),IF(TRIM(MID(SUBSTITUTE(F178,";",REPT(" ",99)),199,99))="","",IFERROR(VLOOKUP(--LEFT(TRIM(MID(SUBSTITUTE(F178,";",REPT(" ",99)),199,99)),FIND(":",TRIM(MID(SUBSTITUTE(F178,";",REPT(" ",99)),199,99)))-1),_Lookup!$A:$B,2,FALSE),"?")&amp;"×"&amp;MID(TRIM(MID(SUBSTITUTE(F178,";",REPT(" ",99)),199,99)),FIND(":",TRIM(MID(SUBSTITUTE(F178,";",REPT(" ",99)),199,99)))+1,99)),IF(TRIM(MID(SUBSTITUTE(F178,";",REPT(" ",99)),298,99))="","",IFERROR(VLOOKUP(--LEFT(TRIM(MID(SUBSTITUTE(F178,";",REPT(" ",99)),298,99)),FIND(":",TRIM(MID(SUBSTITUTE(F178,";",REPT(" ",99)),298,99)))-1),_Lookup!$A:$B,2,FALSE),"?")&amp;"×"&amp;MID(TRIM(MID(SUBSTITUTE(F178,";",REPT(" ",99)),298,99)),FIND(":",TRIM(MID(SUBSTITUTE(F178,";",REPT(" ",99)),298,99)))+1,99)),IF(TRIM(MID(SUBSTITUTE(F178,";",REPT(" ",99)),397,99))="","",IFERROR(VLOOKUP(--LEFT(TRIM(MID(SUBSTITUTE(F178,";",REPT(" ",99)),397,99)),FIND(":",TRIM(MID(SUBSTITUTE(F178,";",REPT(" ",99)),397,99)))-1),_Lookup!$A:$B,2,FALSE),"?")&amp;"×"&amp;MID(TRIM(MID(SUBSTITUTE(F178,";",REPT(" ",99)),397,99)),FIND(":",TRIM(MID(SUBSTITUTE(F178,";",REPT(" ",99)),397,99)))+1,99))))</f>
        <v/>
      </c>
    </row>
    <row r="179">
      <c r="C179" s="11">
        <f>IFERROR(VLOOKUP(B179,StageData!$A:$B,2,FALSE),"")</f>
        <v/>
      </c>
      <c r="G179" s="11">
        <f>IF(F179="","",TEXTJOIN("; ",TRUE,IF(TRIM(MID(SUBSTITUTE(F179,";",REPT(" ",99)),1,99))="","",IFERROR(VLOOKUP(--LEFT(TRIM(MID(SUBSTITUTE(F179,";",REPT(" ",99)),1,99)),FIND(":",TRIM(MID(SUBSTITUTE(F179,";",REPT(" ",99)),1,99)))-1),_Lookup!$A:$B,2,FALSE),"?")&amp;"×"&amp;MID(TRIM(MID(SUBSTITUTE(F179,";",REPT(" ",99)),1,99)),FIND(":",TRIM(MID(SUBSTITUTE(F179,";",REPT(" ",99)),1,99)))+1,99)),IF(TRIM(MID(SUBSTITUTE(F179,";",REPT(" ",99)),100,99))="","",IFERROR(VLOOKUP(--LEFT(TRIM(MID(SUBSTITUTE(F179,";",REPT(" ",99)),100,99)),FIND(":",TRIM(MID(SUBSTITUTE(F179,";",REPT(" ",99)),100,99)))-1),_Lookup!$A:$B,2,FALSE),"?")&amp;"×"&amp;MID(TRIM(MID(SUBSTITUTE(F179,";",REPT(" ",99)),100,99)),FIND(":",TRIM(MID(SUBSTITUTE(F179,";",REPT(" ",99)),100,99)))+1,99)),IF(TRIM(MID(SUBSTITUTE(F179,";",REPT(" ",99)),199,99))="","",IFERROR(VLOOKUP(--LEFT(TRIM(MID(SUBSTITUTE(F179,";",REPT(" ",99)),199,99)),FIND(":",TRIM(MID(SUBSTITUTE(F179,";",REPT(" ",99)),199,99)))-1),_Lookup!$A:$B,2,FALSE),"?")&amp;"×"&amp;MID(TRIM(MID(SUBSTITUTE(F179,";",REPT(" ",99)),199,99)),FIND(":",TRIM(MID(SUBSTITUTE(F179,";",REPT(" ",99)),199,99)))+1,99)),IF(TRIM(MID(SUBSTITUTE(F179,";",REPT(" ",99)),298,99))="","",IFERROR(VLOOKUP(--LEFT(TRIM(MID(SUBSTITUTE(F179,";",REPT(" ",99)),298,99)),FIND(":",TRIM(MID(SUBSTITUTE(F179,";",REPT(" ",99)),298,99)))-1),_Lookup!$A:$B,2,FALSE),"?")&amp;"×"&amp;MID(TRIM(MID(SUBSTITUTE(F179,";",REPT(" ",99)),298,99)),FIND(":",TRIM(MID(SUBSTITUTE(F179,";",REPT(" ",99)),298,99)))+1,99)),IF(TRIM(MID(SUBSTITUTE(F179,";",REPT(" ",99)),397,99))="","",IFERROR(VLOOKUP(--LEFT(TRIM(MID(SUBSTITUTE(F179,";",REPT(" ",99)),397,99)),FIND(":",TRIM(MID(SUBSTITUTE(F179,";",REPT(" ",99)),397,99)))-1),_Lookup!$A:$B,2,FALSE),"?")&amp;"×"&amp;MID(TRIM(MID(SUBSTITUTE(F179,";",REPT(" ",99)),397,99)),FIND(":",TRIM(MID(SUBSTITUTE(F179,";",REPT(" ",99)),397,99)))+1,99))))</f>
        <v/>
      </c>
    </row>
    <row r="180">
      <c r="C180" s="11">
        <f>IFERROR(VLOOKUP(B180,StageData!$A:$B,2,FALSE),"")</f>
        <v/>
      </c>
      <c r="G180" s="11">
        <f>IF(F180="","",TEXTJOIN("; ",TRUE,IF(TRIM(MID(SUBSTITUTE(F180,";",REPT(" ",99)),1,99))="","",IFERROR(VLOOKUP(--LEFT(TRIM(MID(SUBSTITUTE(F180,";",REPT(" ",99)),1,99)),FIND(":",TRIM(MID(SUBSTITUTE(F180,";",REPT(" ",99)),1,99)))-1),_Lookup!$A:$B,2,FALSE),"?")&amp;"×"&amp;MID(TRIM(MID(SUBSTITUTE(F180,";",REPT(" ",99)),1,99)),FIND(":",TRIM(MID(SUBSTITUTE(F180,";",REPT(" ",99)),1,99)))+1,99)),IF(TRIM(MID(SUBSTITUTE(F180,";",REPT(" ",99)),100,99))="","",IFERROR(VLOOKUP(--LEFT(TRIM(MID(SUBSTITUTE(F180,";",REPT(" ",99)),100,99)),FIND(":",TRIM(MID(SUBSTITUTE(F180,";",REPT(" ",99)),100,99)))-1),_Lookup!$A:$B,2,FALSE),"?")&amp;"×"&amp;MID(TRIM(MID(SUBSTITUTE(F180,";",REPT(" ",99)),100,99)),FIND(":",TRIM(MID(SUBSTITUTE(F180,";",REPT(" ",99)),100,99)))+1,99)),IF(TRIM(MID(SUBSTITUTE(F180,";",REPT(" ",99)),199,99))="","",IFERROR(VLOOKUP(--LEFT(TRIM(MID(SUBSTITUTE(F180,";",REPT(" ",99)),199,99)),FIND(":",TRIM(MID(SUBSTITUTE(F180,";",REPT(" ",99)),199,99)))-1),_Lookup!$A:$B,2,FALSE),"?")&amp;"×"&amp;MID(TRIM(MID(SUBSTITUTE(F180,";",REPT(" ",99)),199,99)),FIND(":",TRIM(MID(SUBSTITUTE(F180,";",REPT(" ",99)),199,99)))+1,99)),IF(TRIM(MID(SUBSTITUTE(F180,";",REPT(" ",99)),298,99))="","",IFERROR(VLOOKUP(--LEFT(TRIM(MID(SUBSTITUTE(F180,";",REPT(" ",99)),298,99)),FIND(":",TRIM(MID(SUBSTITUTE(F180,";",REPT(" ",99)),298,99)))-1),_Lookup!$A:$B,2,FALSE),"?")&amp;"×"&amp;MID(TRIM(MID(SUBSTITUTE(F180,";",REPT(" ",99)),298,99)),FIND(":",TRIM(MID(SUBSTITUTE(F180,";",REPT(" ",99)),298,99)))+1,99)),IF(TRIM(MID(SUBSTITUTE(F180,";",REPT(" ",99)),397,99))="","",IFERROR(VLOOKUP(--LEFT(TRIM(MID(SUBSTITUTE(F180,";",REPT(" ",99)),397,99)),FIND(":",TRIM(MID(SUBSTITUTE(F180,";",REPT(" ",99)),397,99)))-1),_Lookup!$A:$B,2,FALSE),"?")&amp;"×"&amp;MID(TRIM(MID(SUBSTITUTE(F180,";",REPT(" ",99)),397,99)),FIND(":",TRIM(MID(SUBSTITUTE(F180,";",REPT(" ",99)),397,99)))+1,99))))</f>
        <v/>
      </c>
    </row>
    <row r="181">
      <c r="C181" s="11">
        <f>IFERROR(VLOOKUP(B181,StageData!$A:$B,2,FALSE),"")</f>
        <v/>
      </c>
      <c r="G181" s="11">
        <f>IF(F181="","",TEXTJOIN("; ",TRUE,IF(TRIM(MID(SUBSTITUTE(F181,";",REPT(" ",99)),1,99))="","",IFERROR(VLOOKUP(--LEFT(TRIM(MID(SUBSTITUTE(F181,";",REPT(" ",99)),1,99)),FIND(":",TRIM(MID(SUBSTITUTE(F181,";",REPT(" ",99)),1,99)))-1),_Lookup!$A:$B,2,FALSE),"?")&amp;"×"&amp;MID(TRIM(MID(SUBSTITUTE(F181,";",REPT(" ",99)),1,99)),FIND(":",TRIM(MID(SUBSTITUTE(F181,";",REPT(" ",99)),1,99)))+1,99)),IF(TRIM(MID(SUBSTITUTE(F181,";",REPT(" ",99)),100,99))="","",IFERROR(VLOOKUP(--LEFT(TRIM(MID(SUBSTITUTE(F181,";",REPT(" ",99)),100,99)),FIND(":",TRIM(MID(SUBSTITUTE(F181,";",REPT(" ",99)),100,99)))-1),_Lookup!$A:$B,2,FALSE),"?")&amp;"×"&amp;MID(TRIM(MID(SUBSTITUTE(F181,";",REPT(" ",99)),100,99)),FIND(":",TRIM(MID(SUBSTITUTE(F181,";",REPT(" ",99)),100,99)))+1,99)),IF(TRIM(MID(SUBSTITUTE(F181,";",REPT(" ",99)),199,99))="","",IFERROR(VLOOKUP(--LEFT(TRIM(MID(SUBSTITUTE(F181,";",REPT(" ",99)),199,99)),FIND(":",TRIM(MID(SUBSTITUTE(F181,";",REPT(" ",99)),199,99)))-1),_Lookup!$A:$B,2,FALSE),"?")&amp;"×"&amp;MID(TRIM(MID(SUBSTITUTE(F181,";",REPT(" ",99)),199,99)),FIND(":",TRIM(MID(SUBSTITUTE(F181,";",REPT(" ",99)),199,99)))+1,99)),IF(TRIM(MID(SUBSTITUTE(F181,";",REPT(" ",99)),298,99))="","",IFERROR(VLOOKUP(--LEFT(TRIM(MID(SUBSTITUTE(F181,";",REPT(" ",99)),298,99)),FIND(":",TRIM(MID(SUBSTITUTE(F181,";",REPT(" ",99)),298,99)))-1),_Lookup!$A:$B,2,FALSE),"?")&amp;"×"&amp;MID(TRIM(MID(SUBSTITUTE(F181,";",REPT(" ",99)),298,99)),FIND(":",TRIM(MID(SUBSTITUTE(F181,";",REPT(" ",99)),298,99)))+1,99)),IF(TRIM(MID(SUBSTITUTE(F181,";",REPT(" ",99)),397,99))="","",IFERROR(VLOOKUP(--LEFT(TRIM(MID(SUBSTITUTE(F181,";",REPT(" ",99)),397,99)),FIND(":",TRIM(MID(SUBSTITUTE(F181,";",REPT(" ",99)),397,99)))-1),_Lookup!$A:$B,2,FALSE),"?")&amp;"×"&amp;MID(TRIM(MID(SUBSTITUTE(F181,";",REPT(" ",99)),397,99)),FIND(":",TRIM(MID(SUBSTITUTE(F181,";",REPT(" ",99)),397,99)))+1,99))))</f>
        <v/>
      </c>
    </row>
    <row r="182">
      <c r="C182" s="11">
        <f>IFERROR(VLOOKUP(B182,StageData!$A:$B,2,FALSE),"")</f>
        <v/>
      </c>
      <c r="G182" s="11">
        <f>IF(F182="","",TEXTJOIN("; ",TRUE,IF(TRIM(MID(SUBSTITUTE(F182,";",REPT(" ",99)),1,99))="","",IFERROR(VLOOKUP(--LEFT(TRIM(MID(SUBSTITUTE(F182,";",REPT(" ",99)),1,99)),FIND(":",TRIM(MID(SUBSTITUTE(F182,";",REPT(" ",99)),1,99)))-1),_Lookup!$A:$B,2,FALSE),"?")&amp;"×"&amp;MID(TRIM(MID(SUBSTITUTE(F182,";",REPT(" ",99)),1,99)),FIND(":",TRIM(MID(SUBSTITUTE(F182,";",REPT(" ",99)),1,99)))+1,99)),IF(TRIM(MID(SUBSTITUTE(F182,";",REPT(" ",99)),100,99))="","",IFERROR(VLOOKUP(--LEFT(TRIM(MID(SUBSTITUTE(F182,";",REPT(" ",99)),100,99)),FIND(":",TRIM(MID(SUBSTITUTE(F182,";",REPT(" ",99)),100,99)))-1),_Lookup!$A:$B,2,FALSE),"?")&amp;"×"&amp;MID(TRIM(MID(SUBSTITUTE(F182,";",REPT(" ",99)),100,99)),FIND(":",TRIM(MID(SUBSTITUTE(F182,";",REPT(" ",99)),100,99)))+1,99)),IF(TRIM(MID(SUBSTITUTE(F182,";",REPT(" ",99)),199,99))="","",IFERROR(VLOOKUP(--LEFT(TRIM(MID(SUBSTITUTE(F182,";",REPT(" ",99)),199,99)),FIND(":",TRIM(MID(SUBSTITUTE(F182,";",REPT(" ",99)),199,99)))-1),_Lookup!$A:$B,2,FALSE),"?")&amp;"×"&amp;MID(TRIM(MID(SUBSTITUTE(F182,";",REPT(" ",99)),199,99)),FIND(":",TRIM(MID(SUBSTITUTE(F182,";",REPT(" ",99)),199,99)))+1,99)),IF(TRIM(MID(SUBSTITUTE(F182,";",REPT(" ",99)),298,99))="","",IFERROR(VLOOKUP(--LEFT(TRIM(MID(SUBSTITUTE(F182,";",REPT(" ",99)),298,99)),FIND(":",TRIM(MID(SUBSTITUTE(F182,";",REPT(" ",99)),298,99)))-1),_Lookup!$A:$B,2,FALSE),"?")&amp;"×"&amp;MID(TRIM(MID(SUBSTITUTE(F182,";",REPT(" ",99)),298,99)),FIND(":",TRIM(MID(SUBSTITUTE(F182,";",REPT(" ",99)),298,99)))+1,99)),IF(TRIM(MID(SUBSTITUTE(F182,";",REPT(" ",99)),397,99))="","",IFERROR(VLOOKUP(--LEFT(TRIM(MID(SUBSTITUTE(F182,";",REPT(" ",99)),397,99)),FIND(":",TRIM(MID(SUBSTITUTE(F182,";",REPT(" ",99)),397,99)))-1),_Lookup!$A:$B,2,FALSE),"?")&amp;"×"&amp;MID(TRIM(MID(SUBSTITUTE(F182,";",REPT(" ",99)),397,99)),FIND(":",TRIM(MID(SUBSTITUTE(F182,";",REPT(" ",99)),397,99)))+1,99))))</f>
        <v/>
      </c>
    </row>
    <row r="183">
      <c r="C183" s="11">
        <f>IFERROR(VLOOKUP(B183,StageData!$A:$B,2,FALSE),"")</f>
        <v/>
      </c>
      <c r="G183" s="11">
        <f>IF(F183="","",TEXTJOIN("; ",TRUE,IF(TRIM(MID(SUBSTITUTE(F183,";",REPT(" ",99)),1,99))="","",IFERROR(VLOOKUP(--LEFT(TRIM(MID(SUBSTITUTE(F183,";",REPT(" ",99)),1,99)),FIND(":",TRIM(MID(SUBSTITUTE(F183,";",REPT(" ",99)),1,99)))-1),_Lookup!$A:$B,2,FALSE),"?")&amp;"×"&amp;MID(TRIM(MID(SUBSTITUTE(F183,";",REPT(" ",99)),1,99)),FIND(":",TRIM(MID(SUBSTITUTE(F183,";",REPT(" ",99)),1,99)))+1,99)),IF(TRIM(MID(SUBSTITUTE(F183,";",REPT(" ",99)),100,99))="","",IFERROR(VLOOKUP(--LEFT(TRIM(MID(SUBSTITUTE(F183,";",REPT(" ",99)),100,99)),FIND(":",TRIM(MID(SUBSTITUTE(F183,";",REPT(" ",99)),100,99)))-1),_Lookup!$A:$B,2,FALSE),"?")&amp;"×"&amp;MID(TRIM(MID(SUBSTITUTE(F183,";",REPT(" ",99)),100,99)),FIND(":",TRIM(MID(SUBSTITUTE(F183,";",REPT(" ",99)),100,99)))+1,99)),IF(TRIM(MID(SUBSTITUTE(F183,";",REPT(" ",99)),199,99))="","",IFERROR(VLOOKUP(--LEFT(TRIM(MID(SUBSTITUTE(F183,";",REPT(" ",99)),199,99)),FIND(":",TRIM(MID(SUBSTITUTE(F183,";",REPT(" ",99)),199,99)))-1),_Lookup!$A:$B,2,FALSE),"?")&amp;"×"&amp;MID(TRIM(MID(SUBSTITUTE(F183,";",REPT(" ",99)),199,99)),FIND(":",TRIM(MID(SUBSTITUTE(F183,";",REPT(" ",99)),199,99)))+1,99)),IF(TRIM(MID(SUBSTITUTE(F183,";",REPT(" ",99)),298,99))="","",IFERROR(VLOOKUP(--LEFT(TRIM(MID(SUBSTITUTE(F183,";",REPT(" ",99)),298,99)),FIND(":",TRIM(MID(SUBSTITUTE(F183,";",REPT(" ",99)),298,99)))-1),_Lookup!$A:$B,2,FALSE),"?")&amp;"×"&amp;MID(TRIM(MID(SUBSTITUTE(F183,";",REPT(" ",99)),298,99)),FIND(":",TRIM(MID(SUBSTITUTE(F183,";",REPT(" ",99)),298,99)))+1,99)),IF(TRIM(MID(SUBSTITUTE(F183,";",REPT(" ",99)),397,99))="","",IFERROR(VLOOKUP(--LEFT(TRIM(MID(SUBSTITUTE(F183,";",REPT(" ",99)),397,99)),FIND(":",TRIM(MID(SUBSTITUTE(F183,";",REPT(" ",99)),397,99)))-1),_Lookup!$A:$B,2,FALSE),"?")&amp;"×"&amp;MID(TRIM(MID(SUBSTITUTE(F183,";",REPT(" ",99)),397,99)),FIND(":",TRIM(MID(SUBSTITUTE(F183,";",REPT(" ",99)),397,99)))+1,99))))</f>
        <v/>
      </c>
    </row>
    <row r="184">
      <c r="C184" s="11">
        <f>IFERROR(VLOOKUP(B184,StageData!$A:$B,2,FALSE),"")</f>
        <v/>
      </c>
      <c r="G184" s="11">
        <f>IF(F184="","",TEXTJOIN("; ",TRUE,IF(TRIM(MID(SUBSTITUTE(F184,";",REPT(" ",99)),1,99))="","",IFERROR(VLOOKUP(--LEFT(TRIM(MID(SUBSTITUTE(F184,";",REPT(" ",99)),1,99)),FIND(":",TRIM(MID(SUBSTITUTE(F184,";",REPT(" ",99)),1,99)))-1),_Lookup!$A:$B,2,FALSE),"?")&amp;"×"&amp;MID(TRIM(MID(SUBSTITUTE(F184,";",REPT(" ",99)),1,99)),FIND(":",TRIM(MID(SUBSTITUTE(F184,";",REPT(" ",99)),1,99)))+1,99)),IF(TRIM(MID(SUBSTITUTE(F184,";",REPT(" ",99)),100,99))="","",IFERROR(VLOOKUP(--LEFT(TRIM(MID(SUBSTITUTE(F184,";",REPT(" ",99)),100,99)),FIND(":",TRIM(MID(SUBSTITUTE(F184,";",REPT(" ",99)),100,99)))-1),_Lookup!$A:$B,2,FALSE),"?")&amp;"×"&amp;MID(TRIM(MID(SUBSTITUTE(F184,";",REPT(" ",99)),100,99)),FIND(":",TRIM(MID(SUBSTITUTE(F184,";",REPT(" ",99)),100,99)))+1,99)),IF(TRIM(MID(SUBSTITUTE(F184,";",REPT(" ",99)),199,99))="","",IFERROR(VLOOKUP(--LEFT(TRIM(MID(SUBSTITUTE(F184,";",REPT(" ",99)),199,99)),FIND(":",TRIM(MID(SUBSTITUTE(F184,";",REPT(" ",99)),199,99)))-1),_Lookup!$A:$B,2,FALSE),"?")&amp;"×"&amp;MID(TRIM(MID(SUBSTITUTE(F184,";",REPT(" ",99)),199,99)),FIND(":",TRIM(MID(SUBSTITUTE(F184,";",REPT(" ",99)),199,99)))+1,99)),IF(TRIM(MID(SUBSTITUTE(F184,";",REPT(" ",99)),298,99))="","",IFERROR(VLOOKUP(--LEFT(TRIM(MID(SUBSTITUTE(F184,";",REPT(" ",99)),298,99)),FIND(":",TRIM(MID(SUBSTITUTE(F184,";",REPT(" ",99)),298,99)))-1),_Lookup!$A:$B,2,FALSE),"?")&amp;"×"&amp;MID(TRIM(MID(SUBSTITUTE(F184,";",REPT(" ",99)),298,99)),FIND(":",TRIM(MID(SUBSTITUTE(F184,";",REPT(" ",99)),298,99)))+1,99)),IF(TRIM(MID(SUBSTITUTE(F184,";",REPT(" ",99)),397,99))="","",IFERROR(VLOOKUP(--LEFT(TRIM(MID(SUBSTITUTE(F184,";",REPT(" ",99)),397,99)),FIND(":",TRIM(MID(SUBSTITUTE(F184,";",REPT(" ",99)),397,99)))-1),_Lookup!$A:$B,2,FALSE),"?")&amp;"×"&amp;MID(TRIM(MID(SUBSTITUTE(F184,";",REPT(" ",99)),397,99)),FIND(":",TRIM(MID(SUBSTITUTE(F184,";",REPT(" ",99)),397,99)))+1,99))))</f>
        <v/>
      </c>
    </row>
    <row r="185">
      <c r="C185" s="11">
        <f>IFERROR(VLOOKUP(B185,StageData!$A:$B,2,FALSE),"")</f>
        <v/>
      </c>
      <c r="G185" s="11">
        <f>IF(F185="","",TEXTJOIN("; ",TRUE,IF(TRIM(MID(SUBSTITUTE(F185,";",REPT(" ",99)),1,99))="","",IFERROR(VLOOKUP(--LEFT(TRIM(MID(SUBSTITUTE(F185,";",REPT(" ",99)),1,99)),FIND(":",TRIM(MID(SUBSTITUTE(F185,";",REPT(" ",99)),1,99)))-1),_Lookup!$A:$B,2,FALSE),"?")&amp;"×"&amp;MID(TRIM(MID(SUBSTITUTE(F185,";",REPT(" ",99)),1,99)),FIND(":",TRIM(MID(SUBSTITUTE(F185,";",REPT(" ",99)),1,99)))+1,99)),IF(TRIM(MID(SUBSTITUTE(F185,";",REPT(" ",99)),100,99))="","",IFERROR(VLOOKUP(--LEFT(TRIM(MID(SUBSTITUTE(F185,";",REPT(" ",99)),100,99)),FIND(":",TRIM(MID(SUBSTITUTE(F185,";",REPT(" ",99)),100,99)))-1),_Lookup!$A:$B,2,FALSE),"?")&amp;"×"&amp;MID(TRIM(MID(SUBSTITUTE(F185,";",REPT(" ",99)),100,99)),FIND(":",TRIM(MID(SUBSTITUTE(F185,";",REPT(" ",99)),100,99)))+1,99)),IF(TRIM(MID(SUBSTITUTE(F185,";",REPT(" ",99)),199,99))="","",IFERROR(VLOOKUP(--LEFT(TRIM(MID(SUBSTITUTE(F185,";",REPT(" ",99)),199,99)),FIND(":",TRIM(MID(SUBSTITUTE(F185,";",REPT(" ",99)),199,99)))-1),_Lookup!$A:$B,2,FALSE),"?")&amp;"×"&amp;MID(TRIM(MID(SUBSTITUTE(F185,";",REPT(" ",99)),199,99)),FIND(":",TRIM(MID(SUBSTITUTE(F185,";",REPT(" ",99)),199,99)))+1,99)),IF(TRIM(MID(SUBSTITUTE(F185,";",REPT(" ",99)),298,99))="","",IFERROR(VLOOKUP(--LEFT(TRIM(MID(SUBSTITUTE(F185,";",REPT(" ",99)),298,99)),FIND(":",TRIM(MID(SUBSTITUTE(F185,";",REPT(" ",99)),298,99)))-1),_Lookup!$A:$B,2,FALSE),"?")&amp;"×"&amp;MID(TRIM(MID(SUBSTITUTE(F185,";",REPT(" ",99)),298,99)),FIND(":",TRIM(MID(SUBSTITUTE(F185,";",REPT(" ",99)),298,99)))+1,99)),IF(TRIM(MID(SUBSTITUTE(F185,";",REPT(" ",99)),397,99))="","",IFERROR(VLOOKUP(--LEFT(TRIM(MID(SUBSTITUTE(F185,";",REPT(" ",99)),397,99)),FIND(":",TRIM(MID(SUBSTITUTE(F185,";",REPT(" ",99)),397,99)))-1),_Lookup!$A:$B,2,FALSE),"?")&amp;"×"&amp;MID(TRIM(MID(SUBSTITUTE(F185,";",REPT(" ",99)),397,99)),FIND(":",TRIM(MID(SUBSTITUTE(F185,";",REPT(" ",99)),397,99)))+1,99))))</f>
        <v/>
      </c>
    </row>
    <row r="186">
      <c r="C186" s="11">
        <f>IFERROR(VLOOKUP(B186,StageData!$A:$B,2,FALSE),"")</f>
        <v/>
      </c>
      <c r="G186" s="11">
        <f>IF(F186="","",TEXTJOIN("; ",TRUE,IF(TRIM(MID(SUBSTITUTE(F186,";",REPT(" ",99)),1,99))="","",IFERROR(VLOOKUP(--LEFT(TRIM(MID(SUBSTITUTE(F186,";",REPT(" ",99)),1,99)),FIND(":",TRIM(MID(SUBSTITUTE(F186,";",REPT(" ",99)),1,99)))-1),_Lookup!$A:$B,2,FALSE),"?")&amp;"×"&amp;MID(TRIM(MID(SUBSTITUTE(F186,";",REPT(" ",99)),1,99)),FIND(":",TRIM(MID(SUBSTITUTE(F186,";",REPT(" ",99)),1,99)))+1,99)),IF(TRIM(MID(SUBSTITUTE(F186,";",REPT(" ",99)),100,99))="","",IFERROR(VLOOKUP(--LEFT(TRIM(MID(SUBSTITUTE(F186,";",REPT(" ",99)),100,99)),FIND(":",TRIM(MID(SUBSTITUTE(F186,";",REPT(" ",99)),100,99)))-1),_Lookup!$A:$B,2,FALSE),"?")&amp;"×"&amp;MID(TRIM(MID(SUBSTITUTE(F186,";",REPT(" ",99)),100,99)),FIND(":",TRIM(MID(SUBSTITUTE(F186,";",REPT(" ",99)),100,99)))+1,99)),IF(TRIM(MID(SUBSTITUTE(F186,";",REPT(" ",99)),199,99))="","",IFERROR(VLOOKUP(--LEFT(TRIM(MID(SUBSTITUTE(F186,";",REPT(" ",99)),199,99)),FIND(":",TRIM(MID(SUBSTITUTE(F186,";",REPT(" ",99)),199,99)))-1),_Lookup!$A:$B,2,FALSE),"?")&amp;"×"&amp;MID(TRIM(MID(SUBSTITUTE(F186,";",REPT(" ",99)),199,99)),FIND(":",TRIM(MID(SUBSTITUTE(F186,";",REPT(" ",99)),199,99)))+1,99)),IF(TRIM(MID(SUBSTITUTE(F186,";",REPT(" ",99)),298,99))="","",IFERROR(VLOOKUP(--LEFT(TRIM(MID(SUBSTITUTE(F186,";",REPT(" ",99)),298,99)),FIND(":",TRIM(MID(SUBSTITUTE(F186,";",REPT(" ",99)),298,99)))-1),_Lookup!$A:$B,2,FALSE),"?")&amp;"×"&amp;MID(TRIM(MID(SUBSTITUTE(F186,";",REPT(" ",99)),298,99)),FIND(":",TRIM(MID(SUBSTITUTE(F186,";",REPT(" ",99)),298,99)))+1,99)),IF(TRIM(MID(SUBSTITUTE(F186,";",REPT(" ",99)),397,99))="","",IFERROR(VLOOKUP(--LEFT(TRIM(MID(SUBSTITUTE(F186,";",REPT(" ",99)),397,99)),FIND(":",TRIM(MID(SUBSTITUTE(F186,";",REPT(" ",99)),397,99)))-1),_Lookup!$A:$B,2,FALSE),"?")&amp;"×"&amp;MID(TRIM(MID(SUBSTITUTE(F186,";",REPT(" ",99)),397,99)),FIND(":",TRIM(MID(SUBSTITUTE(F186,";",REPT(" ",99)),397,99)))+1,99))))</f>
        <v/>
      </c>
    </row>
    <row r="187">
      <c r="C187" s="11">
        <f>IFERROR(VLOOKUP(B187,StageData!$A:$B,2,FALSE),"")</f>
        <v/>
      </c>
      <c r="G187" s="11">
        <f>IF(F187="","",TEXTJOIN("; ",TRUE,IF(TRIM(MID(SUBSTITUTE(F187,";",REPT(" ",99)),1,99))="","",IFERROR(VLOOKUP(--LEFT(TRIM(MID(SUBSTITUTE(F187,";",REPT(" ",99)),1,99)),FIND(":",TRIM(MID(SUBSTITUTE(F187,";",REPT(" ",99)),1,99)))-1),_Lookup!$A:$B,2,FALSE),"?")&amp;"×"&amp;MID(TRIM(MID(SUBSTITUTE(F187,";",REPT(" ",99)),1,99)),FIND(":",TRIM(MID(SUBSTITUTE(F187,";",REPT(" ",99)),1,99)))+1,99)),IF(TRIM(MID(SUBSTITUTE(F187,";",REPT(" ",99)),100,99))="","",IFERROR(VLOOKUP(--LEFT(TRIM(MID(SUBSTITUTE(F187,";",REPT(" ",99)),100,99)),FIND(":",TRIM(MID(SUBSTITUTE(F187,";",REPT(" ",99)),100,99)))-1),_Lookup!$A:$B,2,FALSE),"?")&amp;"×"&amp;MID(TRIM(MID(SUBSTITUTE(F187,";",REPT(" ",99)),100,99)),FIND(":",TRIM(MID(SUBSTITUTE(F187,";",REPT(" ",99)),100,99)))+1,99)),IF(TRIM(MID(SUBSTITUTE(F187,";",REPT(" ",99)),199,99))="","",IFERROR(VLOOKUP(--LEFT(TRIM(MID(SUBSTITUTE(F187,";",REPT(" ",99)),199,99)),FIND(":",TRIM(MID(SUBSTITUTE(F187,";",REPT(" ",99)),199,99)))-1),_Lookup!$A:$B,2,FALSE),"?")&amp;"×"&amp;MID(TRIM(MID(SUBSTITUTE(F187,";",REPT(" ",99)),199,99)),FIND(":",TRIM(MID(SUBSTITUTE(F187,";",REPT(" ",99)),199,99)))+1,99)),IF(TRIM(MID(SUBSTITUTE(F187,";",REPT(" ",99)),298,99))="","",IFERROR(VLOOKUP(--LEFT(TRIM(MID(SUBSTITUTE(F187,";",REPT(" ",99)),298,99)),FIND(":",TRIM(MID(SUBSTITUTE(F187,";",REPT(" ",99)),298,99)))-1),_Lookup!$A:$B,2,FALSE),"?")&amp;"×"&amp;MID(TRIM(MID(SUBSTITUTE(F187,";",REPT(" ",99)),298,99)),FIND(":",TRIM(MID(SUBSTITUTE(F187,";",REPT(" ",99)),298,99)))+1,99)),IF(TRIM(MID(SUBSTITUTE(F187,";",REPT(" ",99)),397,99))="","",IFERROR(VLOOKUP(--LEFT(TRIM(MID(SUBSTITUTE(F187,";",REPT(" ",99)),397,99)),FIND(":",TRIM(MID(SUBSTITUTE(F187,";",REPT(" ",99)),397,99)))-1),_Lookup!$A:$B,2,FALSE),"?")&amp;"×"&amp;MID(TRIM(MID(SUBSTITUTE(F187,";",REPT(" ",99)),397,99)),FIND(":",TRIM(MID(SUBSTITUTE(F187,";",REPT(" ",99)),397,99)))+1,99))))</f>
        <v/>
      </c>
    </row>
    <row r="188">
      <c r="C188" s="11">
        <f>IFERROR(VLOOKUP(B188,StageData!$A:$B,2,FALSE),"")</f>
        <v/>
      </c>
      <c r="G188" s="11">
        <f>IF(F188="","",TEXTJOIN("; ",TRUE,IF(TRIM(MID(SUBSTITUTE(F188,";",REPT(" ",99)),1,99))="","",IFERROR(VLOOKUP(--LEFT(TRIM(MID(SUBSTITUTE(F188,";",REPT(" ",99)),1,99)),FIND(":",TRIM(MID(SUBSTITUTE(F188,";",REPT(" ",99)),1,99)))-1),_Lookup!$A:$B,2,FALSE),"?")&amp;"×"&amp;MID(TRIM(MID(SUBSTITUTE(F188,";",REPT(" ",99)),1,99)),FIND(":",TRIM(MID(SUBSTITUTE(F188,";",REPT(" ",99)),1,99)))+1,99)),IF(TRIM(MID(SUBSTITUTE(F188,";",REPT(" ",99)),100,99))="","",IFERROR(VLOOKUP(--LEFT(TRIM(MID(SUBSTITUTE(F188,";",REPT(" ",99)),100,99)),FIND(":",TRIM(MID(SUBSTITUTE(F188,";",REPT(" ",99)),100,99)))-1),_Lookup!$A:$B,2,FALSE),"?")&amp;"×"&amp;MID(TRIM(MID(SUBSTITUTE(F188,";",REPT(" ",99)),100,99)),FIND(":",TRIM(MID(SUBSTITUTE(F188,";",REPT(" ",99)),100,99)))+1,99)),IF(TRIM(MID(SUBSTITUTE(F188,";",REPT(" ",99)),199,99))="","",IFERROR(VLOOKUP(--LEFT(TRIM(MID(SUBSTITUTE(F188,";",REPT(" ",99)),199,99)),FIND(":",TRIM(MID(SUBSTITUTE(F188,";",REPT(" ",99)),199,99)))-1),_Lookup!$A:$B,2,FALSE),"?")&amp;"×"&amp;MID(TRIM(MID(SUBSTITUTE(F188,";",REPT(" ",99)),199,99)),FIND(":",TRIM(MID(SUBSTITUTE(F188,";",REPT(" ",99)),199,99)))+1,99)),IF(TRIM(MID(SUBSTITUTE(F188,";",REPT(" ",99)),298,99))="","",IFERROR(VLOOKUP(--LEFT(TRIM(MID(SUBSTITUTE(F188,";",REPT(" ",99)),298,99)),FIND(":",TRIM(MID(SUBSTITUTE(F188,";",REPT(" ",99)),298,99)))-1),_Lookup!$A:$B,2,FALSE),"?")&amp;"×"&amp;MID(TRIM(MID(SUBSTITUTE(F188,";",REPT(" ",99)),298,99)),FIND(":",TRIM(MID(SUBSTITUTE(F188,";",REPT(" ",99)),298,99)))+1,99)),IF(TRIM(MID(SUBSTITUTE(F188,";",REPT(" ",99)),397,99))="","",IFERROR(VLOOKUP(--LEFT(TRIM(MID(SUBSTITUTE(F188,";",REPT(" ",99)),397,99)),FIND(":",TRIM(MID(SUBSTITUTE(F188,";",REPT(" ",99)),397,99)))-1),_Lookup!$A:$B,2,FALSE),"?")&amp;"×"&amp;MID(TRIM(MID(SUBSTITUTE(F188,";",REPT(" ",99)),397,99)),FIND(":",TRIM(MID(SUBSTITUTE(F188,";",REPT(" ",99)),397,99)))+1,99))))</f>
        <v/>
      </c>
    </row>
    <row r="189">
      <c r="C189" s="11">
        <f>IFERROR(VLOOKUP(B189,StageData!$A:$B,2,FALSE),"")</f>
        <v/>
      </c>
      <c r="G189" s="11">
        <f>IF(F189="","",TEXTJOIN("; ",TRUE,IF(TRIM(MID(SUBSTITUTE(F189,";",REPT(" ",99)),1,99))="","",IFERROR(VLOOKUP(--LEFT(TRIM(MID(SUBSTITUTE(F189,";",REPT(" ",99)),1,99)),FIND(":",TRIM(MID(SUBSTITUTE(F189,";",REPT(" ",99)),1,99)))-1),_Lookup!$A:$B,2,FALSE),"?")&amp;"×"&amp;MID(TRIM(MID(SUBSTITUTE(F189,";",REPT(" ",99)),1,99)),FIND(":",TRIM(MID(SUBSTITUTE(F189,";",REPT(" ",99)),1,99)))+1,99)),IF(TRIM(MID(SUBSTITUTE(F189,";",REPT(" ",99)),100,99))="","",IFERROR(VLOOKUP(--LEFT(TRIM(MID(SUBSTITUTE(F189,";",REPT(" ",99)),100,99)),FIND(":",TRIM(MID(SUBSTITUTE(F189,";",REPT(" ",99)),100,99)))-1),_Lookup!$A:$B,2,FALSE),"?")&amp;"×"&amp;MID(TRIM(MID(SUBSTITUTE(F189,";",REPT(" ",99)),100,99)),FIND(":",TRIM(MID(SUBSTITUTE(F189,";",REPT(" ",99)),100,99)))+1,99)),IF(TRIM(MID(SUBSTITUTE(F189,";",REPT(" ",99)),199,99))="","",IFERROR(VLOOKUP(--LEFT(TRIM(MID(SUBSTITUTE(F189,";",REPT(" ",99)),199,99)),FIND(":",TRIM(MID(SUBSTITUTE(F189,";",REPT(" ",99)),199,99)))-1),_Lookup!$A:$B,2,FALSE),"?")&amp;"×"&amp;MID(TRIM(MID(SUBSTITUTE(F189,";",REPT(" ",99)),199,99)),FIND(":",TRIM(MID(SUBSTITUTE(F189,";",REPT(" ",99)),199,99)))+1,99)),IF(TRIM(MID(SUBSTITUTE(F189,";",REPT(" ",99)),298,99))="","",IFERROR(VLOOKUP(--LEFT(TRIM(MID(SUBSTITUTE(F189,";",REPT(" ",99)),298,99)),FIND(":",TRIM(MID(SUBSTITUTE(F189,";",REPT(" ",99)),298,99)))-1),_Lookup!$A:$B,2,FALSE),"?")&amp;"×"&amp;MID(TRIM(MID(SUBSTITUTE(F189,";",REPT(" ",99)),298,99)),FIND(":",TRIM(MID(SUBSTITUTE(F189,";",REPT(" ",99)),298,99)))+1,99)),IF(TRIM(MID(SUBSTITUTE(F189,";",REPT(" ",99)),397,99))="","",IFERROR(VLOOKUP(--LEFT(TRIM(MID(SUBSTITUTE(F189,";",REPT(" ",99)),397,99)),FIND(":",TRIM(MID(SUBSTITUTE(F189,";",REPT(" ",99)),397,99)))-1),_Lookup!$A:$B,2,FALSE),"?")&amp;"×"&amp;MID(TRIM(MID(SUBSTITUTE(F189,";",REPT(" ",99)),397,99)),FIND(":",TRIM(MID(SUBSTITUTE(F189,";",REPT(" ",99)),397,99)))+1,99))))</f>
        <v/>
      </c>
    </row>
    <row r="190">
      <c r="C190" s="11">
        <f>IFERROR(VLOOKUP(B190,StageData!$A:$B,2,FALSE),"")</f>
        <v/>
      </c>
      <c r="G190" s="11">
        <f>IF(F190="","",TEXTJOIN("; ",TRUE,IF(TRIM(MID(SUBSTITUTE(F190,";",REPT(" ",99)),1,99))="","",IFERROR(VLOOKUP(--LEFT(TRIM(MID(SUBSTITUTE(F190,";",REPT(" ",99)),1,99)),FIND(":",TRIM(MID(SUBSTITUTE(F190,";",REPT(" ",99)),1,99)))-1),_Lookup!$A:$B,2,FALSE),"?")&amp;"×"&amp;MID(TRIM(MID(SUBSTITUTE(F190,";",REPT(" ",99)),1,99)),FIND(":",TRIM(MID(SUBSTITUTE(F190,";",REPT(" ",99)),1,99)))+1,99)),IF(TRIM(MID(SUBSTITUTE(F190,";",REPT(" ",99)),100,99))="","",IFERROR(VLOOKUP(--LEFT(TRIM(MID(SUBSTITUTE(F190,";",REPT(" ",99)),100,99)),FIND(":",TRIM(MID(SUBSTITUTE(F190,";",REPT(" ",99)),100,99)))-1),_Lookup!$A:$B,2,FALSE),"?")&amp;"×"&amp;MID(TRIM(MID(SUBSTITUTE(F190,";",REPT(" ",99)),100,99)),FIND(":",TRIM(MID(SUBSTITUTE(F190,";",REPT(" ",99)),100,99)))+1,99)),IF(TRIM(MID(SUBSTITUTE(F190,";",REPT(" ",99)),199,99))="","",IFERROR(VLOOKUP(--LEFT(TRIM(MID(SUBSTITUTE(F190,";",REPT(" ",99)),199,99)),FIND(":",TRIM(MID(SUBSTITUTE(F190,";",REPT(" ",99)),199,99)))-1),_Lookup!$A:$B,2,FALSE),"?")&amp;"×"&amp;MID(TRIM(MID(SUBSTITUTE(F190,";",REPT(" ",99)),199,99)),FIND(":",TRIM(MID(SUBSTITUTE(F190,";",REPT(" ",99)),199,99)))+1,99)),IF(TRIM(MID(SUBSTITUTE(F190,";",REPT(" ",99)),298,99))="","",IFERROR(VLOOKUP(--LEFT(TRIM(MID(SUBSTITUTE(F190,";",REPT(" ",99)),298,99)),FIND(":",TRIM(MID(SUBSTITUTE(F190,";",REPT(" ",99)),298,99)))-1),_Lookup!$A:$B,2,FALSE),"?")&amp;"×"&amp;MID(TRIM(MID(SUBSTITUTE(F190,";",REPT(" ",99)),298,99)),FIND(":",TRIM(MID(SUBSTITUTE(F190,";",REPT(" ",99)),298,99)))+1,99)),IF(TRIM(MID(SUBSTITUTE(F190,";",REPT(" ",99)),397,99))="","",IFERROR(VLOOKUP(--LEFT(TRIM(MID(SUBSTITUTE(F190,";",REPT(" ",99)),397,99)),FIND(":",TRIM(MID(SUBSTITUTE(F190,";",REPT(" ",99)),397,99)))-1),_Lookup!$A:$B,2,FALSE),"?")&amp;"×"&amp;MID(TRIM(MID(SUBSTITUTE(F190,";",REPT(" ",99)),397,99)),FIND(":",TRIM(MID(SUBSTITUTE(F190,";",REPT(" ",99)),397,99)))+1,99))))</f>
        <v/>
      </c>
    </row>
    <row r="191">
      <c r="C191" s="11">
        <f>IFERROR(VLOOKUP(B191,StageData!$A:$B,2,FALSE),"")</f>
        <v/>
      </c>
      <c r="G191" s="11">
        <f>IF(F191="","",TEXTJOIN("; ",TRUE,IF(TRIM(MID(SUBSTITUTE(F191,";",REPT(" ",99)),1,99))="","",IFERROR(VLOOKUP(--LEFT(TRIM(MID(SUBSTITUTE(F191,";",REPT(" ",99)),1,99)),FIND(":",TRIM(MID(SUBSTITUTE(F191,";",REPT(" ",99)),1,99)))-1),_Lookup!$A:$B,2,FALSE),"?")&amp;"×"&amp;MID(TRIM(MID(SUBSTITUTE(F191,";",REPT(" ",99)),1,99)),FIND(":",TRIM(MID(SUBSTITUTE(F191,";",REPT(" ",99)),1,99)))+1,99)),IF(TRIM(MID(SUBSTITUTE(F191,";",REPT(" ",99)),100,99))="","",IFERROR(VLOOKUP(--LEFT(TRIM(MID(SUBSTITUTE(F191,";",REPT(" ",99)),100,99)),FIND(":",TRIM(MID(SUBSTITUTE(F191,";",REPT(" ",99)),100,99)))-1),_Lookup!$A:$B,2,FALSE),"?")&amp;"×"&amp;MID(TRIM(MID(SUBSTITUTE(F191,";",REPT(" ",99)),100,99)),FIND(":",TRIM(MID(SUBSTITUTE(F191,";",REPT(" ",99)),100,99)))+1,99)),IF(TRIM(MID(SUBSTITUTE(F191,";",REPT(" ",99)),199,99))="","",IFERROR(VLOOKUP(--LEFT(TRIM(MID(SUBSTITUTE(F191,";",REPT(" ",99)),199,99)),FIND(":",TRIM(MID(SUBSTITUTE(F191,";",REPT(" ",99)),199,99)))-1),_Lookup!$A:$B,2,FALSE),"?")&amp;"×"&amp;MID(TRIM(MID(SUBSTITUTE(F191,";",REPT(" ",99)),199,99)),FIND(":",TRIM(MID(SUBSTITUTE(F191,";",REPT(" ",99)),199,99)))+1,99)),IF(TRIM(MID(SUBSTITUTE(F191,";",REPT(" ",99)),298,99))="","",IFERROR(VLOOKUP(--LEFT(TRIM(MID(SUBSTITUTE(F191,";",REPT(" ",99)),298,99)),FIND(":",TRIM(MID(SUBSTITUTE(F191,";",REPT(" ",99)),298,99)))-1),_Lookup!$A:$B,2,FALSE),"?")&amp;"×"&amp;MID(TRIM(MID(SUBSTITUTE(F191,";",REPT(" ",99)),298,99)),FIND(":",TRIM(MID(SUBSTITUTE(F191,";",REPT(" ",99)),298,99)))+1,99)),IF(TRIM(MID(SUBSTITUTE(F191,";",REPT(" ",99)),397,99))="","",IFERROR(VLOOKUP(--LEFT(TRIM(MID(SUBSTITUTE(F191,";",REPT(" ",99)),397,99)),FIND(":",TRIM(MID(SUBSTITUTE(F191,";",REPT(" ",99)),397,99)))-1),_Lookup!$A:$B,2,FALSE),"?")&amp;"×"&amp;MID(TRIM(MID(SUBSTITUTE(F191,";",REPT(" ",99)),397,99)),FIND(":",TRIM(MID(SUBSTITUTE(F191,";",REPT(" ",99)),397,99)))+1,99))))</f>
        <v/>
      </c>
    </row>
    <row r="192">
      <c r="C192" s="11">
        <f>IFERROR(VLOOKUP(B192,StageData!$A:$B,2,FALSE),"")</f>
        <v/>
      </c>
      <c r="G192" s="11">
        <f>IF(F192="","",TEXTJOIN("; ",TRUE,IF(TRIM(MID(SUBSTITUTE(F192,";",REPT(" ",99)),1,99))="","",IFERROR(VLOOKUP(--LEFT(TRIM(MID(SUBSTITUTE(F192,";",REPT(" ",99)),1,99)),FIND(":",TRIM(MID(SUBSTITUTE(F192,";",REPT(" ",99)),1,99)))-1),_Lookup!$A:$B,2,FALSE),"?")&amp;"×"&amp;MID(TRIM(MID(SUBSTITUTE(F192,";",REPT(" ",99)),1,99)),FIND(":",TRIM(MID(SUBSTITUTE(F192,";",REPT(" ",99)),1,99)))+1,99)),IF(TRIM(MID(SUBSTITUTE(F192,";",REPT(" ",99)),100,99))="","",IFERROR(VLOOKUP(--LEFT(TRIM(MID(SUBSTITUTE(F192,";",REPT(" ",99)),100,99)),FIND(":",TRIM(MID(SUBSTITUTE(F192,";",REPT(" ",99)),100,99)))-1),_Lookup!$A:$B,2,FALSE),"?")&amp;"×"&amp;MID(TRIM(MID(SUBSTITUTE(F192,";",REPT(" ",99)),100,99)),FIND(":",TRIM(MID(SUBSTITUTE(F192,";",REPT(" ",99)),100,99)))+1,99)),IF(TRIM(MID(SUBSTITUTE(F192,";",REPT(" ",99)),199,99))="","",IFERROR(VLOOKUP(--LEFT(TRIM(MID(SUBSTITUTE(F192,";",REPT(" ",99)),199,99)),FIND(":",TRIM(MID(SUBSTITUTE(F192,";",REPT(" ",99)),199,99)))-1),_Lookup!$A:$B,2,FALSE),"?")&amp;"×"&amp;MID(TRIM(MID(SUBSTITUTE(F192,";",REPT(" ",99)),199,99)),FIND(":",TRIM(MID(SUBSTITUTE(F192,";",REPT(" ",99)),199,99)))+1,99)),IF(TRIM(MID(SUBSTITUTE(F192,";",REPT(" ",99)),298,99))="","",IFERROR(VLOOKUP(--LEFT(TRIM(MID(SUBSTITUTE(F192,";",REPT(" ",99)),298,99)),FIND(":",TRIM(MID(SUBSTITUTE(F192,";",REPT(" ",99)),298,99)))-1),_Lookup!$A:$B,2,FALSE),"?")&amp;"×"&amp;MID(TRIM(MID(SUBSTITUTE(F192,";",REPT(" ",99)),298,99)),FIND(":",TRIM(MID(SUBSTITUTE(F192,";",REPT(" ",99)),298,99)))+1,99)),IF(TRIM(MID(SUBSTITUTE(F192,";",REPT(" ",99)),397,99))="","",IFERROR(VLOOKUP(--LEFT(TRIM(MID(SUBSTITUTE(F192,";",REPT(" ",99)),397,99)),FIND(":",TRIM(MID(SUBSTITUTE(F192,";",REPT(" ",99)),397,99)))-1),_Lookup!$A:$B,2,FALSE),"?")&amp;"×"&amp;MID(TRIM(MID(SUBSTITUTE(F192,";",REPT(" ",99)),397,99)),FIND(":",TRIM(MID(SUBSTITUTE(F192,";",REPT(" ",99)),397,99)))+1,99))))</f>
        <v/>
      </c>
    </row>
    <row r="193">
      <c r="C193" s="11">
        <f>IFERROR(VLOOKUP(B193,StageData!$A:$B,2,FALSE),"")</f>
        <v/>
      </c>
      <c r="G193" s="11">
        <f>IF(F193="","",TEXTJOIN("; ",TRUE,IF(TRIM(MID(SUBSTITUTE(F193,";",REPT(" ",99)),1,99))="","",IFERROR(VLOOKUP(--LEFT(TRIM(MID(SUBSTITUTE(F193,";",REPT(" ",99)),1,99)),FIND(":",TRIM(MID(SUBSTITUTE(F193,";",REPT(" ",99)),1,99)))-1),_Lookup!$A:$B,2,FALSE),"?")&amp;"×"&amp;MID(TRIM(MID(SUBSTITUTE(F193,";",REPT(" ",99)),1,99)),FIND(":",TRIM(MID(SUBSTITUTE(F193,";",REPT(" ",99)),1,99)))+1,99)),IF(TRIM(MID(SUBSTITUTE(F193,";",REPT(" ",99)),100,99))="","",IFERROR(VLOOKUP(--LEFT(TRIM(MID(SUBSTITUTE(F193,";",REPT(" ",99)),100,99)),FIND(":",TRIM(MID(SUBSTITUTE(F193,";",REPT(" ",99)),100,99)))-1),_Lookup!$A:$B,2,FALSE),"?")&amp;"×"&amp;MID(TRIM(MID(SUBSTITUTE(F193,";",REPT(" ",99)),100,99)),FIND(":",TRIM(MID(SUBSTITUTE(F193,";",REPT(" ",99)),100,99)))+1,99)),IF(TRIM(MID(SUBSTITUTE(F193,";",REPT(" ",99)),199,99))="","",IFERROR(VLOOKUP(--LEFT(TRIM(MID(SUBSTITUTE(F193,";",REPT(" ",99)),199,99)),FIND(":",TRIM(MID(SUBSTITUTE(F193,";",REPT(" ",99)),199,99)))-1),_Lookup!$A:$B,2,FALSE),"?")&amp;"×"&amp;MID(TRIM(MID(SUBSTITUTE(F193,";",REPT(" ",99)),199,99)),FIND(":",TRIM(MID(SUBSTITUTE(F193,";",REPT(" ",99)),199,99)))+1,99)),IF(TRIM(MID(SUBSTITUTE(F193,";",REPT(" ",99)),298,99))="","",IFERROR(VLOOKUP(--LEFT(TRIM(MID(SUBSTITUTE(F193,";",REPT(" ",99)),298,99)),FIND(":",TRIM(MID(SUBSTITUTE(F193,";",REPT(" ",99)),298,99)))-1),_Lookup!$A:$B,2,FALSE),"?")&amp;"×"&amp;MID(TRIM(MID(SUBSTITUTE(F193,";",REPT(" ",99)),298,99)),FIND(":",TRIM(MID(SUBSTITUTE(F193,";",REPT(" ",99)),298,99)))+1,99)),IF(TRIM(MID(SUBSTITUTE(F193,";",REPT(" ",99)),397,99))="","",IFERROR(VLOOKUP(--LEFT(TRIM(MID(SUBSTITUTE(F193,";",REPT(" ",99)),397,99)),FIND(":",TRIM(MID(SUBSTITUTE(F193,";",REPT(" ",99)),397,99)))-1),_Lookup!$A:$B,2,FALSE),"?")&amp;"×"&amp;MID(TRIM(MID(SUBSTITUTE(F193,";",REPT(" ",99)),397,99)),FIND(":",TRIM(MID(SUBSTITUTE(F193,";",REPT(" ",99)),397,99)))+1,99))))</f>
        <v/>
      </c>
    </row>
    <row r="194">
      <c r="C194" s="11">
        <f>IFERROR(VLOOKUP(B194,StageData!$A:$B,2,FALSE),"")</f>
        <v/>
      </c>
      <c r="G194" s="11">
        <f>IF(F194="","",TEXTJOIN("; ",TRUE,IF(TRIM(MID(SUBSTITUTE(F194,";",REPT(" ",99)),1,99))="","",IFERROR(VLOOKUP(--LEFT(TRIM(MID(SUBSTITUTE(F194,";",REPT(" ",99)),1,99)),FIND(":",TRIM(MID(SUBSTITUTE(F194,";",REPT(" ",99)),1,99)))-1),_Lookup!$A:$B,2,FALSE),"?")&amp;"×"&amp;MID(TRIM(MID(SUBSTITUTE(F194,";",REPT(" ",99)),1,99)),FIND(":",TRIM(MID(SUBSTITUTE(F194,";",REPT(" ",99)),1,99)))+1,99)),IF(TRIM(MID(SUBSTITUTE(F194,";",REPT(" ",99)),100,99))="","",IFERROR(VLOOKUP(--LEFT(TRIM(MID(SUBSTITUTE(F194,";",REPT(" ",99)),100,99)),FIND(":",TRIM(MID(SUBSTITUTE(F194,";",REPT(" ",99)),100,99)))-1),_Lookup!$A:$B,2,FALSE),"?")&amp;"×"&amp;MID(TRIM(MID(SUBSTITUTE(F194,";",REPT(" ",99)),100,99)),FIND(":",TRIM(MID(SUBSTITUTE(F194,";",REPT(" ",99)),100,99)))+1,99)),IF(TRIM(MID(SUBSTITUTE(F194,";",REPT(" ",99)),199,99))="","",IFERROR(VLOOKUP(--LEFT(TRIM(MID(SUBSTITUTE(F194,";",REPT(" ",99)),199,99)),FIND(":",TRIM(MID(SUBSTITUTE(F194,";",REPT(" ",99)),199,99)))-1),_Lookup!$A:$B,2,FALSE),"?")&amp;"×"&amp;MID(TRIM(MID(SUBSTITUTE(F194,";",REPT(" ",99)),199,99)),FIND(":",TRIM(MID(SUBSTITUTE(F194,";",REPT(" ",99)),199,99)))+1,99)),IF(TRIM(MID(SUBSTITUTE(F194,";",REPT(" ",99)),298,99))="","",IFERROR(VLOOKUP(--LEFT(TRIM(MID(SUBSTITUTE(F194,";",REPT(" ",99)),298,99)),FIND(":",TRIM(MID(SUBSTITUTE(F194,";",REPT(" ",99)),298,99)))-1),_Lookup!$A:$B,2,FALSE),"?")&amp;"×"&amp;MID(TRIM(MID(SUBSTITUTE(F194,";",REPT(" ",99)),298,99)),FIND(":",TRIM(MID(SUBSTITUTE(F194,";",REPT(" ",99)),298,99)))+1,99)),IF(TRIM(MID(SUBSTITUTE(F194,";",REPT(" ",99)),397,99))="","",IFERROR(VLOOKUP(--LEFT(TRIM(MID(SUBSTITUTE(F194,";",REPT(" ",99)),397,99)),FIND(":",TRIM(MID(SUBSTITUTE(F194,";",REPT(" ",99)),397,99)))-1),_Lookup!$A:$B,2,FALSE),"?")&amp;"×"&amp;MID(TRIM(MID(SUBSTITUTE(F194,";",REPT(" ",99)),397,99)),FIND(":",TRIM(MID(SUBSTITUTE(F194,";",REPT(" ",99)),397,99)))+1,99))))</f>
        <v/>
      </c>
    </row>
    <row r="195">
      <c r="C195" s="11">
        <f>IFERROR(VLOOKUP(B195,StageData!$A:$B,2,FALSE),"")</f>
        <v/>
      </c>
      <c r="G195" s="11">
        <f>IF(F195="","",TEXTJOIN("; ",TRUE,IF(TRIM(MID(SUBSTITUTE(F195,";",REPT(" ",99)),1,99))="","",IFERROR(VLOOKUP(--LEFT(TRIM(MID(SUBSTITUTE(F195,";",REPT(" ",99)),1,99)),FIND(":",TRIM(MID(SUBSTITUTE(F195,";",REPT(" ",99)),1,99)))-1),_Lookup!$A:$B,2,FALSE),"?")&amp;"×"&amp;MID(TRIM(MID(SUBSTITUTE(F195,";",REPT(" ",99)),1,99)),FIND(":",TRIM(MID(SUBSTITUTE(F195,";",REPT(" ",99)),1,99)))+1,99)),IF(TRIM(MID(SUBSTITUTE(F195,";",REPT(" ",99)),100,99))="","",IFERROR(VLOOKUP(--LEFT(TRIM(MID(SUBSTITUTE(F195,";",REPT(" ",99)),100,99)),FIND(":",TRIM(MID(SUBSTITUTE(F195,";",REPT(" ",99)),100,99)))-1),_Lookup!$A:$B,2,FALSE),"?")&amp;"×"&amp;MID(TRIM(MID(SUBSTITUTE(F195,";",REPT(" ",99)),100,99)),FIND(":",TRIM(MID(SUBSTITUTE(F195,";",REPT(" ",99)),100,99)))+1,99)),IF(TRIM(MID(SUBSTITUTE(F195,";",REPT(" ",99)),199,99))="","",IFERROR(VLOOKUP(--LEFT(TRIM(MID(SUBSTITUTE(F195,";",REPT(" ",99)),199,99)),FIND(":",TRIM(MID(SUBSTITUTE(F195,";",REPT(" ",99)),199,99)))-1),_Lookup!$A:$B,2,FALSE),"?")&amp;"×"&amp;MID(TRIM(MID(SUBSTITUTE(F195,";",REPT(" ",99)),199,99)),FIND(":",TRIM(MID(SUBSTITUTE(F195,";",REPT(" ",99)),199,99)))+1,99)),IF(TRIM(MID(SUBSTITUTE(F195,";",REPT(" ",99)),298,99))="","",IFERROR(VLOOKUP(--LEFT(TRIM(MID(SUBSTITUTE(F195,";",REPT(" ",99)),298,99)),FIND(":",TRIM(MID(SUBSTITUTE(F195,";",REPT(" ",99)),298,99)))-1),_Lookup!$A:$B,2,FALSE),"?")&amp;"×"&amp;MID(TRIM(MID(SUBSTITUTE(F195,";",REPT(" ",99)),298,99)),FIND(":",TRIM(MID(SUBSTITUTE(F195,";",REPT(" ",99)),298,99)))+1,99)),IF(TRIM(MID(SUBSTITUTE(F195,";",REPT(" ",99)),397,99))="","",IFERROR(VLOOKUP(--LEFT(TRIM(MID(SUBSTITUTE(F195,";",REPT(" ",99)),397,99)),FIND(":",TRIM(MID(SUBSTITUTE(F195,";",REPT(" ",99)),397,99)))-1),_Lookup!$A:$B,2,FALSE),"?")&amp;"×"&amp;MID(TRIM(MID(SUBSTITUTE(F195,";",REPT(" ",99)),397,99)),FIND(":",TRIM(MID(SUBSTITUTE(F195,";",REPT(" ",99)),397,99)))+1,99))))</f>
        <v/>
      </c>
    </row>
    <row r="196">
      <c r="C196" s="11">
        <f>IFERROR(VLOOKUP(B196,StageData!$A:$B,2,FALSE),"")</f>
        <v/>
      </c>
      <c r="G196" s="11">
        <f>IF(F196="","",TEXTJOIN("; ",TRUE,IF(TRIM(MID(SUBSTITUTE(F196,";",REPT(" ",99)),1,99))="","",IFERROR(VLOOKUP(--LEFT(TRIM(MID(SUBSTITUTE(F196,";",REPT(" ",99)),1,99)),FIND(":",TRIM(MID(SUBSTITUTE(F196,";",REPT(" ",99)),1,99)))-1),_Lookup!$A:$B,2,FALSE),"?")&amp;"×"&amp;MID(TRIM(MID(SUBSTITUTE(F196,";",REPT(" ",99)),1,99)),FIND(":",TRIM(MID(SUBSTITUTE(F196,";",REPT(" ",99)),1,99)))+1,99)),IF(TRIM(MID(SUBSTITUTE(F196,";",REPT(" ",99)),100,99))="","",IFERROR(VLOOKUP(--LEFT(TRIM(MID(SUBSTITUTE(F196,";",REPT(" ",99)),100,99)),FIND(":",TRIM(MID(SUBSTITUTE(F196,";",REPT(" ",99)),100,99)))-1),_Lookup!$A:$B,2,FALSE),"?")&amp;"×"&amp;MID(TRIM(MID(SUBSTITUTE(F196,";",REPT(" ",99)),100,99)),FIND(":",TRIM(MID(SUBSTITUTE(F196,";",REPT(" ",99)),100,99)))+1,99)),IF(TRIM(MID(SUBSTITUTE(F196,";",REPT(" ",99)),199,99))="","",IFERROR(VLOOKUP(--LEFT(TRIM(MID(SUBSTITUTE(F196,";",REPT(" ",99)),199,99)),FIND(":",TRIM(MID(SUBSTITUTE(F196,";",REPT(" ",99)),199,99)))-1),_Lookup!$A:$B,2,FALSE),"?")&amp;"×"&amp;MID(TRIM(MID(SUBSTITUTE(F196,";",REPT(" ",99)),199,99)),FIND(":",TRIM(MID(SUBSTITUTE(F196,";",REPT(" ",99)),199,99)))+1,99)),IF(TRIM(MID(SUBSTITUTE(F196,";",REPT(" ",99)),298,99))="","",IFERROR(VLOOKUP(--LEFT(TRIM(MID(SUBSTITUTE(F196,";",REPT(" ",99)),298,99)),FIND(":",TRIM(MID(SUBSTITUTE(F196,";",REPT(" ",99)),298,99)))-1),_Lookup!$A:$B,2,FALSE),"?")&amp;"×"&amp;MID(TRIM(MID(SUBSTITUTE(F196,";",REPT(" ",99)),298,99)),FIND(":",TRIM(MID(SUBSTITUTE(F196,";",REPT(" ",99)),298,99)))+1,99)),IF(TRIM(MID(SUBSTITUTE(F196,";",REPT(" ",99)),397,99))="","",IFERROR(VLOOKUP(--LEFT(TRIM(MID(SUBSTITUTE(F196,";",REPT(" ",99)),397,99)),FIND(":",TRIM(MID(SUBSTITUTE(F196,";",REPT(" ",99)),397,99)))-1),_Lookup!$A:$B,2,FALSE),"?")&amp;"×"&amp;MID(TRIM(MID(SUBSTITUTE(F196,";",REPT(" ",99)),397,99)),FIND(":",TRIM(MID(SUBSTITUTE(F196,";",REPT(" ",99)),397,99)))+1,99))))</f>
        <v/>
      </c>
    </row>
    <row r="197">
      <c r="C197" s="11">
        <f>IFERROR(VLOOKUP(B197,StageData!$A:$B,2,FALSE),"")</f>
        <v/>
      </c>
      <c r="G197" s="11">
        <f>IF(F197="","",TEXTJOIN("; ",TRUE,IF(TRIM(MID(SUBSTITUTE(F197,";",REPT(" ",99)),1,99))="","",IFERROR(VLOOKUP(--LEFT(TRIM(MID(SUBSTITUTE(F197,";",REPT(" ",99)),1,99)),FIND(":",TRIM(MID(SUBSTITUTE(F197,";",REPT(" ",99)),1,99)))-1),_Lookup!$A:$B,2,FALSE),"?")&amp;"×"&amp;MID(TRIM(MID(SUBSTITUTE(F197,";",REPT(" ",99)),1,99)),FIND(":",TRIM(MID(SUBSTITUTE(F197,";",REPT(" ",99)),1,99)))+1,99)),IF(TRIM(MID(SUBSTITUTE(F197,";",REPT(" ",99)),100,99))="","",IFERROR(VLOOKUP(--LEFT(TRIM(MID(SUBSTITUTE(F197,";",REPT(" ",99)),100,99)),FIND(":",TRIM(MID(SUBSTITUTE(F197,";",REPT(" ",99)),100,99)))-1),_Lookup!$A:$B,2,FALSE),"?")&amp;"×"&amp;MID(TRIM(MID(SUBSTITUTE(F197,";",REPT(" ",99)),100,99)),FIND(":",TRIM(MID(SUBSTITUTE(F197,";",REPT(" ",99)),100,99)))+1,99)),IF(TRIM(MID(SUBSTITUTE(F197,";",REPT(" ",99)),199,99))="","",IFERROR(VLOOKUP(--LEFT(TRIM(MID(SUBSTITUTE(F197,";",REPT(" ",99)),199,99)),FIND(":",TRIM(MID(SUBSTITUTE(F197,";",REPT(" ",99)),199,99)))-1),_Lookup!$A:$B,2,FALSE),"?")&amp;"×"&amp;MID(TRIM(MID(SUBSTITUTE(F197,";",REPT(" ",99)),199,99)),FIND(":",TRIM(MID(SUBSTITUTE(F197,";",REPT(" ",99)),199,99)))+1,99)),IF(TRIM(MID(SUBSTITUTE(F197,";",REPT(" ",99)),298,99))="","",IFERROR(VLOOKUP(--LEFT(TRIM(MID(SUBSTITUTE(F197,";",REPT(" ",99)),298,99)),FIND(":",TRIM(MID(SUBSTITUTE(F197,";",REPT(" ",99)),298,99)))-1),_Lookup!$A:$B,2,FALSE),"?")&amp;"×"&amp;MID(TRIM(MID(SUBSTITUTE(F197,";",REPT(" ",99)),298,99)),FIND(":",TRIM(MID(SUBSTITUTE(F197,";",REPT(" ",99)),298,99)))+1,99)),IF(TRIM(MID(SUBSTITUTE(F197,";",REPT(" ",99)),397,99))="","",IFERROR(VLOOKUP(--LEFT(TRIM(MID(SUBSTITUTE(F197,";",REPT(" ",99)),397,99)),FIND(":",TRIM(MID(SUBSTITUTE(F197,";",REPT(" ",99)),397,99)))-1),_Lookup!$A:$B,2,FALSE),"?")&amp;"×"&amp;MID(TRIM(MID(SUBSTITUTE(F197,";",REPT(" ",99)),397,99)),FIND(":",TRIM(MID(SUBSTITUTE(F197,";",REPT(" ",99)),397,99)))+1,99))))</f>
        <v/>
      </c>
    </row>
    <row r="198">
      <c r="C198" s="11">
        <f>IFERROR(VLOOKUP(B198,StageData!$A:$B,2,FALSE),"")</f>
        <v/>
      </c>
      <c r="G198" s="11">
        <f>IF(F198="","",TEXTJOIN("; ",TRUE,IF(TRIM(MID(SUBSTITUTE(F198,";",REPT(" ",99)),1,99))="","",IFERROR(VLOOKUP(--LEFT(TRIM(MID(SUBSTITUTE(F198,";",REPT(" ",99)),1,99)),FIND(":",TRIM(MID(SUBSTITUTE(F198,";",REPT(" ",99)),1,99)))-1),_Lookup!$A:$B,2,FALSE),"?")&amp;"×"&amp;MID(TRIM(MID(SUBSTITUTE(F198,";",REPT(" ",99)),1,99)),FIND(":",TRIM(MID(SUBSTITUTE(F198,";",REPT(" ",99)),1,99)))+1,99)),IF(TRIM(MID(SUBSTITUTE(F198,";",REPT(" ",99)),100,99))="","",IFERROR(VLOOKUP(--LEFT(TRIM(MID(SUBSTITUTE(F198,";",REPT(" ",99)),100,99)),FIND(":",TRIM(MID(SUBSTITUTE(F198,";",REPT(" ",99)),100,99)))-1),_Lookup!$A:$B,2,FALSE),"?")&amp;"×"&amp;MID(TRIM(MID(SUBSTITUTE(F198,";",REPT(" ",99)),100,99)),FIND(":",TRIM(MID(SUBSTITUTE(F198,";",REPT(" ",99)),100,99)))+1,99)),IF(TRIM(MID(SUBSTITUTE(F198,";",REPT(" ",99)),199,99))="","",IFERROR(VLOOKUP(--LEFT(TRIM(MID(SUBSTITUTE(F198,";",REPT(" ",99)),199,99)),FIND(":",TRIM(MID(SUBSTITUTE(F198,";",REPT(" ",99)),199,99)))-1),_Lookup!$A:$B,2,FALSE),"?")&amp;"×"&amp;MID(TRIM(MID(SUBSTITUTE(F198,";",REPT(" ",99)),199,99)),FIND(":",TRIM(MID(SUBSTITUTE(F198,";",REPT(" ",99)),199,99)))+1,99)),IF(TRIM(MID(SUBSTITUTE(F198,";",REPT(" ",99)),298,99))="","",IFERROR(VLOOKUP(--LEFT(TRIM(MID(SUBSTITUTE(F198,";",REPT(" ",99)),298,99)),FIND(":",TRIM(MID(SUBSTITUTE(F198,";",REPT(" ",99)),298,99)))-1),_Lookup!$A:$B,2,FALSE),"?")&amp;"×"&amp;MID(TRIM(MID(SUBSTITUTE(F198,";",REPT(" ",99)),298,99)),FIND(":",TRIM(MID(SUBSTITUTE(F198,";",REPT(" ",99)),298,99)))+1,99)),IF(TRIM(MID(SUBSTITUTE(F198,";",REPT(" ",99)),397,99))="","",IFERROR(VLOOKUP(--LEFT(TRIM(MID(SUBSTITUTE(F198,";",REPT(" ",99)),397,99)),FIND(":",TRIM(MID(SUBSTITUTE(F198,";",REPT(" ",99)),397,99)))-1),_Lookup!$A:$B,2,FALSE),"?")&amp;"×"&amp;MID(TRIM(MID(SUBSTITUTE(F198,";",REPT(" ",99)),397,99)),FIND(":",TRIM(MID(SUBSTITUTE(F198,";",REPT(" ",99)),397,99)))+1,99))))</f>
        <v/>
      </c>
    </row>
    <row r="199">
      <c r="C199" s="11">
        <f>IFERROR(VLOOKUP(B199,StageData!$A:$B,2,FALSE),"")</f>
        <v/>
      </c>
      <c r="G199" s="11">
        <f>IF(F199="","",TEXTJOIN("; ",TRUE,IF(TRIM(MID(SUBSTITUTE(F199,";",REPT(" ",99)),1,99))="","",IFERROR(VLOOKUP(--LEFT(TRIM(MID(SUBSTITUTE(F199,";",REPT(" ",99)),1,99)),FIND(":",TRIM(MID(SUBSTITUTE(F199,";",REPT(" ",99)),1,99)))-1),_Lookup!$A:$B,2,FALSE),"?")&amp;"×"&amp;MID(TRIM(MID(SUBSTITUTE(F199,";",REPT(" ",99)),1,99)),FIND(":",TRIM(MID(SUBSTITUTE(F199,";",REPT(" ",99)),1,99)))+1,99)),IF(TRIM(MID(SUBSTITUTE(F199,";",REPT(" ",99)),100,99))="","",IFERROR(VLOOKUP(--LEFT(TRIM(MID(SUBSTITUTE(F199,";",REPT(" ",99)),100,99)),FIND(":",TRIM(MID(SUBSTITUTE(F199,";",REPT(" ",99)),100,99)))-1),_Lookup!$A:$B,2,FALSE),"?")&amp;"×"&amp;MID(TRIM(MID(SUBSTITUTE(F199,";",REPT(" ",99)),100,99)),FIND(":",TRIM(MID(SUBSTITUTE(F199,";",REPT(" ",99)),100,99)))+1,99)),IF(TRIM(MID(SUBSTITUTE(F199,";",REPT(" ",99)),199,99))="","",IFERROR(VLOOKUP(--LEFT(TRIM(MID(SUBSTITUTE(F199,";",REPT(" ",99)),199,99)),FIND(":",TRIM(MID(SUBSTITUTE(F199,";",REPT(" ",99)),199,99)))-1),_Lookup!$A:$B,2,FALSE),"?")&amp;"×"&amp;MID(TRIM(MID(SUBSTITUTE(F199,";",REPT(" ",99)),199,99)),FIND(":",TRIM(MID(SUBSTITUTE(F199,";",REPT(" ",99)),199,99)))+1,99)),IF(TRIM(MID(SUBSTITUTE(F199,";",REPT(" ",99)),298,99))="","",IFERROR(VLOOKUP(--LEFT(TRIM(MID(SUBSTITUTE(F199,";",REPT(" ",99)),298,99)),FIND(":",TRIM(MID(SUBSTITUTE(F199,";",REPT(" ",99)),298,99)))-1),_Lookup!$A:$B,2,FALSE),"?")&amp;"×"&amp;MID(TRIM(MID(SUBSTITUTE(F199,";",REPT(" ",99)),298,99)),FIND(":",TRIM(MID(SUBSTITUTE(F199,";",REPT(" ",99)),298,99)))+1,99)),IF(TRIM(MID(SUBSTITUTE(F199,";",REPT(" ",99)),397,99))="","",IFERROR(VLOOKUP(--LEFT(TRIM(MID(SUBSTITUTE(F199,";",REPT(" ",99)),397,99)),FIND(":",TRIM(MID(SUBSTITUTE(F199,";",REPT(" ",99)),397,99)))-1),_Lookup!$A:$B,2,FALSE),"?")&amp;"×"&amp;MID(TRIM(MID(SUBSTITUTE(F199,";",REPT(" ",99)),397,99)),FIND(":",TRIM(MID(SUBSTITUTE(F199,";",REPT(" ",99)),397,99)))+1,99))))</f>
        <v/>
      </c>
    </row>
    <row r="200">
      <c r="C200" s="11">
        <f>IFERROR(VLOOKUP(B200,StageData!$A:$B,2,FALSE),"")</f>
        <v/>
      </c>
      <c r="G200" s="11">
        <f>IF(F200="","",TEXTJOIN("; ",TRUE,IF(TRIM(MID(SUBSTITUTE(F200,";",REPT(" ",99)),1,99))="","",IFERROR(VLOOKUP(--LEFT(TRIM(MID(SUBSTITUTE(F200,";",REPT(" ",99)),1,99)),FIND(":",TRIM(MID(SUBSTITUTE(F200,";",REPT(" ",99)),1,99)))-1),_Lookup!$A:$B,2,FALSE),"?")&amp;"×"&amp;MID(TRIM(MID(SUBSTITUTE(F200,";",REPT(" ",99)),1,99)),FIND(":",TRIM(MID(SUBSTITUTE(F200,";",REPT(" ",99)),1,99)))+1,99)),IF(TRIM(MID(SUBSTITUTE(F200,";",REPT(" ",99)),100,99))="","",IFERROR(VLOOKUP(--LEFT(TRIM(MID(SUBSTITUTE(F200,";",REPT(" ",99)),100,99)),FIND(":",TRIM(MID(SUBSTITUTE(F200,";",REPT(" ",99)),100,99)))-1),_Lookup!$A:$B,2,FALSE),"?")&amp;"×"&amp;MID(TRIM(MID(SUBSTITUTE(F200,";",REPT(" ",99)),100,99)),FIND(":",TRIM(MID(SUBSTITUTE(F200,";",REPT(" ",99)),100,99)))+1,99)),IF(TRIM(MID(SUBSTITUTE(F200,";",REPT(" ",99)),199,99))="","",IFERROR(VLOOKUP(--LEFT(TRIM(MID(SUBSTITUTE(F200,";",REPT(" ",99)),199,99)),FIND(":",TRIM(MID(SUBSTITUTE(F200,";",REPT(" ",99)),199,99)))-1),_Lookup!$A:$B,2,FALSE),"?")&amp;"×"&amp;MID(TRIM(MID(SUBSTITUTE(F200,";",REPT(" ",99)),199,99)),FIND(":",TRIM(MID(SUBSTITUTE(F200,";",REPT(" ",99)),199,99)))+1,99)),IF(TRIM(MID(SUBSTITUTE(F200,";",REPT(" ",99)),298,99))="","",IFERROR(VLOOKUP(--LEFT(TRIM(MID(SUBSTITUTE(F200,";",REPT(" ",99)),298,99)),FIND(":",TRIM(MID(SUBSTITUTE(F200,";",REPT(" ",99)),298,99)))-1),_Lookup!$A:$B,2,FALSE),"?")&amp;"×"&amp;MID(TRIM(MID(SUBSTITUTE(F200,";",REPT(" ",99)),298,99)),FIND(":",TRIM(MID(SUBSTITUTE(F200,";",REPT(" ",99)),298,99)))+1,99)),IF(TRIM(MID(SUBSTITUTE(F200,";",REPT(" ",99)),397,99))="","",IFERROR(VLOOKUP(--LEFT(TRIM(MID(SUBSTITUTE(F200,";",REPT(" ",99)),397,99)),FIND(":",TRIM(MID(SUBSTITUTE(F200,";",REPT(" ",99)),397,99)))-1),_Lookup!$A:$B,2,FALSE),"?")&amp;"×"&amp;MID(TRIM(MID(SUBSTITUTE(F200,";",REPT(" ",99)),397,99)),FIND(":",TRIM(MID(SUBSTITUTE(F200,";",REPT(" ",99)),397,99)))+1,99))))</f>
        <v/>
      </c>
    </row>
    <row r="201">
      <c r="C201" s="11">
        <f>IFERROR(VLOOKUP(B201,StageData!$A:$B,2,FALSE),"")</f>
        <v/>
      </c>
      <c r="G201" s="11">
        <f>IF(F201="","",TEXTJOIN("; ",TRUE,IF(TRIM(MID(SUBSTITUTE(F201,";",REPT(" ",99)),1,99))="","",IFERROR(VLOOKUP(--LEFT(TRIM(MID(SUBSTITUTE(F201,";",REPT(" ",99)),1,99)),FIND(":",TRIM(MID(SUBSTITUTE(F201,";",REPT(" ",99)),1,99)))-1),_Lookup!$A:$B,2,FALSE),"?")&amp;"×"&amp;MID(TRIM(MID(SUBSTITUTE(F201,";",REPT(" ",99)),1,99)),FIND(":",TRIM(MID(SUBSTITUTE(F201,";",REPT(" ",99)),1,99)))+1,99)),IF(TRIM(MID(SUBSTITUTE(F201,";",REPT(" ",99)),100,99))="","",IFERROR(VLOOKUP(--LEFT(TRIM(MID(SUBSTITUTE(F201,";",REPT(" ",99)),100,99)),FIND(":",TRIM(MID(SUBSTITUTE(F201,";",REPT(" ",99)),100,99)))-1),_Lookup!$A:$B,2,FALSE),"?")&amp;"×"&amp;MID(TRIM(MID(SUBSTITUTE(F201,";",REPT(" ",99)),100,99)),FIND(":",TRIM(MID(SUBSTITUTE(F201,";",REPT(" ",99)),100,99)))+1,99)),IF(TRIM(MID(SUBSTITUTE(F201,";",REPT(" ",99)),199,99))="","",IFERROR(VLOOKUP(--LEFT(TRIM(MID(SUBSTITUTE(F201,";",REPT(" ",99)),199,99)),FIND(":",TRIM(MID(SUBSTITUTE(F201,";",REPT(" ",99)),199,99)))-1),_Lookup!$A:$B,2,FALSE),"?")&amp;"×"&amp;MID(TRIM(MID(SUBSTITUTE(F201,";",REPT(" ",99)),199,99)),FIND(":",TRIM(MID(SUBSTITUTE(F201,";",REPT(" ",99)),199,99)))+1,99)),IF(TRIM(MID(SUBSTITUTE(F201,";",REPT(" ",99)),298,99))="","",IFERROR(VLOOKUP(--LEFT(TRIM(MID(SUBSTITUTE(F201,";",REPT(" ",99)),298,99)),FIND(":",TRIM(MID(SUBSTITUTE(F201,";",REPT(" ",99)),298,99)))-1),_Lookup!$A:$B,2,FALSE),"?")&amp;"×"&amp;MID(TRIM(MID(SUBSTITUTE(F201,";",REPT(" ",99)),298,99)),FIND(":",TRIM(MID(SUBSTITUTE(F201,";",REPT(" ",99)),298,99)))+1,99)),IF(TRIM(MID(SUBSTITUTE(F201,";",REPT(" ",99)),397,99))="","",IFERROR(VLOOKUP(--LEFT(TRIM(MID(SUBSTITUTE(F201,";",REPT(" ",99)),397,99)),FIND(":",TRIM(MID(SUBSTITUTE(F201,";",REPT(" ",99)),397,99)))-1),_Lookup!$A:$B,2,FALSE),"?")&amp;"×"&amp;MID(TRIM(MID(SUBSTITUTE(F201,";",REPT(" ",99)),397,99)),FIND(":",TRIM(MID(SUBSTITUTE(F201,";",REPT(" ",99)),397,99)))+1,99))))</f>
        <v/>
      </c>
    </row>
    <row r="202">
      <c r="C202" s="11">
        <f>IFERROR(VLOOKUP(B202,StageData!$A:$B,2,FALSE),"")</f>
        <v/>
      </c>
      <c r="G202" s="11">
        <f>IF(F202="","",TEXTJOIN("; ",TRUE,IF(TRIM(MID(SUBSTITUTE(F202,";",REPT(" ",99)),1,99))="","",IFERROR(VLOOKUP(--LEFT(TRIM(MID(SUBSTITUTE(F202,";",REPT(" ",99)),1,99)),FIND(":",TRIM(MID(SUBSTITUTE(F202,";",REPT(" ",99)),1,99)))-1),_Lookup!$A:$B,2,FALSE),"?")&amp;"×"&amp;MID(TRIM(MID(SUBSTITUTE(F202,";",REPT(" ",99)),1,99)),FIND(":",TRIM(MID(SUBSTITUTE(F202,";",REPT(" ",99)),1,99)))+1,99)),IF(TRIM(MID(SUBSTITUTE(F202,";",REPT(" ",99)),100,99))="","",IFERROR(VLOOKUP(--LEFT(TRIM(MID(SUBSTITUTE(F202,";",REPT(" ",99)),100,99)),FIND(":",TRIM(MID(SUBSTITUTE(F202,";",REPT(" ",99)),100,99)))-1),_Lookup!$A:$B,2,FALSE),"?")&amp;"×"&amp;MID(TRIM(MID(SUBSTITUTE(F202,";",REPT(" ",99)),100,99)),FIND(":",TRIM(MID(SUBSTITUTE(F202,";",REPT(" ",99)),100,99)))+1,99)),IF(TRIM(MID(SUBSTITUTE(F202,";",REPT(" ",99)),199,99))="","",IFERROR(VLOOKUP(--LEFT(TRIM(MID(SUBSTITUTE(F202,";",REPT(" ",99)),199,99)),FIND(":",TRIM(MID(SUBSTITUTE(F202,";",REPT(" ",99)),199,99)))-1),_Lookup!$A:$B,2,FALSE),"?")&amp;"×"&amp;MID(TRIM(MID(SUBSTITUTE(F202,";",REPT(" ",99)),199,99)),FIND(":",TRIM(MID(SUBSTITUTE(F202,";",REPT(" ",99)),199,99)))+1,99)),IF(TRIM(MID(SUBSTITUTE(F202,";",REPT(" ",99)),298,99))="","",IFERROR(VLOOKUP(--LEFT(TRIM(MID(SUBSTITUTE(F202,";",REPT(" ",99)),298,99)),FIND(":",TRIM(MID(SUBSTITUTE(F202,";",REPT(" ",99)),298,99)))-1),_Lookup!$A:$B,2,FALSE),"?")&amp;"×"&amp;MID(TRIM(MID(SUBSTITUTE(F202,";",REPT(" ",99)),298,99)),FIND(":",TRIM(MID(SUBSTITUTE(F202,";",REPT(" ",99)),298,99)))+1,99)),IF(TRIM(MID(SUBSTITUTE(F202,";",REPT(" ",99)),397,99))="","",IFERROR(VLOOKUP(--LEFT(TRIM(MID(SUBSTITUTE(F202,";",REPT(" ",99)),397,99)),FIND(":",TRIM(MID(SUBSTITUTE(F202,";",REPT(" ",99)),397,99)))-1),_Lookup!$A:$B,2,FALSE),"?")&amp;"×"&amp;MID(TRIM(MID(SUBSTITUTE(F202,";",REPT(" ",99)),397,99)),FIND(":",TRIM(MID(SUBSTITUTE(F202,";",REPT(" ",99)),397,99)))+1,99))))</f>
        <v/>
      </c>
    </row>
    <row r="203">
      <c r="C203" s="11">
        <f>IFERROR(VLOOKUP(B203,StageData!$A:$B,2,FALSE),"")</f>
        <v/>
      </c>
      <c r="G203" s="11">
        <f>IF(F203="","",TEXTJOIN("; ",TRUE,IF(TRIM(MID(SUBSTITUTE(F203,";",REPT(" ",99)),1,99))="","",IFERROR(VLOOKUP(--LEFT(TRIM(MID(SUBSTITUTE(F203,";",REPT(" ",99)),1,99)),FIND(":",TRIM(MID(SUBSTITUTE(F203,";",REPT(" ",99)),1,99)))-1),_Lookup!$A:$B,2,FALSE),"?")&amp;"×"&amp;MID(TRIM(MID(SUBSTITUTE(F203,";",REPT(" ",99)),1,99)),FIND(":",TRIM(MID(SUBSTITUTE(F203,";",REPT(" ",99)),1,99)))+1,99)),IF(TRIM(MID(SUBSTITUTE(F203,";",REPT(" ",99)),100,99))="","",IFERROR(VLOOKUP(--LEFT(TRIM(MID(SUBSTITUTE(F203,";",REPT(" ",99)),100,99)),FIND(":",TRIM(MID(SUBSTITUTE(F203,";",REPT(" ",99)),100,99)))-1),_Lookup!$A:$B,2,FALSE),"?")&amp;"×"&amp;MID(TRIM(MID(SUBSTITUTE(F203,";",REPT(" ",99)),100,99)),FIND(":",TRIM(MID(SUBSTITUTE(F203,";",REPT(" ",99)),100,99)))+1,99)),IF(TRIM(MID(SUBSTITUTE(F203,";",REPT(" ",99)),199,99))="","",IFERROR(VLOOKUP(--LEFT(TRIM(MID(SUBSTITUTE(F203,";",REPT(" ",99)),199,99)),FIND(":",TRIM(MID(SUBSTITUTE(F203,";",REPT(" ",99)),199,99)))-1),_Lookup!$A:$B,2,FALSE),"?")&amp;"×"&amp;MID(TRIM(MID(SUBSTITUTE(F203,";",REPT(" ",99)),199,99)),FIND(":",TRIM(MID(SUBSTITUTE(F203,";",REPT(" ",99)),199,99)))+1,99)),IF(TRIM(MID(SUBSTITUTE(F203,";",REPT(" ",99)),298,99))="","",IFERROR(VLOOKUP(--LEFT(TRIM(MID(SUBSTITUTE(F203,";",REPT(" ",99)),298,99)),FIND(":",TRIM(MID(SUBSTITUTE(F203,";",REPT(" ",99)),298,99)))-1),_Lookup!$A:$B,2,FALSE),"?")&amp;"×"&amp;MID(TRIM(MID(SUBSTITUTE(F203,";",REPT(" ",99)),298,99)),FIND(":",TRIM(MID(SUBSTITUTE(F203,";",REPT(" ",99)),298,99)))+1,99)),IF(TRIM(MID(SUBSTITUTE(F203,";",REPT(" ",99)),397,99))="","",IFERROR(VLOOKUP(--LEFT(TRIM(MID(SUBSTITUTE(F203,";",REPT(" ",99)),397,99)),FIND(":",TRIM(MID(SUBSTITUTE(F203,";",REPT(" ",99)),397,99)))-1),_Lookup!$A:$B,2,FALSE),"?")&amp;"×"&amp;MID(TRIM(MID(SUBSTITUTE(F203,";",REPT(" ",99)),397,99)),FIND(":",TRIM(MID(SUBSTITUTE(F203,";",REPT(" ",99)),397,99)))+1,99))))</f>
        <v/>
      </c>
    </row>
    <row r="204">
      <c r="C204" s="11">
        <f>IFERROR(VLOOKUP(B204,StageData!$A:$B,2,FALSE),"")</f>
        <v/>
      </c>
      <c r="G204" s="11">
        <f>IF(F204="","",TEXTJOIN("; ",TRUE,IF(TRIM(MID(SUBSTITUTE(F204,";",REPT(" ",99)),1,99))="","",IFERROR(VLOOKUP(--LEFT(TRIM(MID(SUBSTITUTE(F204,";",REPT(" ",99)),1,99)),FIND(":",TRIM(MID(SUBSTITUTE(F204,";",REPT(" ",99)),1,99)))-1),_Lookup!$A:$B,2,FALSE),"?")&amp;"×"&amp;MID(TRIM(MID(SUBSTITUTE(F204,";",REPT(" ",99)),1,99)),FIND(":",TRIM(MID(SUBSTITUTE(F204,";",REPT(" ",99)),1,99)))+1,99)),IF(TRIM(MID(SUBSTITUTE(F204,";",REPT(" ",99)),100,99))="","",IFERROR(VLOOKUP(--LEFT(TRIM(MID(SUBSTITUTE(F204,";",REPT(" ",99)),100,99)),FIND(":",TRIM(MID(SUBSTITUTE(F204,";",REPT(" ",99)),100,99)))-1),_Lookup!$A:$B,2,FALSE),"?")&amp;"×"&amp;MID(TRIM(MID(SUBSTITUTE(F204,";",REPT(" ",99)),100,99)),FIND(":",TRIM(MID(SUBSTITUTE(F204,";",REPT(" ",99)),100,99)))+1,99)),IF(TRIM(MID(SUBSTITUTE(F204,";",REPT(" ",99)),199,99))="","",IFERROR(VLOOKUP(--LEFT(TRIM(MID(SUBSTITUTE(F204,";",REPT(" ",99)),199,99)),FIND(":",TRIM(MID(SUBSTITUTE(F204,";",REPT(" ",99)),199,99)))-1),_Lookup!$A:$B,2,FALSE),"?")&amp;"×"&amp;MID(TRIM(MID(SUBSTITUTE(F204,";",REPT(" ",99)),199,99)),FIND(":",TRIM(MID(SUBSTITUTE(F204,";",REPT(" ",99)),199,99)))+1,99)),IF(TRIM(MID(SUBSTITUTE(F204,";",REPT(" ",99)),298,99))="","",IFERROR(VLOOKUP(--LEFT(TRIM(MID(SUBSTITUTE(F204,";",REPT(" ",99)),298,99)),FIND(":",TRIM(MID(SUBSTITUTE(F204,";",REPT(" ",99)),298,99)))-1),_Lookup!$A:$B,2,FALSE),"?")&amp;"×"&amp;MID(TRIM(MID(SUBSTITUTE(F204,";",REPT(" ",99)),298,99)),FIND(":",TRIM(MID(SUBSTITUTE(F204,";",REPT(" ",99)),298,99)))+1,99)),IF(TRIM(MID(SUBSTITUTE(F204,";",REPT(" ",99)),397,99))="","",IFERROR(VLOOKUP(--LEFT(TRIM(MID(SUBSTITUTE(F204,";",REPT(" ",99)),397,99)),FIND(":",TRIM(MID(SUBSTITUTE(F204,";",REPT(" ",99)),397,99)))-1),_Lookup!$A:$B,2,FALSE),"?")&amp;"×"&amp;MID(TRIM(MID(SUBSTITUTE(F204,";",REPT(" ",99)),397,99)),FIND(":",TRIM(MID(SUBSTITUTE(F204,";",REPT(" ",99)),397,99)))+1,99))))</f>
        <v/>
      </c>
    </row>
    <row r="205">
      <c r="C205" s="11">
        <f>IFERROR(VLOOKUP(B205,StageData!$A:$B,2,FALSE),"")</f>
        <v/>
      </c>
      <c r="G205" s="11">
        <f>IF(F205="","",TEXTJOIN("; ",TRUE,IF(TRIM(MID(SUBSTITUTE(F205,";",REPT(" ",99)),1,99))="","",IFERROR(VLOOKUP(--LEFT(TRIM(MID(SUBSTITUTE(F205,";",REPT(" ",99)),1,99)),FIND(":",TRIM(MID(SUBSTITUTE(F205,";",REPT(" ",99)),1,99)))-1),_Lookup!$A:$B,2,FALSE),"?")&amp;"×"&amp;MID(TRIM(MID(SUBSTITUTE(F205,";",REPT(" ",99)),1,99)),FIND(":",TRIM(MID(SUBSTITUTE(F205,";",REPT(" ",99)),1,99)))+1,99)),IF(TRIM(MID(SUBSTITUTE(F205,";",REPT(" ",99)),100,99))="","",IFERROR(VLOOKUP(--LEFT(TRIM(MID(SUBSTITUTE(F205,";",REPT(" ",99)),100,99)),FIND(":",TRIM(MID(SUBSTITUTE(F205,";",REPT(" ",99)),100,99)))-1),_Lookup!$A:$B,2,FALSE),"?")&amp;"×"&amp;MID(TRIM(MID(SUBSTITUTE(F205,";",REPT(" ",99)),100,99)),FIND(":",TRIM(MID(SUBSTITUTE(F205,";",REPT(" ",99)),100,99)))+1,99)),IF(TRIM(MID(SUBSTITUTE(F205,";",REPT(" ",99)),199,99))="","",IFERROR(VLOOKUP(--LEFT(TRIM(MID(SUBSTITUTE(F205,";",REPT(" ",99)),199,99)),FIND(":",TRIM(MID(SUBSTITUTE(F205,";",REPT(" ",99)),199,99)))-1),_Lookup!$A:$B,2,FALSE),"?")&amp;"×"&amp;MID(TRIM(MID(SUBSTITUTE(F205,";",REPT(" ",99)),199,99)),FIND(":",TRIM(MID(SUBSTITUTE(F205,";",REPT(" ",99)),199,99)))+1,99)),IF(TRIM(MID(SUBSTITUTE(F205,";",REPT(" ",99)),298,99))="","",IFERROR(VLOOKUP(--LEFT(TRIM(MID(SUBSTITUTE(F205,";",REPT(" ",99)),298,99)),FIND(":",TRIM(MID(SUBSTITUTE(F205,";",REPT(" ",99)),298,99)))-1),_Lookup!$A:$B,2,FALSE),"?")&amp;"×"&amp;MID(TRIM(MID(SUBSTITUTE(F205,";",REPT(" ",99)),298,99)),FIND(":",TRIM(MID(SUBSTITUTE(F205,";",REPT(" ",99)),298,99)))+1,99)),IF(TRIM(MID(SUBSTITUTE(F205,";",REPT(" ",99)),397,99))="","",IFERROR(VLOOKUP(--LEFT(TRIM(MID(SUBSTITUTE(F205,";",REPT(" ",99)),397,99)),FIND(":",TRIM(MID(SUBSTITUTE(F205,";",REPT(" ",99)),397,99)))-1),_Lookup!$A:$B,2,FALSE),"?")&amp;"×"&amp;MID(TRIM(MID(SUBSTITUTE(F205,";",REPT(" ",99)),397,99)),FIND(":",TRIM(MID(SUBSTITUTE(F205,";",REPT(" ",99)),397,99)))+1,99))))</f>
        <v/>
      </c>
    </row>
    <row r="206">
      <c r="C206" s="11">
        <f>IFERROR(VLOOKUP(B206,StageData!$A:$B,2,FALSE),"")</f>
        <v/>
      </c>
      <c r="G206" s="11">
        <f>IF(F206="","",TEXTJOIN("; ",TRUE,IF(TRIM(MID(SUBSTITUTE(F206,";",REPT(" ",99)),1,99))="","",IFERROR(VLOOKUP(--LEFT(TRIM(MID(SUBSTITUTE(F206,";",REPT(" ",99)),1,99)),FIND(":",TRIM(MID(SUBSTITUTE(F206,";",REPT(" ",99)),1,99)))-1),_Lookup!$A:$B,2,FALSE),"?")&amp;"×"&amp;MID(TRIM(MID(SUBSTITUTE(F206,";",REPT(" ",99)),1,99)),FIND(":",TRIM(MID(SUBSTITUTE(F206,";",REPT(" ",99)),1,99)))+1,99)),IF(TRIM(MID(SUBSTITUTE(F206,";",REPT(" ",99)),100,99))="","",IFERROR(VLOOKUP(--LEFT(TRIM(MID(SUBSTITUTE(F206,";",REPT(" ",99)),100,99)),FIND(":",TRIM(MID(SUBSTITUTE(F206,";",REPT(" ",99)),100,99)))-1),_Lookup!$A:$B,2,FALSE),"?")&amp;"×"&amp;MID(TRIM(MID(SUBSTITUTE(F206,";",REPT(" ",99)),100,99)),FIND(":",TRIM(MID(SUBSTITUTE(F206,";",REPT(" ",99)),100,99)))+1,99)),IF(TRIM(MID(SUBSTITUTE(F206,";",REPT(" ",99)),199,99))="","",IFERROR(VLOOKUP(--LEFT(TRIM(MID(SUBSTITUTE(F206,";",REPT(" ",99)),199,99)),FIND(":",TRIM(MID(SUBSTITUTE(F206,";",REPT(" ",99)),199,99)))-1),_Lookup!$A:$B,2,FALSE),"?")&amp;"×"&amp;MID(TRIM(MID(SUBSTITUTE(F206,";",REPT(" ",99)),199,99)),FIND(":",TRIM(MID(SUBSTITUTE(F206,";",REPT(" ",99)),199,99)))+1,99)),IF(TRIM(MID(SUBSTITUTE(F206,";",REPT(" ",99)),298,99))="","",IFERROR(VLOOKUP(--LEFT(TRIM(MID(SUBSTITUTE(F206,";",REPT(" ",99)),298,99)),FIND(":",TRIM(MID(SUBSTITUTE(F206,";",REPT(" ",99)),298,99)))-1),_Lookup!$A:$B,2,FALSE),"?")&amp;"×"&amp;MID(TRIM(MID(SUBSTITUTE(F206,";",REPT(" ",99)),298,99)),FIND(":",TRIM(MID(SUBSTITUTE(F206,";",REPT(" ",99)),298,99)))+1,99)),IF(TRIM(MID(SUBSTITUTE(F206,";",REPT(" ",99)),397,99))="","",IFERROR(VLOOKUP(--LEFT(TRIM(MID(SUBSTITUTE(F206,";",REPT(" ",99)),397,99)),FIND(":",TRIM(MID(SUBSTITUTE(F206,";",REPT(" ",99)),397,99)))-1),_Lookup!$A:$B,2,FALSE),"?")&amp;"×"&amp;MID(TRIM(MID(SUBSTITUTE(F206,";",REPT(" ",99)),397,99)),FIND(":",TRIM(MID(SUBSTITUTE(F206,";",REPT(" ",99)),397,99)))+1,99))))</f>
        <v/>
      </c>
    </row>
    <row r="207">
      <c r="C207" s="11">
        <f>IFERROR(VLOOKUP(B207,StageData!$A:$B,2,FALSE),"")</f>
        <v/>
      </c>
      <c r="G207" s="11">
        <f>IF(F207="","",TEXTJOIN("; ",TRUE,IF(TRIM(MID(SUBSTITUTE(F207,";",REPT(" ",99)),1,99))="","",IFERROR(VLOOKUP(--LEFT(TRIM(MID(SUBSTITUTE(F207,";",REPT(" ",99)),1,99)),FIND(":",TRIM(MID(SUBSTITUTE(F207,";",REPT(" ",99)),1,99)))-1),_Lookup!$A:$B,2,FALSE),"?")&amp;"×"&amp;MID(TRIM(MID(SUBSTITUTE(F207,";",REPT(" ",99)),1,99)),FIND(":",TRIM(MID(SUBSTITUTE(F207,";",REPT(" ",99)),1,99)))+1,99)),IF(TRIM(MID(SUBSTITUTE(F207,";",REPT(" ",99)),100,99))="","",IFERROR(VLOOKUP(--LEFT(TRIM(MID(SUBSTITUTE(F207,";",REPT(" ",99)),100,99)),FIND(":",TRIM(MID(SUBSTITUTE(F207,";",REPT(" ",99)),100,99)))-1),_Lookup!$A:$B,2,FALSE),"?")&amp;"×"&amp;MID(TRIM(MID(SUBSTITUTE(F207,";",REPT(" ",99)),100,99)),FIND(":",TRIM(MID(SUBSTITUTE(F207,";",REPT(" ",99)),100,99)))+1,99)),IF(TRIM(MID(SUBSTITUTE(F207,";",REPT(" ",99)),199,99))="","",IFERROR(VLOOKUP(--LEFT(TRIM(MID(SUBSTITUTE(F207,";",REPT(" ",99)),199,99)),FIND(":",TRIM(MID(SUBSTITUTE(F207,";",REPT(" ",99)),199,99)))-1),_Lookup!$A:$B,2,FALSE),"?")&amp;"×"&amp;MID(TRIM(MID(SUBSTITUTE(F207,";",REPT(" ",99)),199,99)),FIND(":",TRIM(MID(SUBSTITUTE(F207,";",REPT(" ",99)),199,99)))+1,99)),IF(TRIM(MID(SUBSTITUTE(F207,";",REPT(" ",99)),298,99))="","",IFERROR(VLOOKUP(--LEFT(TRIM(MID(SUBSTITUTE(F207,";",REPT(" ",99)),298,99)),FIND(":",TRIM(MID(SUBSTITUTE(F207,";",REPT(" ",99)),298,99)))-1),_Lookup!$A:$B,2,FALSE),"?")&amp;"×"&amp;MID(TRIM(MID(SUBSTITUTE(F207,";",REPT(" ",99)),298,99)),FIND(":",TRIM(MID(SUBSTITUTE(F207,";",REPT(" ",99)),298,99)))+1,99)),IF(TRIM(MID(SUBSTITUTE(F207,";",REPT(" ",99)),397,99))="","",IFERROR(VLOOKUP(--LEFT(TRIM(MID(SUBSTITUTE(F207,";",REPT(" ",99)),397,99)),FIND(":",TRIM(MID(SUBSTITUTE(F207,";",REPT(" ",99)),397,99)))-1),_Lookup!$A:$B,2,FALSE),"?")&amp;"×"&amp;MID(TRIM(MID(SUBSTITUTE(F207,";",REPT(" ",99)),397,99)),FIND(":",TRIM(MID(SUBSTITUTE(F207,";",REPT(" ",99)),397,99)))+1,99))))</f>
        <v/>
      </c>
    </row>
    <row r="208">
      <c r="C208" s="11">
        <f>IFERROR(VLOOKUP(B208,StageData!$A:$B,2,FALSE),"")</f>
        <v/>
      </c>
      <c r="G208" s="11">
        <f>IF(F208="","",TEXTJOIN("; ",TRUE,IF(TRIM(MID(SUBSTITUTE(F208,";",REPT(" ",99)),1,99))="","",IFERROR(VLOOKUP(--LEFT(TRIM(MID(SUBSTITUTE(F208,";",REPT(" ",99)),1,99)),FIND(":",TRIM(MID(SUBSTITUTE(F208,";",REPT(" ",99)),1,99)))-1),_Lookup!$A:$B,2,FALSE),"?")&amp;"×"&amp;MID(TRIM(MID(SUBSTITUTE(F208,";",REPT(" ",99)),1,99)),FIND(":",TRIM(MID(SUBSTITUTE(F208,";",REPT(" ",99)),1,99)))+1,99)),IF(TRIM(MID(SUBSTITUTE(F208,";",REPT(" ",99)),100,99))="","",IFERROR(VLOOKUP(--LEFT(TRIM(MID(SUBSTITUTE(F208,";",REPT(" ",99)),100,99)),FIND(":",TRIM(MID(SUBSTITUTE(F208,";",REPT(" ",99)),100,99)))-1),_Lookup!$A:$B,2,FALSE),"?")&amp;"×"&amp;MID(TRIM(MID(SUBSTITUTE(F208,";",REPT(" ",99)),100,99)),FIND(":",TRIM(MID(SUBSTITUTE(F208,";",REPT(" ",99)),100,99)))+1,99)),IF(TRIM(MID(SUBSTITUTE(F208,";",REPT(" ",99)),199,99))="","",IFERROR(VLOOKUP(--LEFT(TRIM(MID(SUBSTITUTE(F208,";",REPT(" ",99)),199,99)),FIND(":",TRIM(MID(SUBSTITUTE(F208,";",REPT(" ",99)),199,99)))-1),_Lookup!$A:$B,2,FALSE),"?")&amp;"×"&amp;MID(TRIM(MID(SUBSTITUTE(F208,";",REPT(" ",99)),199,99)),FIND(":",TRIM(MID(SUBSTITUTE(F208,";",REPT(" ",99)),199,99)))+1,99)),IF(TRIM(MID(SUBSTITUTE(F208,";",REPT(" ",99)),298,99))="","",IFERROR(VLOOKUP(--LEFT(TRIM(MID(SUBSTITUTE(F208,";",REPT(" ",99)),298,99)),FIND(":",TRIM(MID(SUBSTITUTE(F208,";",REPT(" ",99)),298,99)))-1),_Lookup!$A:$B,2,FALSE),"?")&amp;"×"&amp;MID(TRIM(MID(SUBSTITUTE(F208,";",REPT(" ",99)),298,99)),FIND(":",TRIM(MID(SUBSTITUTE(F208,";",REPT(" ",99)),298,99)))+1,99)),IF(TRIM(MID(SUBSTITUTE(F208,";",REPT(" ",99)),397,99))="","",IFERROR(VLOOKUP(--LEFT(TRIM(MID(SUBSTITUTE(F208,";",REPT(" ",99)),397,99)),FIND(":",TRIM(MID(SUBSTITUTE(F208,";",REPT(" ",99)),397,99)))-1),_Lookup!$A:$B,2,FALSE),"?")&amp;"×"&amp;MID(TRIM(MID(SUBSTITUTE(F208,";",REPT(" ",99)),397,99)),FIND(":",TRIM(MID(SUBSTITUTE(F208,";",REPT(" ",99)),397,99)))+1,99))))</f>
        <v/>
      </c>
    </row>
    <row r="209">
      <c r="C209" s="11">
        <f>IFERROR(VLOOKUP(B209,StageData!$A:$B,2,FALSE),"")</f>
        <v/>
      </c>
      <c r="G209" s="11">
        <f>IF(F209="","",TEXTJOIN("; ",TRUE,IF(TRIM(MID(SUBSTITUTE(F209,";",REPT(" ",99)),1,99))="","",IFERROR(VLOOKUP(--LEFT(TRIM(MID(SUBSTITUTE(F209,";",REPT(" ",99)),1,99)),FIND(":",TRIM(MID(SUBSTITUTE(F209,";",REPT(" ",99)),1,99)))-1),_Lookup!$A:$B,2,FALSE),"?")&amp;"×"&amp;MID(TRIM(MID(SUBSTITUTE(F209,";",REPT(" ",99)),1,99)),FIND(":",TRIM(MID(SUBSTITUTE(F209,";",REPT(" ",99)),1,99)))+1,99)),IF(TRIM(MID(SUBSTITUTE(F209,";",REPT(" ",99)),100,99))="","",IFERROR(VLOOKUP(--LEFT(TRIM(MID(SUBSTITUTE(F209,";",REPT(" ",99)),100,99)),FIND(":",TRIM(MID(SUBSTITUTE(F209,";",REPT(" ",99)),100,99)))-1),_Lookup!$A:$B,2,FALSE),"?")&amp;"×"&amp;MID(TRIM(MID(SUBSTITUTE(F209,";",REPT(" ",99)),100,99)),FIND(":",TRIM(MID(SUBSTITUTE(F209,";",REPT(" ",99)),100,99)))+1,99)),IF(TRIM(MID(SUBSTITUTE(F209,";",REPT(" ",99)),199,99))="","",IFERROR(VLOOKUP(--LEFT(TRIM(MID(SUBSTITUTE(F209,";",REPT(" ",99)),199,99)),FIND(":",TRIM(MID(SUBSTITUTE(F209,";",REPT(" ",99)),199,99)))-1),_Lookup!$A:$B,2,FALSE),"?")&amp;"×"&amp;MID(TRIM(MID(SUBSTITUTE(F209,";",REPT(" ",99)),199,99)),FIND(":",TRIM(MID(SUBSTITUTE(F209,";",REPT(" ",99)),199,99)))+1,99)),IF(TRIM(MID(SUBSTITUTE(F209,";",REPT(" ",99)),298,99))="","",IFERROR(VLOOKUP(--LEFT(TRIM(MID(SUBSTITUTE(F209,";",REPT(" ",99)),298,99)),FIND(":",TRIM(MID(SUBSTITUTE(F209,";",REPT(" ",99)),298,99)))-1),_Lookup!$A:$B,2,FALSE),"?")&amp;"×"&amp;MID(TRIM(MID(SUBSTITUTE(F209,";",REPT(" ",99)),298,99)),FIND(":",TRIM(MID(SUBSTITUTE(F209,";",REPT(" ",99)),298,99)))+1,99)),IF(TRIM(MID(SUBSTITUTE(F209,";",REPT(" ",99)),397,99))="","",IFERROR(VLOOKUP(--LEFT(TRIM(MID(SUBSTITUTE(F209,";",REPT(" ",99)),397,99)),FIND(":",TRIM(MID(SUBSTITUTE(F209,";",REPT(" ",99)),397,99)))-1),_Lookup!$A:$B,2,FALSE),"?")&amp;"×"&amp;MID(TRIM(MID(SUBSTITUTE(F209,";",REPT(" ",99)),397,99)),FIND(":",TRIM(MID(SUBSTITUTE(F209,";",REPT(" ",99)),397,99)))+1,99))))</f>
        <v/>
      </c>
    </row>
    <row r="210">
      <c r="C210" s="11">
        <f>IFERROR(VLOOKUP(B210,StageData!$A:$B,2,FALSE),"")</f>
        <v/>
      </c>
      <c r="G210" s="11">
        <f>IF(F210="","",TEXTJOIN("; ",TRUE,IF(TRIM(MID(SUBSTITUTE(F210,";",REPT(" ",99)),1,99))="","",IFERROR(VLOOKUP(--LEFT(TRIM(MID(SUBSTITUTE(F210,";",REPT(" ",99)),1,99)),FIND(":",TRIM(MID(SUBSTITUTE(F210,";",REPT(" ",99)),1,99)))-1),_Lookup!$A:$B,2,FALSE),"?")&amp;"×"&amp;MID(TRIM(MID(SUBSTITUTE(F210,";",REPT(" ",99)),1,99)),FIND(":",TRIM(MID(SUBSTITUTE(F210,";",REPT(" ",99)),1,99)))+1,99)),IF(TRIM(MID(SUBSTITUTE(F210,";",REPT(" ",99)),100,99))="","",IFERROR(VLOOKUP(--LEFT(TRIM(MID(SUBSTITUTE(F210,";",REPT(" ",99)),100,99)),FIND(":",TRIM(MID(SUBSTITUTE(F210,";",REPT(" ",99)),100,99)))-1),_Lookup!$A:$B,2,FALSE),"?")&amp;"×"&amp;MID(TRIM(MID(SUBSTITUTE(F210,";",REPT(" ",99)),100,99)),FIND(":",TRIM(MID(SUBSTITUTE(F210,";",REPT(" ",99)),100,99)))+1,99)),IF(TRIM(MID(SUBSTITUTE(F210,";",REPT(" ",99)),199,99))="","",IFERROR(VLOOKUP(--LEFT(TRIM(MID(SUBSTITUTE(F210,";",REPT(" ",99)),199,99)),FIND(":",TRIM(MID(SUBSTITUTE(F210,";",REPT(" ",99)),199,99)))-1),_Lookup!$A:$B,2,FALSE),"?")&amp;"×"&amp;MID(TRIM(MID(SUBSTITUTE(F210,";",REPT(" ",99)),199,99)),FIND(":",TRIM(MID(SUBSTITUTE(F210,";",REPT(" ",99)),199,99)))+1,99)),IF(TRIM(MID(SUBSTITUTE(F210,";",REPT(" ",99)),298,99))="","",IFERROR(VLOOKUP(--LEFT(TRIM(MID(SUBSTITUTE(F210,";",REPT(" ",99)),298,99)),FIND(":",TRIM(MID(SUBSTITUTE(F210,";",REPT(" ",99)),298,99)))-1),_Lookup!$A:$B,2,FALSE),"?")&amp;"×"&amp;MID(TRIM(MID(SUBSTITUTE(F210,";",REPT(" ",99)),298,99)),FIND(":",TRIM(MID(SUBSTITUTE(F210,";",REPT(" ",99)),298,99)))+1,99)),IF(TRIM(MID(SUBSTITUTE(F210,";",REPT(" ",99)),397,99))="","",IFERROR(VLOOKUP(--LEFT(TRIM(MID(SUBSTITUTE(F210,";",REPT(" ",99)),397,99)),FIND(":",TRIM(MID(SUBSTITUTE(F210,";",REPT(" ",99)),397,99)))-1),_Lookup!$A:$B,2,FALSE),"?")&amp;"×"&amp;MID(TRIM(MID(SUBSTITUTE(F210,";",REPT(" ",99)),397,99)),FIND(":",TRIM(MID(SUBSTITUTE(F210,";",REPT(" ",99)),397,99)))+1,99))))</f>
        <v/>
      </c>
    </row>
    <row r="211">
      <c r="C211" s="11">
        <f>IFERROR(VLOOKUP(B211,StageData!$A:$B,2,FALSE),"")</f>
        <v/>
      </c>
      <c r="G211" s="11">
        <f>IF(F211="","",TEXTJOIN("; ",TRUE,IF(TRIM(MID(SUBSTITUTE(F211,";",REPT(" ",99)),1,99))="","",IFERROR(VLOOKUP(--LEFT(TRIM(MID(SUBSTITUTE(F211,";",REPT(" ",99)),1,99)),FIND(":",TRIM(MID(SUBSTITUTE(F211,";",REPT(" ",99)),1,99)))-1),_Lookup!$A:$B,2,FALSE),"?")&amp;"×"&amp;MID(TRIM(MID(SUBSTITUTE(F211,";",REPT(" ",99)),1,99)),FIND(":",TRIM(MID(SUBSTITUTE(F211,";",REPT(" ",99)),1,99)))+1,99)),IF(TRIM(MID(SUBSTITUTE(F211,";",REPT(" ",99)),100,99))="","",IFERROR(VLOOKUP(--LEFT(TRIM(MID(SUBSTITUTE(F211,";",REPT(" ",99)),100,99)),FIND(":",TRIM(MID(SUBSTITUTE(F211,";",REPT(" ",99)),100,99)))-1),_Lookup!$A:$B,2,FALSE),"?")&amp;"×"&amp;MID(TRIM(MID(SUBSTITUTE(F211,";",REPT(" ",99)),100,99)),FIND(":",TRIM(MID(SUBSTITUTE(F211,";",REPT(" ",99)),100,99)))+1,99)),IF(TRIM(MID(SUBSTITUTE(F211,";",REPT(" ",99)),199,99))="","",IFERROR(VLOOKUP(--LEFT(TRIM(MID(SUBSTITUTE(F211,";",REPT(" ",99)),199,99)),FIND(":",TRIM(MID(SUBSTITUTE(F211,";",REPT(" ",99)),199,99)))-1),_Lookup!$A:$B,2,FALSE),"?")&amp;"×"&amp;MID(TRIM(MID(SUBSTITUTE(F211,";",REPT(" ",99)),199,99)),FIND(":",TRIM(MID(SUBSTITUTE(F211,";",REPT(" ",99)),199,99)))+1,99)),IF(TRIM(MID(SUBSTITUTE(F211,";",REPT(" ",99)),298,99))="","",IFERROR(VLOOKUP(--LEFT(TRIM(MID(SUBSTITUTE(F211,";",REPT(" ",99)),298,99)),FIND(":",TRIM(MID(SUBSTITUTE(F211,";",REPT(" ",99)),298,99)))-1),_Lookup!$A:$B,2,FALSE),"?")&amp;"×"&amp;MID(TRIM(MID(SUBSTITUTE(F211,";",REPT(" ",99)),298,99)),FIND(":",TRIM(MID(SUBSTITUTE(F211,";",REPT(" ",99)),298,99)))+1,99)),IF(TRIM(MID(SUBSTITUTE(F211,";",REPT(" ",99)),397,99))="","",IFERROR(VLOOKUP(--LEFT(TRIM(MID(SUBSTITUTE(F211,";",REPT(" ",99)),397,99)),FIND(":",TRIM(MID(SUBSTITUTE(F211,";",REPT(" ",99)),397,99)))-1),_Lookup!$A:$B,2,FALSE),"?")&amp;"×"&amp;MID(TRIM(MID(SUBSTITUTE(F211,";",REPT(" ",99)),397,99)),FIND(":",TRIM(MID(SUBSTITUTE(F211,";",REPT(" ",99)),397,99)))+1,99))))</f>
        <v/>
      </c>
    </row>
    <row r="212">
      <c r="C212" s="11">
        <f>IFERROR(VLOOKUP(B212,StageData!$A:$B,2,FALSE),"")</f>
        <v/>
      </c>
      <c r="G212" s="11">
        <f>IF(F212="","",TEXTJOIN("; ",TRUE,IF(TRIM(MID(SUBSTITUTE(F212,";",REPT(" ",99)),1,99))="","",IFERROR(VLOOKUP(--LEFT(TRIM(MID(SUBSTITUTE(F212,";",REPT(" ",99)),1,99)),FIND(":",TRIM(MID(SUBSTITUTE(F212,";",REPT(" ",99)),1,99)))-1),_Lookup!$A:$B,2,FALSE),"?")&amp;"×"&amp;MID(TRIM(MID(SUBSTITUTE(F212,";",REPT(" ",99)),1,99)),FIND(":",TRIM(MID(SUBSTITUTE(F212,";",REPT(" ",99)),1,99)))+1,99)),IF(TRIM(MID(SUBSTITUTE(F212,";",REPT(" ",99)),100,99))="","",IFERROR(VLOOKUP(--LEFT(TRIM(MID(SUBSTITUTE(F212,";",REPT(" ",99)),100,99)),FIND(":",TRIM(MID(SUBSTITUTE(F212,";",REPT(" ",99)),100,99)))-1),_Lookup!$A:$B,2,FALSE),"?")&amp;"×"&amp;MID(TRIM(MID(SUBSTITUTE(F212,";",REPT(" ",99)),100,99)),FIND(":",TRIM(MID(SUBSTITUTE(F212,";",REPT(" ",99)),100,99)))+1,99)),IF(TRIM(MID(SUBSTITUTE(F212,";",REPT(" ",99)),199,99))="","",IFERROR(VLOOKUP(--LEFT(TRIM(MID(SUBSTITUTE(F212,";",REPT(" ",99)),199,99)),FIND(":",TRIM(MID(SUBSTITUTE(F212,";",REPT(" ",99)),199,99)))-1),_Lookup!$A:$B,2,FALSE),"?")&amp;"×"&amp;MID(TRIM(MID(SUBSTITUTE(F212,";",REPT(" ",99)),199,99)),FIND(":",TRIM(MID(SUBSTITUTE(F212,";",REPT(" ",99)),199,99)))+1,99)),IF(TRIM(MID(SUBSTITUTE(F212,";",REPT(" ",99)),298,99))="","",IFERROR(VLOOKUP(--LEFT(TRIM(MID(SUBSTITUTE(F212,";",REPT(" ",99)),298,99)),FIND(":",TRIM(MID(SUBSTITUTE(F212,";",REPT(" ",99)),298,99)))-1),_Lookup!$A:$B,2,FALSE),"?")&amp;"×"&amp;MID(TRIM(MID(SUBSTITUTE(F212,";",REPT(" ",99)),298,99)),FIND(":",TRIM(MID(SUBSTITUTE(F212,";",REPT(" ",99)),298,99)))+1,99)),IF(TRIM(MID(SUBSTITUTE(F212,";",REPT(" ",99)),397,99))="","",IFERROR(VLOOKUP(--LEFT(TRIM(MID(SUBSTITUTE(F212,";",REPT(" ",99)),397,99)),FIND(":",TRIM(MID(SUBSTITUTE(F212,";",REPT(" ",99)),397,99)))-1),_Lookup!$A:$B,2,FALSE),"?")&amp;"×"&amp;MID(TRIM(MID(SUBSTITUTE(F212,";",REPT(" ",99)),397,99)),FIND(":",TRIM(MID(SUBSTITUTE(F212,";",REPT(" ",99)),397,99)))+1,99))))</f>
        <v/>
      </c>
    </row>
    <row r="213">
      <c r="C213" s="11">
        <f>IFERROR(VLOOKUP(B213,StageData!$A:$B,2,FALSE),"")</f>
        <v/>
      </c>
      <c r="G213" s="11">
        <f>IF(F213="","",TEXTJOIN("; ",TRUE,IF(TRIM(MID(SUBSTITUTE(F213,";",REPT(" ",99)),1,99))="","",IFERROR(VLOOKUP(--LEFT(TRIM(MID(SUBSTITUTE(F213,";",REPT(" ",99)),1,99)),FIND(":",TRIM(MID(SUBSTITUTE(F213,";",REPT(" ",99)),1,99)))-1),_Lookup!$A:$B,2,FALSE),"?")&amp;"×"&amp;MID(TRIM(MID(SUBSTITUTE(F213,";",REPT(" ",99)),1,99)),FIND(":",TRIM(MID(SUBSTITUTE(F213,";",REPT(" ",99)),1,99)))+1,99)),IF(TRIM(MID(SUBSTITUTE(F213,";",REPT(" ",99)),100,99))="","",IFERROR(VLOOKUP(--LEFT(TRIM(MID(SUBSTITUTE(F213,";",REPT(" ",99)),100,99)),FIND(":",TRIM(MID(SUBSTITUTE(F213,";",REPT(" ",99)),100,99)))-1),_Lookup!$A:$B,2,FALSE),"?")&amp;"×"&amp;MID(TRIM(MID(SUBSTITUTE(F213,";",REPT(" ",99)),100,99)),FIND(":",TRIM(MID(SUBSTITUTE(F213,";",REPT(" ",99)),100,99)))+1,99)),IF(TRIM(MID(SUBSTITUTE(F213,";",REPT(" ",99)),199,99))="","",IFERROR(VLOOKUP(--LEFT(TRIM(MID(SUBSTITUTE(F213,";",REPT(" ",99)),199,99)),FIND(":",TRIM(MID(SUBSTITUTE(F213,";",REPT(" ",99)),199,99)))-1),_Lookup!$A:$B,2,FALSE),"?")&amp;"×"&amp;MID(TRIM(MID(SUBSTITUTE(F213,";",REPT(" ",99)),199,99)),FIND(":",TRIM(MID(SUBSTITUTE(F213,";",REPT(" ",99)),199,99)))+1,99)),IF(TRIM(MID(SUBSTITUTE(F213,";",REPT(" ",99)),298,99))="","",IFERROR(VLOOKUP(--LEFT(TRIM(MID(SUBSTITUTE(F213,";",REPT(" ",99)),298,99)),FIND(":",TRIM(MID(SUBSTITUTE(F213,";",REPT(" ",99)),298,99)))-1),_Lookup!$A:$B,2,FALSE),"?")&amp;"×"&amp;MID(TRIM(MID(SUBSTITUTE(F213,";",REPT(" ",99)),298,99)),FIND(":",TRIM(MID(SUBSTITUTE(F213,";",REPT(" ",99)),298,99)))+1,99)),IF(TRIM(MID(SUBSTITUTE(F213,";",REPT(" ",99)),397,99))="","",IFERROR(VLOOKUP(--LEFT(TRIM(MID(SUBSTITUTE(F213,";",REPT(" ",99)),397,99)),FIND(":",TRIM(MID(SUBSTITUTE(F213,";",REPT(" ",99)),397,99)))-1),_Lookup!$A:$B,2,FALSE),"?")&amp;"×"&amp;MID(TRIM(MID(SUBSTITUTE(F213,";",REPT(" ",99)),397,99)),FIND(":",TRIM(MID(SUBSTITUTE(F213,";",REPT(" ",99)),397,99)))+1,99))))</f>
        <v/>
      </c>
    </row>
    <row r="214">
      <c r="C214" s="11">
        <f>IFERROR(VLOOKUP(B214,StageData!$A:$B,2,FALSE),"")</f>
        <v/>
      </c>
      <c r="G214" s="11">
        <f>IF(F214="","",TEXTJOIN("; ",TRUE,IF(TRIM(MID(SUBSTITUTE(F214,";",REPT(" ",99)),1,99))="","",IFERROR(VLOOKUP(--LEFT(TRIM(MID(SUBSTITUTE(F214,";",REPT(" ",99)),1,99)),FIND(":",TRIM(MID(SUBSTITUTE(F214,";",REPT(" ",99)),1,99)))-1),_Lookup!$A:$B,2,FALSE),"?")&amp;"×"&amp;MID(TRIM(MID(SUBSTITUTE(F214,";",REPT(" ",99)),1,99)),FIND(":",TRIM(MID(SUBSTITUTE(F214,";",REPT(" ",99)),1,99)))+1,99)),IF(TRIM(MID(SUBSTITUTE(F214,";",REPT(" ",99)),100,99))="","",IFERROR(VLOOKUP(--LEFT(TRIM(MID(SUBSTITUTE(F214,";",REPT(" ",99)),100,99)),FIND(":",TRIM(MID(SUBSTITUTE(F214,";",REPT(" ",99)),100,99)))-1),_Lookup!$A:$B,2,FALSE),"?")&amp;"×"&amp;MID(TRIM(MID(SUBSTITUTE(F214,";",REPT(" ",99)),100,99)),FIND(":",TRIM(MID(SUBSTITUTE(F214,";",REPT(" ",99)),100,99)))+1,99)),IF(TRIM(MID(SUBSTITUTE(F214,";",REPT(" ",99)),199,99))="","",IFERROR(VLOOKUP(--LEFT(TRIM(MID(SUBSTITUTE(F214,";",REPT(" ",99)),199,99)),FIND(":",TRIM(MID(SUBSTITUTE(F214,";",REPT(" ",99)),199,99)))-1),_Lookup!$A:$B,2,FALSE),"?")&amp;"×"&amp;MID(TRIM(MID(SUBSTITUTE(F214,";",REPT(" ",99)),199,99)),FIND(":",TRIM(MID(SUBSTITUTE(F214,";",REPT(" ",99)),199,99)))+1,99)),IF(TRIM(MID(SUBSTITUTE(F214,";",REPT(" ",99)),298,99))="","",IFERROR(VLOOKUP(--LEFT(TRIM(MID(SUBSTITUTE(F214,";",REPT(" ",99)),298,99)),FIND(":",TRIM(MID(SUBSTITUTE(F214,";",REPT(" ",99)),298,99)))-1),_Lookup!$A:$B,2,FALSE),"?")&amp;"×"&amp;MID(TRIM(MID(SUBSTITUTE(F214,";",REPT(" ",99)),298,99)),FIND(":",TRIM(MID(SUBSTITUTE(F214,";",REPT(" ",99)),298,99)))+1,99)),IF(TRIM(MID(SUBSTITUTE(F214,";",REPT(" ",99)),397,99))="","",IFERROR(VLOOKUP(--LEFT(TRIM(MID(SUBSTITUTE(F214,";",REPT(" ",99)),397,99)),FIND(":",TRIM(MID(SUBSTITUTE(F214,";",REPT(" ",99)),397,99)))-1),_Lookup!$A:$B,2,FALSE),"?")&amp;"×"&amp;MID(TRIM(MID(SUBSTITUTE(F214,";",REPT(" ",99)),397,99)),FIND(":",TRIM(MID(SUBSTITUTE(F214,";",REPT(" ",99)),397,99)))+1,99))))</f>
        <v/>
      </c>
    </row>
    <row r="215">
      <c r="C215" s="11">
        <f>IFERROR(VLOOKUP(B215,StageData!$A:$B,2,FALSE),"")</f>
        <v/>
      </c>
      <c r="G215" s="11">
        <f>IF(F215="","",TEXTJOIN("; ",TRUE,IF(TRIM(MID(SUBSTITUTE(F215,";",REPT(" ",99)),1,99))="","",IFERROR(VLOOKUP(--LEFT(TRIM(MID(SUBSTITUTE(F215,";",REPT(" ",99)),1,99)),FIND(":",TRIM(MID(SUBSTITUTE(F215,";",REPT(" ",99)),1,99)))-1),_Lookup!$A:$B,2,FALSE),"?")&amp;"×"&amp;MID(TRIM(MID(SUBSTITUTE(F215,";",REPT(" ",99)),1,99)),FIND(":",TRIM(MID(SUBSTITUTE(F215,";",REPT(" ",99)),1,99)))+1,99)),IF(TRIM(MID(SUBSTITUTE(F215,";",REPT(" ",99)),100,99))="","",IFERROR(VLOOKUP(--LEFT(TRIM(MID(SUBSTITUTE(F215,";",REPT(" ",99)),100,99)),FIND(":",TRIM(MID(SUBSTITUTE(F215,";",REPT(" ",99)),100,99)))-1),_Lookup!$A:$B,2,FALSE),"?")&amp;"×"&amp;MID(TRIM(MID(SUBSTITUTE(F215,";",REPT(" ",99)),100,99)),FIND(":",TRIM(MID(SUBSTITUTE(F215,";",REPT(" ",99)),100,99)))+1,99)),IF(TRIM(MID(SUBSTITUTE(F215,";",REPT(" ",99)),199,99))="","",IFERROR(VLOOKUP(--LEFT(TRIM(MID(SUBSTITUTE(F215,";",REPT(" ",99)),199,99)),FIND(":",TRIM(MID(SUBSTITUTE(F215,";",REPT(" ",99)),199,99)))-1),_Lookup!$A:$B,2,FALSE),"?")&amp;"×"&amp;MID(TRIM(MID(SUBSTITUTE(F215,";",REPT(" ",99)),199,99)),FIND(":",TRIM(MID(SUBSTITUTE(F215,";",REPT(" ",99)),199,99)))+1,99)),IF(TRIM(MID(SUBSTITUTE(F215,";",REPT(" ",99)),298,99))="","",IFERROR(VLOOKUP(--LEFT(TRIM(MID(SUBSTITUTE(F215,";",REPT(" ",99)),298,99)),FIND(":",TRIM(MID(SUBSTITUTE(F215,";",REPT(" ",99)),298,99)))-1),_Lookup!$A:$B,2,FALSE),"?")&amp;"×"&amp;MID(TRIM(MID(SUBSTITUTE(F215,";",REPT(" ",99)),298,99)),FIND(":",TRIM(MID(SUBSTITUTE(F215,";",REPT(" ",99)),298,99)))+1,99)),IF(TRIM(MID(SUBSTITUTE(F215,";",REPT(" ",99)),397,99))="","",IFERROR(VLOOKUP(--LEFT(TRIM(MID(SUBSTITUTE(F215,";",REPT(" ",99)),397,99)),FIND(":",TRIM(MID(SUBSTITUTE(F215,";",REPT(" ",99)),397,99)))-1),_Lookup!$A:$B,2,FALSE),"?")&amp;"×"&amp;MID(TRIM(MID(SUBSTITUTE(F215,";",REPT(" ",99)),397,99)),FIND(":",TRIM(MID(SUBSTITUTE(F215,";",REPT(" ",99)),397,99)))+1,99))))</f>
        <v/>
      </c>
    </row>
    <row r="216">
      <c r="C216" s="11">
        <f>IFERROR(VLOOKUP(B216,StageData!$A:$B,2,FALSE),"")</f>
        <v/>
      </c>
      <c r="G216" s="11">
        <f>IF(F216="","",TEXTJOIN("; ",TRUE,IF(TRIM(MID(SUBSTITUTE(F216,";",REPT(" ",99)),1,99))="","",IFERROR(VLOOKUP(--LEFT(TRIM(MID(SUBSTITUTE(F216,";",REPT(" ",99)),1,99)),FIND(":",TRIM(MID(SUBSTITUTE(F216,";",REPT(" ",99)),1,99)))-1),_Lookup!$A:$B,2,FALSE),"?")&amp;"×"&amp;MID(TRIM(MID(SUBSTITUTE(F216,";",REPT(" ",99)),1,99)),FIND(":",TRIM(MID(SUBSTITUTE(F216,";",REPT(" ",99)),1,99)))+1,99)),IF(TRIM(MID(SUBSTITUTE(F216,";",REPT(" ",99)),100,99))="","",IFERROR(VLOOKUP(--LEFT(TRIM(MID(SUBSTITUTE(F216,";",REPT(" ",99)),100,99)),FIND(":",TRIM(MID(SUBSTITUTE(F216,";",REPT(" ",99)),100,99)))-1),_Lookup!$A:$B,2,FALSE),"?")&amp;"×"&amp;MID(TRIM(MID(SUBSTITUTE(F216,";",REPT(" ",99)),100,99)),FIND(":",TRIM(MID(SUBSTITUTE(F216,";",REPT(" ",99)),100,99)))+1,99)),IF(TRIM(MID(SUBSTITUTE(F216,";",REPT(" ",99)),199,99))="","",IFERROR(VLOOKUP(--LEFT(TRIM(MID(SUBSTITUTE(F216,";",REPT(" ",99)),199,99)),FIND(":",TRIM(MID(SUBSTITUTE(F216,";",REPT(" ",99)),199,99)))-1),_Lookup!$A:$B,2,FALSE),"?")&amp;"×"&amp;MID(TRIM(MID(SUBSTITUTE(F216,";",REPT(" ",99)),199,99)),FIND(":",TRIM(MID(SUBSTITUTE(F216,";",REPT(" ",99)),199,99)))+1,99)),IF(TRIM(MID(SUBSTITUTE(F216,";",REPT(" ",99)),298,99))="","",IFERROR(VLOOKUP(--LEFT(TRIM(MID(SUBSTITUTE(F216,";",REPT(" ",99)),298,99)),FIND(":",TRIM(MID(SUBSTITUTE(F216,";",REPT(" ",99)),298,99)))-1),_Lookup!$A:$B,2,FALSE),"?")&amp;"×"&amp;MID(TRIM(MID(SUBSTITUTE(F216,";",REPT(" ",99)),298,99)),FIND(":",TRIM(MID(SUBSTITUTE(F216,";",REPT(" ",99)),298,99)))+1,99)),IF(TRIM(MID(SUBSTITUTE(F216,";",REPT(" ",99)),397,99))="","",IFERROR(VLOOKUP(--LEFT(TRIM(MID(SUBSTITUTE(F216,";",REPT(" ",99)),397,99)),FIND(":",TRIM(MID(SUBSTITUTE(F216,";",REPT(" ",99)),397,99)))-1),_Lookup!$A:$B,2,FALSE),"?")&amp;"×"&amp;MID(TRIM(MID(SUBSTITUTE(F216,";",REPT(" ",99)),397,99)),FIND(":",TRIM(MID(SUBSTITUTE(F216,";",REPT(" ",99)),397,99)))+1,99))))</f>
        <v/>
      </c>
    </row>
    <row r="217">
      <c r="C217" s="11">
        <f>IFERROR(VLOOKUP(B217,StageData!$A:$B,2,FALSE),"")</f>
        <v/>
      </c>
      <c r="G217" s="11">
        <f>IF(F217="","",TEXTJOIN("; ",TRUE,IF(TRIM(MID(SUBSTITUTE(F217,";",REPT(" ",99)),1,99))="","",IFERROR(VLOOKUP(--LEFT(TRIM(MID(SUBSTITUTE(F217,";",REPT(" ",99)),1,99)),FIND(":",TRIM(MID(SUBSTITUTE(F217,";",REPT(" ",99)),1,99)))-1),_Lookup!$A:$B,2,FALSE),"?")&amp;"×"&amp;MID(TRIM(MID(SUBSTITUTE(F217,";",REPT(" ",99)),1,99)),FIND(":",TRIM(MID(SUBSTITUTE(F217,";",REPT(" ",99)),1,99)))+1,99)),IF(TRIM(MID(SUBSTITUTE(F217,";",REPT(" ",99)),100,99))="","",IFERROR(VLOOKUP(--LEFT(TRIM(MID(SUBSTITUTE(F217,";",REPT(" ",99)),100,99)),FIND(":",TRIM(MID(SUBSTITUTE(F217,";",REPT(" ",99)),100,99)))-1),_Lookup!$A:$B,2,FALSE),"?")&amp;"×"&amp;MID(TRIM(MID(SUBSTITUTE(F217,";",REPT(" ",99)),100,99)),FIND(":",TRIM(MID(SUBSTITUTE(F217,";",REPT(" ",99)),100,99)))+1,99)),IF(TRIM(MID(SUBSTITUTE(F217,";",REPT(" ",99)),199,99))="","",IFERROR(VLOOKUP(--LEFT(TRIM(MID(SUBSTITUTE(F217,";",REPT(" ",99)),199,99)),FIND(":",TRIM(MID(SUBSTITUTE(F217,";",REPT(" ",99)),199,99)))-1),_Lookup!$A:$B,2,FALSE),"?")&amp;"×"&amp;MID(TRIM(MID(SUBSTITUTE(F217,";",REPT(" ",99)),199,99)),FIND(":",TRIM(MID(SUBSTITUTE(F217,";",REPT(" ",99)),199,99)))+1,99)),IF(TRIM(MID(SUBSTITUTE(F217,";",REPT(" ",99)),298,99))="","",IFERROR(VLOOKUP(--LEFT(TRIM(MID(SUBSTITUTE(F217,";",REPT(" ",99)),298,99)),FIND(":",TRIM(MID(SUBSTITUTE(F217,";",REPT(" ",99)),298,99)))-1),_Lookup!$A:$B,2,FALSE),"?")&amp;"×"&amp;MID(TRIM(MID(SUBSTITUTE(F217,";",REPT(" ",99)),298,99)),FIND(":",TRIM(MID(SUBSTITUTE(F217,";",REPT(" ",99)),298,99)))+1,99)),IF(TRIM(MID(SUBSTITUTE(F217,";",REPT(" ",99)),397,99))="","",IFERROR(VLOOKUP(--LEFT(TRIM(MID(SUBSTITUTE(F217,";",REPT(" ",99)),397,99)),FIND(":",TRIM(MID(SUBSTITUTE(F217,";",REPT(" ",99)),397,99)))-1),_Lookup!$A:$B,2,FALSE),"?")&amp;"×"&amp;MID(TRIM(MID(SUBSTITUTE(F217,";",REPT(" ",99)),397,99)),FIND(":",TRIM(MID(SUBSTITUTE(F217,";",REPT(" ",99)),397,99)))+1,99))))</f>
        <v/>
      </c>
    </row>
    <row r="218">
      <c r="C218" s="11">
        <f>IFERROR(VLOOKUP(B218,StageData!$A:$B,2,FALSE),"")</f>
        <v/>
      </c>
      <c r="G218" s="11">
        <f>IF(F218="","",TEXTJOIN("; ",TRUE,IF(TRIM(MID(SUBSTITUTE(F218,";",REPT(" ",99)),1,99))="","",IFERROR(VLOOKUP(--LEFT(TRIM(MID(SUBSTITUTE(F218,";",REPT(" ",99)),1,99)),FIND(":",TRIM(MID(SUBSTITUTE(F218,";",REPT(" ",99)),1,99)))-1),_Lookup!$A:$B,2,FALSE),"?")&amp;"×"&amp;MID(TRIM(MID(SUBSTITUTE(F218,";",REPT(" ",99)),1,99)),FIND(":",TRIM(MID(SUBSTITUTE(F218,";",REPT(" ",99)),1,99)))+1,99)),IF(TRIM(MID(SUBSTITUTE(F218,";",REPT(" ",99)),100,99))="","",IFERROR(VLOOKUP(--LEFT(TRIM(MID(SUBSTITUTE(F218,";",REPT(" ",99)),100,99)),FIND(":",TRIM(MID(SUBSTITUTE(F218,";",REPT(" ",99)),100,99)))-1),_Lookup!$A:$B,2,FALSE),"?")&amp;"×"&amp;MID(TRIM(MID(SUBSTITUTE(F218,";",REPT(" ",99)),100,99)),FIND(":",TRIM(MID(SUBSTITUTE(F218,";",REPT(" ",99)),100,99)))+1,99)),IF(TRIM(MID(SUBSTITUTE(F218,";",REPT(" ",99)),199,99))="","",IFERROR(VLOOKUP(--LEFT(TRIM(MID(SUBSTITUTE(F218,";",REPT(" ",99)),199,99)),FIND(":",TRIM(MID(SUBSTITUTE(F218,";",REPT(" ",99)),199,99)))-1),_Lookup!$A:$B,2,FALSE),"?")&amp;"×"&amp;MID(TRIM(MID(SUBSTITUTE(F218,";",REPT(" ",99)),199,99)),FIND(":",TRIM(MID(SUBSTITUTE(F218,";",REPT(" ",99)),199,99)))+1,99)),IF(TRIM(MID(SUBSTITUTE(F218,";",REPT(" ",99)),298,99))="","",IFERROR(VLOOKUP(--LEFT(TRIM(MID(SUBSTITUTE(F218,";",REPT(" ",99)),298,99)),FIND(":",TRIM(MID(SUBSTITUTE(F218,";",REPT(" ",99)),298,99)))-1),_Lookup!$A:$B,2,FALSE),"?")&amp;"×"&amp;MID(TRIM(MID(SUBSTITUTE(F218,";",REPT(" ",99)),298,99)),FIND(":",TRIM(MID(SUBSTITUTE(F218,";",REPT(" ",99)),298,99)))+1,99)),IF(TRIM(MID(SUBSTITUTE(F218,";",REPT(" ",99)),397,99))="","",IFERROR(VLOOKUP(--LEFT(TRIM(MID(SUBSTITUTE(F218,";",REPT(" ",99)),397,99)),FIND(":",TRIM(MID(SUBSTITUTE(F218,";",REPT(" ",99)),397,99)))-1),_Lookup!$A:$B,2,FALSE),"?")&amp;"×"&amp;MID(TRIM(MID(SUBSTITUTE(F218,";",REPT(" ",99)),397,99)),FIND(":",TRIM(MID(SUBSTITUTE(F218,";",REPT(" ",99)),397,99)))+1,99))))</f>
        <v/>
      </c>
    </row>
    <row r="219">
      <c r="C219" s="11">
        <f>IFERROR(VLOOKUP(B219,StageData!$A:$B,2,FALSE),"")</f>
        <v/>
      </c>
      <c r="G219" s="11">
        <f>IF(F219="","",TEXTJOIN("; ",TRUE,IF(TRIM(MID(SUBSTITUTE(F219,";",REPT(" ",99)),1,99))="","",IFERROR(VLOOKUP(--LEFT(TRIM(MID(SUBSTITUTE(F219,";",REPT(" ",99)),1,99)),FIND(":",TRIM(MID(SUBSTITUTE(F219,";",REPT(" ",99)),1,99)))-1),_Lookup!$A:$B,2,FALSE),"?")&amp;"×"&amp;MID(TRIM(MID(SUBSTITUTE(F219,";",REPT(" ",99)),1,99)),FIND(":",TRIM(MID(SUBSTITUTE(F219,";",REPT(" ",99)),1,99)))+1,99)),IF(TRIM(MID(SUBSTITUTE(F219,";",REPT(" ",99)),100,99))="","",IFERROR(VLOOKUP(--LEFT(TRIM(MID(SUBSTITUTE(F219,";",REPT(" ",99)),100,99)),FIND(":",TRIM(MID(SUBSTITUTE(F219,";",REPT(" ",99)),100,99)))-1),_Lookup!$A:$B,2,FALSE),"?")&amp;"×"&amp;MID(TRIM(MID(SUBSTITUTE(F219,";",REPT(" ",99)),100,99)),FIND(":",TRIM(MID(SUBSTITUTE(F219,";",REPT(" ",99)),100,99)))+1,99)),IF(TRIM(MID(SUBSTITUTE(F219,";",REPT(" ",99)),199,99))="","",IFERROR(VLOOKUP(--LEFT(TRIM(MID(SUBSTITUTE(F219,";",REPT(" ",99)),199,99)),FIND(":",TRIM(MID(SUBSTITUTE(F219,";",REPT(" ",99)),199,99)))-1),_Lookup!$A:$B,2,FALSE),"?")&amp;"×"&amp;MID(TRIM(MID(SUBSTITUTE(F219,";",REPT(" ",99)),199,99)),FIND(":",TRIM(MID(SUBSTITUTE(F219,";",REPT(" ",99)),199,99)))+1,99)),IF(TRIM(MID(SUBSTITUTE(F219,";",REPT(" ",99)),298,99))="","",IFERROR(VLOOKUP(--LEFT(TRIM(MID(SUBSTITUTE(F219,";",REPT(" ",99)),298,99)),FIND(":",TRIM(MID(SUBSTITUTE(F219,";",REPT(" ",99)),298,99)))-1),_Lookup!$A:$B,2,FALSE),"?")&amp;"×"&amp;MID(TRIM(MID(SUBSTITUTE(F219,";",REPT(" ",99)),298,99)),FIND(":",TRIM(MID(SUBSTITUTE(F219,";",REPT(" ",99)),298,99)))+1,99)),IF(TRIM(MID(SUBSTITUTE(F219,";",REPT(" ",99)),397,99))="","",IFERROR(VLOOKUP(--LEFT(TRIM(MID(SUBSTITUTE(F219,";",REPT(" ",99)),397,99)),FIND(":",TRIM(MID(SUBSTITUTE(F219,";",REPT(" ",99)),397,99)))-1),_Lookup!$A:$B,2,FALSE),"?")&amp;"×"&amp;MID(TRIM(MID(SUBSTITUTE(F219,";",REPT(" ",99)),397,99)),FIND(":",TRIM(MID(SUBSTITUTE(F219,";",REPT(" ",99)),397,99)))+1,99))))</f>
        <v/>
      </c>
    </row>
    <row r="220">
      <c r="C220" s="11">
        <f>IFERROR(VLOOKUP(B220,StageData!$A:$B,2,FALSE),"")</f>
        <v/>
      </c>
      <c r="G220" s="11">
        <f>IF(F220="","",TEXTJOIN("; ",TRUE,IF(TRIM(MID(SUBSTITUTE(F220,";",REPT(" ",99)),1,99))="","",IFERROR(VLOOKUP(--LEFT(TRIM(MID(SUBSTITUTE(F220,";",REPT(" ",99)),1,99)),FIND(":",TRIM(MID(SUBSTITUTE(F220,";",REPT(" ",99)),1,99)))-1),_Lookup!$A:$B,2,FALSE),"?")&amp;"×"&amp;MID(TRIM(MID(SUBSTITUTE(F220,";",REPT(" ",99)),1,99)),FIND(":",TRIM(MID(SUBSTITUTE(F220,";",REPT(" ",99)),1,99)))+1,99)),IF(TRIM(MID(SUBSTITUTE(F220,";",REPT(" ",99)),100,99))="","",IFERROR(VLOOKUP(--LEFT(TRIM(MID(SUBSTITUTE(F220,";",REPT(" ",99)),100,99)),FIND(":",TRIM(MID(SUBSTITUTE(F220,";",REPT(" ",99)),100,99)))-1),_Lookup!$A:$B,2,FALSE),"?")&amp;"×"&amp;MID(TRIM(MID(SUBSTITUTE(F220,";",REPT(" ",99)),100,99)),FIND(":",TRIM(MID(SUBSTITUTE(F220,";",REPT(" ",99)),100,99)))+1,99)),IF(TRIM(MID(SUBSTITUTE(F220,";",REPT(" ",99)),199,99))="","",IFERROR(VLOOKUP(--LEFT(TRIM(MID(SUBSTITUTE(F220,";",REPT(" ",99)),199,99)),FIND(":",TRIM(MID(SUBSTITUTE(F220,";",REPT(" ",99)),199,99)))-1),_Lookup!$A:$B,2,FALSE),"?")&amp;"×"&amp;MID(TRIM(MID(SUBSTITUTE(F220,";",REPT(" ",99)),199,99)),FIND(":",TRIM(MID(SUBSTITUTE(F220,";",REPT(" ",99)),199,99)))+1,99)),IF(TRIM(MID(SUBSTITUTE(F220,";",REPT(" ",99)),298,99))="","",IFERROR(VLOOKUP(--LEFT(TRIM(MID(SUBSTITUTE(F220,";",REPT(" ",99)),298,99)),FIND(":",TRIM(MID(SUBSTITUTE(F220,";",REPT(" ",99)),298,99)))-1),_Lookup!$A:$B,2,FALSE),"?")&amp;"×"&amp;MID(TRIM(MID(SUBSTITUTE(F220,";",REPT(" ",99)),298,99)),FIND(":",TRIM(MID(SUBSTITUTE(F220,";",REPT(" ",99)),298,99)))+1,99)),IF(TRIM(MID(SUBSTITUTE(F220,";",REPT(" ",99)),397,99))="","",IFERROR(VLOOKUP(--LEFT(TRIM(MID(SUBSTITUTE(F220,";",REPT(" ",99)),397,99)),FIND(":",TRIM(MID(SUBSTITUTE(F220,";",REPT(" ",99)),397,99)))-1),_Lookup!$A:$B,2,FALSE),"?")&amp;"×"&amp;MID(TRIM(MID(SUBSTITUTE(F220,";",REPT(" ",99)),397,99)),FIND(":",TRIM(MID(SUBSTITUTE(F220,";",REPT(" ",99)),397,99)))+1,99))))</f>
        <v/>
      </c>
    </row>
    <row r="221">
      <c r="C221" s="11">
        <f>IFERROR(VLOOKUP(B221,StageData!$A:$B,2,FALSE),"")</f>
        <v/>
      </c>
      <c r="G221" s="11">
        <f>IF(F221="","",TEXTJOIN("; ",TRUE,IF(TRIM(MID(SUBSTITUTE(F221,";",REPT(" ",99)),1,99))="","",IFERROR(VLOOKUP(--LEFT(TRIM(MID(SUBSTITUTE(F221,";",REPT(" ",99)),1,99)),FIND(":",TRIM(MID(SUBSTITUTE(F221,";",REPT(" ",99)),1,99)))-1),_Lookup!$A:$B,2,FALSE),"?")&amp;"×"&amp;MID(TRIM(MID(SUBSTITUTE(F221,";",REPT(" ",99)),1,99)),FIND(":",TRIM(MID(SUBSTITUTE(F221,";",REPT(" ",99)),1,99)))+1,99)),IF(TRIM(MID(SUBSTITUTE(F221,";",REPT(" ",99)),100,99))="","",IFERROR(VLOOKUP(--LEFT(TRIM(MID(SUBSTITUTE(F221,";",REPT(" ",99)),100,99)),FIND(":",TRIM(MID(SUBSTITUTE(F221,";",REPT(" ",99)),100,99)))-1),_Lookup!$A:$B,2,FALSE),"?")&amp;"×"&amp;MID(TRIM(MID(SUBSTITUTE(F221,";",REPT(" ",99)),100,99)),FIND(":",TRIM(MID(SUBSTITUTE(F221,";",REPT(" ",99)),100,99)))+1,99)),IF(TRIM(MID(SUBSTITUTE(F221,";",REPT(" ",99)),199,99))="","",IFERROR(VLOOKUP(--LEFT(TRIM(MID(SUBSTITUTE(F221,";",REPT(" ",99)),199,99)),FIND(":",TRIM(MID(SUBSTITUTE(F221,";",REPT(" ",99)),199,99)))-1),_Lookup!$A:$B,2,FALSE),"?")&amp;"×"&amp;MID(TRIM(MID(SUBSTITUTE(F221,";",REPT(" ",99)),199,99)),FIND(":",TRIM(MID(SUBSTITUTE(F221,";",REPT(" ",99)),199,99)))+1,99)),IF(TRIM(MID(SUBSTITUTE(F221,";",REPT(" ",99)),298,99))="","",IFERROR(VLOOKUP(--LEFT(TRIM(MID(SUBSTITUTE(F221,";",REPT(" ",99)),298,99)),FIND(":",TRIM(MID(SUBSTITUTE(F221,";",REPT(" ",99)),298,99)))-1),_Lookup!$A:$B,2,FALSE),"?")&amp;"×"&amp;MID(TRIM(MID(SUBSTITUTE(F221,";",REPT(" ",99)),298,99)),FIND(":",TRIM(MID(SUBSTITUTE(F221,";",REPT(" ",99)),298,99)))+1,99)),IF(TRIM(MID(SUBSTITUTE(F221,";",REPT(" ",99)),397,99))="","",IFERROR(VLOOKUP(--LEFT(TRIM(MID(SUBSTITUTE(F221,";",REPT(" ",99)),397,99)),FIND(":",TRIM(MID(SUBSTITUTE(F221,";",REPT(" ",99)),397,99)))-1),_Lookup!$A:$B,2,FALSE),"?")&amp;"×"&amp;MID(TRIM(MID(SUBSTITUTE(F221,";",REPT(" ",99)),397,99)),FIND(":",TRIM(MID(SUBSTITUTE(F221,";",REPT(" ",99)),397,99)))+1,99))))</f>
        <v/>
      </c>
    </row>
    <row r="222">
      <c r="C222" s="11">
        <f>IFERROR(VLOOKUP(B222,StageData!$A:$B,2,FALSE),"")</f>
        <v/>
      </c>
      <c r="G222" s="11">
        <f>IF(F222="","",TEXTJOIN("; ",TRUE,IF(TRIM(MID(SUBSTITUTE(F222,";",REPT(" ",99)),1,99))="","",IFERROR(VLOOKUP(--LEFT(TRIM(MID(SUBSTITUTE(F222,";",REPT(" ",99)),1,99)),FIND(":",TRIM(MID(SUBSTITUTE(F222,";",REPT(" ",99)),1,99)))-1),_Lookup!$A:$B,2,FALSE),"?")&amp;"×"&amp;MID(TRIM(MID(SUBSTITUTE(F222,";",REPT(" ",99)),1,99)),FIND(":",TRIM(MID(SUBSTITUTE(F222,";",REPT(" ",99)),1,99)))+1,99)),IF(TRIM(MID(SUBSTITUTE(F222,";",REPT(" ",99)),100,99))="","",IFERROR(VLOOKUP(--LEFT(TRIM(MID(SUBSTITUTE(F222,";",REPT(" ",99)),100,99)),FIND(":",TRIM(MID(SUBSTITUTE(F222,";",REPT(" ",99)),100,99)))-1),_Lookup!$A:$B,2,FALSE),"?")&amp;"×"&amp;MID(TRIM(MID(SUBSTITUTE(F222,";",REPT(" ",99)),100,99)),FIND(":",TRIM(MID(SUBSTITUTE(F222,";",REPT(" ",99)),100,99)))+1,99)),IF(TRIM(MID(SUBSTITUTE(F222,";",REPT(" ",99)),199,99))="","",IFERROR(VLOOKUP(--LEFT(TRIM(MID(SUBSTITUTE(F222,";",REPT(" ",99)),199,99)),FIND(":",TRIM(MID(SUBSTITUTE(F222,";",REPT(" ",99)),199,99)))-1),_Lookup!$A:$B,2,FALSE),"?")&amp;"×"&amp;MID(TRIM(MID(SUBSTITUTE(F222,";",REPT(" ",99)),199,99)),FIND(":",TRIM(MID(SUBSTITUTE(F222,";",REPT(" ",99)),199,99)))+1,99)),IF(TRIM(MID(SUBSTITUTE(F222,";",REPT(" ",99)),298,99))="","",IFERROR(VLOOKUP(--LEFT(TRIM(MID(SUBSTITUTE(F222,";",REPT(" ",99)),298,99)),FIND(":",TRIM(MID(SUBSTITUTE(F222,";",REPT(" ",99)),298,99)))-1),_Lookup!$A:$B,2,FALSE),"?")&amp;"×"&amp;MID(TRIM(MID(SUBSTITUTE(F222,";",REPT(" ",99)),298,99)),FIND(":",TRIM(MID(SUBSTITUTE(F222,";",REPT(" ",99)),298,99)))+1,99)),IF(TRIM(MID(SUBSTITUTE(F222,";",REPT(" ",99)),397,99))="","",IFERROR(VLOOKUP(--LEFT(TRIM(MID(SUBSTITUTE(F222,";",REPT(" ",99)),397,99)),FIND(":",TRIM(MID(SUBSTITUTE(F222,";",REPT(" ",99)),397,99)))-1),_Lookup!$A:$B,2,FALSE),"?")&amp;"×"&amp;MID(TRIM(MID(SUBSTITUTE(F222,";",REPT(" ",99)),397,99)),FIND(":",TRIM(MID(SUBSTITUTE(F222,";",REPT(" ",99)),397,99)))+1,99))))</f>
        <v/>
      </c>
    </row>
    <row r="223">
      <c r="C223" s="11">
        <f>IFERROR(VLOOKUP(B223,StageData!$A:$B,2,FALSE),"")</f>
        <v/>
      </c>
      <c r="G223" s="11">
        <f>IF(F223="","",TEXTJOIN("; ",TRUE,IF(TRIM(MID(SUBSTITUTE(F223,";",REPT(" ",99)),1,99))="","",IFERROR(VLOOKUP(--LEFT(TRIM(MID(SUBSTITUTE(F223,";",REPT(" ",99)),1,99)),FIND(":",TRIM(MID(SUBSTITUTE(F223,";",REPT(" ",99)),1,99)))-1),_Lookup!$A:$B,2,FALSE),"?")&amp;"×"&amp;MID(TRIM(MID(SUBSTITUTE(F223,";",REPT(" ",99)),1,99)),FIND(":",TRIM(MID(SUBSTITUTE(F223,";",REPT(" ",99)),1,99)))+1,99)),IF(TRIM(MID(SUBSTITUTE(F223,";",REPT(" ",99)),100,99))="","",IFERROR(VLOOKUP(--LEFT(TRIM(MID(SUBSTITUTE(F223,";",REPT(" ",99)),100,99)),FIND(":",TRIM(MID(SUBSTITUTE(F223,";",REPT(" ",99)),100,99)))-1),_Lookup!$A:$B,2,FALSE),"?")&amp;"×"&amp;MID(TRIM(MID(SUBSTITUTE(F223,";",REPT(" ",99)),100,99)),FIND(":",TRIM(MID(SUBSTITUTE(F223,";",REPT(" ",99)),100,99)))+1,99)),IF(TRIM(MID(SUBSTITUTE(F223,";",REPT(" ",99)),199,99))="","",IFERROR(VLOOKUP(--LEFT(TRIM(MID(SUBSTITUTE(F223,";",REPT(" ",99)),199,99)),FIND(":",TRIM(MID(SUBSTITUTE(F223,";",REPT(" ",99)),199,99)))-1),_Lookup!$A:$B,2,FALSE),"?")&amp;"×"&amp;MID(TRIM(MID(SUBSTITUTE(F223,";",REPT(" ",99)),199,99)),FIND(":",TRIM(MID(SUBSTITUTE(F223,";",REPT(" ",99)),199,99)))+1,99)),IF(TRIM(MID(SUBSTITUTE(F223,";",REPT(" ",99)),298,99))="","",IFERROR(VLOOKUP(--LEFT(TRIM(MID(SUBSTITUTE(F223,";",REPT(" ",99)),298,99)),FIND(":",TRIM(MID(SUBSTITUTE(F223,";",REPT(" ",99)),298,99)))-1),_Lookup!$A:$B,2,FALSE),"?")&amp;"×"&amp;MID(TRIM(MID(SUBSTITUTE(F223,";",REPT(" ",99)),298,99)),FIND(":",TRIM(MID(SUBSTITUTE(F223,";",REPT(" ",99)),298,99)))+1,99)),IF(TRIM(MID(SUBSTITUTE(F223,";",REPT(" ",99)),397,99))="","",IFERROR(VLOOKUP(--LEFT(TRIM(MID(SUBSTITUTE(F223,";",REPT(" ",99)),397,99)),FIND(":",TRIM(MID(SUBSTITUTE(F223,";",REPT(" ",99)),397,99)))-1),_Lookup!$A:$B,2,FALSE),"?")&amp;"×"&amp;MID(TRIM(MID(SUBSTITUTE(F223,";",REPT(" ",99)),397,99)),FIND(":",TRIM(MID(SUBSTITUTE(F223,";",REPT(" ",99)),397,99)))+1,99))))</f>
        <v/>
      </c>
    </row>
    <row r="224">
      <c r="C224" s="11">
        <f>IFERROR(VLOOKUP(B224,StageData!$A:$B,2,FALSE),"")</f>
        <v/>
      </c>
      <c r="G224" s="11">
        <f>IF(F224="","",TEXTJOIN("; ",TRUE,IF(TRIM(MID(SUBSTITUTE(F224,";",REPT(" ",99)),1,99))="","",IFERROR(VLOOKUP(--LEFT(TRIM(MID(SUBSTITUTE(F224,";",REPT(" ",99)),1,99)),FIND(":",TRIM(MID(SUBSTITUTE(F224,";",REPT(" ",99)),1,99)))-1),_Lookup!$A:$B,2,FALSE),"?")&amp;"×"&amp;MID(TRIM(MID(SUBSTITUTE(F224,";",REPT(" ",99)),1,99)),FIND(":",TRIM(MID(SUBSTITUTE(F224,";",REPT(" ",99)),1,99)))+1,99)),IF(TRIM(MID(SUBSTITUTE(F224,";",REPT(" ",99)),100,99))="","",IFERROR(VLOOKUP(--LEFT(TRIM(MID(SUBSTITUTE(F224,";",REPT(" ",99)),100,99)),FIND(":",TRIM(MID(SUBSTITUTE(F224,";",REPT(" ",99)),100,99)))-1),_Lookup!$A:$B,2,FALSE),"?")&amp;"×"&amp;MID(TRIM(MID(SUBSTITUTE(F224,";",REPT(" ",99)),100,99)),FIND(":",TRIM(MID(SUBSTITUTE(F224,";",REPT(" ",99)),100,99)))+1,99)),IF(TRIM(MID(SUBSTITUTE(F224,";",REPT(" ",99)),199,99))="","",IFERROR(VLOOKUP(--LEFT(TRIM(MID(SUBSTITUTE(F224,";",REPT(" ",99)),199,99)),FIND(":",TRIM(MID(SUBSTITUTE(F224,";",REPT(" ",99)),199,99)))-1),_Lookup!$A:$B,2,FALSE),"?")&amp;"×"&amp;MID(TRIM(MID(SUBSTITUTE(F224,";",REPT(" ",99)),199,99)),FIND(":",TRIM(MID(SUBSTITUTE(F224,";",REPT(" ",99)),199,99)))+1,99)),IF(TRIM(MID(SUBSTITUTE(F224,";",REPT(" ",99)),298,99))="","",IFERROR(VLOOKUP(--LEFT(TRIM(MID(SUBSTITUTE(F224,";",REPT(" ",99)),298,99)),FIND(":",TRIM(MID(SUBSTITUTE(F224,";",REPT(" ",99)),298,99)))-1),_Lookup!$A:$B,2,FALSE),"?")&amp;"×"&amp;MID(TRIM(MID(SUBSTITUTE(F224,";",REPT(" ",99)),298,99)),FIND(":",TRIM(MID(SUBSTITUTE(F224,";",REPT(" ",99)),298,99)))+1,99)),IF(TRIM(MID(SUBSTITUTE(F224,";",REPT(" ",99)),397,99))="","",IFERROR(VLOOKUP(--LEFT(TRIM(MID(SUBSTITUTE(F224,";",REPT(" ",99)),397,99)),FIND(":",TRIM(MID(SUBSTITUTE(F224,";",REPT(" ",99)),397,99)))-1),_Lookup!$A:$B,2,FALSE),"?")&amp;"×"&amp;MID(TRIM(MID(SUBSTITUTE(F224,";",REPT(" ",99)),397,99)),FIND(":",TRIM(MID(SUBSTITUTE(F224,";",REPT(" ",99)),397,99)))+1,99))))</f>
        <v/>
      </c>
    </row>
    <row r="225">
      <c r="C225" s="11">
        <f>IFERROR(VLOOKUP(B225,StageData!$A:$B,2,FALSE),"")</f>
        <v/>
      </c>
      <c r="G225" s="11">
        <f>IF(F225="","",TEXTJOIN("; ",TRUE,IF(TRIM(MID(SUBSTITUTE(F225,";",REPT(" ",99)),1,99))="","",IFERROR(VLOOKUP(--LEFT(TRIM(MID(SUBSTITUTE(F225,";",REPT(" ",99)),1,99)),FIND(":",TRIM(MID(SUBSTITUTE(F225,";",REPT(" ",99)),1,99)))-1),_Lookup!$A:$B,2,FALSE),"?")&amp;"×"&amp;MID(TRIM(MID(SUBSTITUTE(F225,";",REPT(" ",99)),1,99)),FIND(":",TRIM(MID(SUBSTITUTE(F225,";",REPT(" ",99)),1,99)))+1,99)),IF(TRIM(MID(SUBSTITUTE(F225,";",REPT(" ",99)),100,99))="","",IFERROR(VLOOKUP(--LEFT(TRIM(MID(SUBSTITUTE(F225,";",REPT(" ",99)),100,99)),FIND(":",TRIM(MID(SUBSTITUTE(F225,";",REPT(" ",99)),100,99)))-1),_Lookup!$A:$B,2,FALSE),"?")&amp;"×"&amp;MID(TRIM(MID(SUBSTITUTE(F225,";",REPT(" ",99)),100,99)),FIND(":",TRIM(MID(SUBSTITUTE(F225,";",REPT(" ",99)),100,99)))+1,99)),IF(TRIM(MID(SUBSTITUTE(F225,";",REPT(" ",99)),199,99))="","",IFERROR(VLOOKUP(--LEFT(TRIM(MID(SUBSTITUTE(F225,";",REPT(" ",99)),199,99)),FIND(":",TRIM(MID(SUBSTITUTE(F225,";",REPT(" ",99)),199,99)))-1),_Lookup!$A:$B,2,FALSE),"?")&amp;"×"&amp;MID(TRIM(MID(SUBSTITUTE(F225,";",REPT(" ",99)),199,99)),FIND(":",TRIM(MID(SUBSTITUTE(F225,";",REPT(" ",99)),199,99)))+1,99)),IF(TRIM(MID(SUBSTITUTE(F225,";",REPT(" ",99)),298,99))="","",IFERROR(VLOOKUP(--LEFT(TRIM(MID(SUBSTITUTE(F225,";",REPT(" ",99)),298,99)),FIND(":",TRIM(MID(SUBSTITUTE(F225,";",REPT(" ",99)),298,99)))-1),_Lookup!$A:$B,2,FALSE),"?")&amp;"×"&amp;MID(TRIM(MID(SUBSTITUTE(F225,";",REPT(" ",99)),298,99)),FIND(":",TRIM(MID(SUBSTITUTE(F225,";",REPT(" ",99)),298,99)))+1,99)),IF(TRIM(MID(SUBSTITUTE(F225,";",REPT(" ",99)),397,99))="","",IFERROR(VLOOKUP(--LEFT(TRIM(MID(SUBSTITUTE(F225,";",REPT(" ",99)),397,99)),FIND(":",TRIM(MID(SUBSTITUTE(F225,";",REPT(" ",99)),397,99)))-1),_Lookup!$A:$B,2,FALSE),"?")&amp;"×"&amp;MID(TRIM(MID(SUBSTITUTE(F225,";",REPT(" ",99)),397,99)),FIND(":",TRIM(MID(SUBSTITUTE(F225,";",REPT(" ",99)),397,99)))+1,99))))</f>
        <v/>
      </c>
    </row>
    <row r="226">
      <c r="C226" s="11">
        <f>IFERROR(VLOOKUP(B226,StageData!$A:$B,2,FALSE),"")</f>
        <v/>
      </c>
      <c r="G226" s="11">
        <f>IF(F226="","",TEXTJOIN("; ",TRUE,IF(TRIM(MID(SUBSTITUTE(F226,";",REPT(" ",99)),1,99))="","",IFERROR(VLOOKUP(--LEFT(TRIM(MID(SUBSTITUTE(F226,";",REPT(" ",99)),1,99)),FIND(":",TRIM(MID(SUBSTITUTE(F226,";",REPT(" ",99)),1,99)))-1),_Lookup!$A:$B,2,FALSE),"?")&amp;"×"&amp;MID(TRIM(MID(SUBSTITUTE(F226,";",REPT(" ",99)),1,99)),FIND(":",TRIM(MID(SUBSTITUTE(F226,";",REPT(" ",99)),1,99)))+1,99)),IF(TRIM(MID(SUBSTITUTE(F226,";",REPT(" ",99)),100,99))="","",IFERROR(VLOOKUP(--LEFT(TRIM(MID(SUBSTITUTE(F226,";",REPT(" ",99)),100,99)),FIND(":",TRIM(MID(SUBSTITUTE(F226,";",REPT(" ",99)),100,99)))-1),_Lookup!$A:$B,2,FALSE),"?")&amp;"×"&amp;MID(TRIM(MID(SUBSTITUTE(F226,";",REPT(" ",99)),100,99)),FIND(":",TRIM(MID(SUBSTITUTE(F226,";",REPT(" ",99)),100,99)))+1,99)),IF(TRIM(MID(SUBSTITUTE(F226,";",REPT(" ",99)),199,99))="","",IFERROR(VLOOKUP(--LEFT(TRIM(MID(SUBSTITUTE(F226,";",REPT(" ",99)),199,99)),FIND(":",TRIM(MID(SUBSTITUTE(F226,";",REPT(" ",99)),199,99)))-1),_Lookup!$A:$B,2,FALSE),"?")&amp;"×"&amp;MID(TRIM(MID(SUBSTITUTE(F226,";",REPT(" ",99)),199,99)),FIND(":",TRIM(MID(SUBSTITUTE(F226,";",REPT(" ",99)),199,99)))+1,99)),IF(TRIM(MID(SUBSTITUTE(F226,";",REPT(" ",99)),298,99))="","",IFERROR(VLOOKUP(--LEFT(TRIM(MID(SUBSTITUTE(F226,";",REPT(" ",99)),298,99)),FIND(":",TRIM(MID(SUBSTITUTE(F226,";",REPT(" ",99)),298,99)))-1),_Lookup!$A:$B,2,FALSE),"?")&amp;"×"&amp;MID(TRIM(MID(SUBSTITUTE(F226,";",REPT(" ",99)),298,99)),FIND(":",TRIM(MID(SUBSTITUTE(F226,";",REPT(" ",99)),298,99)))+1,99)),IF(TRIM(MID(SUBSTITUTE(F226,";",REPT(" ",99)),397,99))="","",IFERROR(VLOOKUP(--LEFT(TRIM(MID(SUBSTITUTE(F226,";",REPT(" ",99)),397,99)),FIND(":",TRIM(MID(SUBSTITUTE(F226,";",REPT(" ",99)),397,99)))-1),_Lookup!$A:$B,2,FALSE),"?")&amp;"×"&amp;MID(TRIM(MID(SUBSTITUTE(F226,";",REPT(" ",99)),397,99)),FIND(":",TRIM(MID(SUBSTITUTE(F226,";",REPT(" ",99)),397,99)))+1,99))))</f>
        <v/>
      </c>
    </row>
    <row r="227">
      <c r="C227" s="11">
        <f>IFERROR(VLOOKUP(B227,StageData!$A:$B,2,FALSE),"")</f>
        <v/>
      </c>
      <c r="G227" s="11">
        <f>IF(F227="","",TEXTJOIN("; ",TRUE,IF(TRIM(MID(SUBSTITUTE(F227,";",REPT(" ",99)),1,99))="","",IFERROR(VLOOKUP(--LEFT(TRIM(MID(SUBSTITUTE(F227,";",REPT(" ",99)),1,99)),FIND(":",TRIM(MID(SUBSTITUTE(F227,";",REPT(" ",99)),1,99)))-1),_Lookup!$A:$B,2,FALSE),"?")&amp;"×"&amp;MID(TRIM(MID(SUBSTITUTE(F227,";",REPT(" ",99)),1,99)),FIND(":",TRIM(MID(SUBSTITUTE(F227,";",REPT(" ",99)),1,99)))+1,99)),IF(TRIM(MID(SUBSTITUTE(F227,";",REPT(" ",99)),100,99))="","",IFERROR(VLOOKUP(--LEFT(TRIM(MID(SUBSTITUTE(F227,";",REPT(" ",99)),100,99)),FIND(":",TRIM(MID(SUBSTITUTE(F227,";",REPT(" ",99)),100,99)))-1),_Lookup!$A:$B,2,FALSE),"?")&amp;"×"&amp;MID(TRIM(MID(SUBSTITUTE(F227,";",REPT(" ",99)),100,99)),FIND(":",TRIM(MID(SUBSTITUTE(F227,";",REPT(" ",99)),100,99)))+1,99)),IF(TRIM(MID(SUBSTITUTE(F227,";",REPT(" ",99)),199,99))="","",IFERROR(VLOOKUP(--LEFT(TRIM(MID(SUBSTITUTE(F227,";",REPT(" ",99)),199,99)),FIND(":",TRIM(MID(SUBSTITUTE(F227,";",REPT(" ",99)),199,99)))-1),_Lookup!$A:$B,2,FALSE),"?")&amp;"×"&amp;MID(TRIM(MID(SUBSTITUTE(F227,";",REPT(" ",99)),199,99)),FIND(":",TRIM(MID(SUBSTITUTE(F227,";",REPT(" ",99)),199,99)))+1,99)),IF(TRIM(MID(SUBSTITUTE(F227,";",REPT(" ",99)),298,99))="","",IFERROR(VLOOKUP(--LEFT(TRIM(MID(SUBSTITUTE(F227,";",REPT(" ",99)),298,99)),FIND(":",TRIM(MID(SUBSTITUTE(F227,";",REPT(" ",99)),298,99)))-1),_Lookup!$A:$B,2,FALSE),"?")&amp;"×"&amp;MID(TRIM(MID(SUBSTITUTE(F227,";",REPT(" ",99)),298,99)),FIND(":",TRIM(MID(SUBSTITUTE(F227,";",REPT(" ",99)),298,99)))+1,99)),IF(TRIM(MID(SUBSTITUTE(F227,";",REPT(" ",99)),397,99))="","",IFERROR(VLOOKUP(--LEFT(TRIM(MID(SUBSTITUTE(F227,";",REPT(" ",99)),397,99)),FIND(":",TRIM(MID(SUBSTITUTE(F227,";",REPT(" ",99)),397,99)))-1),_Lookup!$A:$B,2,FALSE),"?")&amp;"×"&amp;MID(TRIM(MID(SUBSTITUTE(F227,";",REPT(" ",99)),397,99)),FIND(":",TRIM(MID(SUBSTITUTE(F227,";",REPT(" ",99)),397,99)))+1,99))))</f>
        <v/>
      </c>
    </row>
    <row r="228">
      <c r="C228" s="11">
        <f>IFERROR(VLOOKUP(B228,StageData!$A:$B,2,FALSE),"")</f>
        <v/>
      </c>
      <c r="G228" s="11">
        <f>IF(F228="","",TEXTJOIN("; ",TRUE,IF(TRIM(MID(SUBSTITUTE(F228,";",REPT(" ",99)),1,99))="","",IFERROR(VLOOKUP(--LEFT(TRIM(MID(SUBSTITUTE(F228,";",REPT(" ",99)),1,99)),FIND(":",TRIM(MID(SUBSTITUTE(F228,";",REPT(" ",99)),1,99)))-1),_Lookup!$A:$B,2,FALSE),"?")&amp;"×"&amp;MID(TRIM(MID(SUBSTITUTE(F228,";",REPT(" ",99)),1,99)),FIND(":",TRIM(MID(SUBSTITUTE(F228,";",REPT(" ",99)),1,99)))+1,99)),IF(TRIM(MID(SUBSTITUTE(F228,";",REPT(" ",99)),100,99))="","",IFERROR(VLOOKUP(--LEFT(TRIM(MID(SUBSTITUTE(F228,";",REPT(" ",99)),100,99)),FIND(":",TRIM(MID(SUBSTITUTE(F228,";",REPT(" ",99)),100,99)))-1),_Lookup!$A:$B,2,FALSE),"?")&amp;"×"&amp;MID(TRIM(MID(SUBSTITUTE(F228,";",REPT(" ",99)),100,99)),FIND(":",TRIM(MID(SUBSTITUTE(F228,";",REPT(" ",99)),100,99)))+1,99)),IF(TRIM(MID(SUBSTITUTE(F228,";",REPT(" ",99)),199,99))="","",IFERROR(VLOOKUP(--LEFT(TRIM(MID(SUBSTITUTE(F228,";",REPT(" ",99)),199,99)),FIND(":",TRIM(MID(SUBSTITUTE(F228,";",REPT(" ",99)),199,99)))-1),_Lookup!$A:$B,2,FALSE),"?")&amp;"×"&amp;MID(TRIM(MID(SUBSTITUTE(F228,";",REPT(" ",99)),199,99)),FIND(":",TRIM(MID(SUBSTITUTE(F228,";",REPT(" ",99)),199,99)))+1,99)),IF(TRIM(MID(SUBSTITUTE(F228,";",REPT(" ",99)),298,99))="","",IFERROR(VLOOKUP(--LEFT(TRIM(MID(SUBSTITUTE(F228,";",REPT(" ",99)),298,99)),FIND(":",TRIM(MID(SUBSTITUTE(F228,";",REPT(" ",99)),298,99)))-1),_Lookup!$A:$B,2,FALSE),"?")&amp;"×"&amp;MID(TRIM(MID(SUBSTITUTE(F228,";",REPT(" ",99)),298,99)),FIND(":",TRIM(MID(SUBSTITUTE(F228,";",REPT(" ",99)),298,99)))+1,99)),IF(TRIM(MID(SUBSTITUTE(F228,";",REPT(" ",99)),397,99))="","",IFERROR(VLOOKUP(--LEFT(TRIM(MID(SUBSTITUTE(F228,";",REPT(" ",99)),397,99)),FIND(":",TRIM(MID(SUBSTITUTE(F228,";",REPT(" ",99)),397,99)))-1),_Lookup!$A:$B,2,FALSE),"?")&amp;"×"&amp;MID(TRIM(MID(SUBSTITUTE(F228,";",REPT(" ",99)),397,99)),FIND(":",TRIM(MID(SUBSTITUTE(F228,";",REPT(" ",99)),397,99)))+1,99))))</f>
        <v/>
      </c>
    </row>
    <row r="229">
      <c r="C229" s="11">
        <f>IFERROR(VLOOKUP(B229,StageData!$A:$B,2,FALSE),"")</f>
        <v/>
      </c>
      <c r="G229" s="11">
        <f>IF(F229="","",TEXTJOIN("; ",TRUE,IF(TRIM(MID(SUBSTITUTE(F229,";",REPT(" ",99)),1,99))="","",IFERROR(VLOOKUP(--LEFT(TRIM(MID(SUBSTITUTE(F229,";",REPT(" ",99)),1,99)),FIND(":",TRIM(MID(SUBSTITUTE(F229,";",REPT(" ",99)),1,99)))-1),_Lookup!$A:$B,2,FALSE),"?")&amp;"×"&amp;MID(TRIM(MID(SUBSTITUTE(F229,";",REPT(" ",99)),1,99)),FIND(":",TRIM(MID(SUBSTITUTE(F229,";",REPT(" ",99)),1,99)))+1,99)),IF(TRIM(MID(SUBSTITUTE(F229,";",REPT(" ",99)),100,99))="","",IFERROR(VLOOKUP(--LEFT(TRIM(MID(SUBSTITUTE(F229,";",REPT(" ",99)),100,99)),FIND(":",TRIM(MID(SUBSTITUTE(F229,";",REPT(" ",99)),100,99)))-1),_Lookup!$A:$B,2,FALSE),"?")&amp;"×"&amp;MID(TRIM(MID(SUBSTITUTE(F229,";",REPT(" ",99)),100,99)),FIND(":",TRIM(MID(SUBSTITUTE(F229,";",REPT(" ",99)),100,99)))+1,99)),IF(TRIM(MID(SUBSTITUTE(F229,";",REPT(" ",99)),199,99))="","",IFERROR(VLOOKUP(--LEFT(TRIM(MID(SUBSTITUTE(F229,";",REPT(" ",99)),199,99)),FIND(":",TRIM(MID(SUBSTITUTE(F229,";",REPT(" ",99)),199,99)))-1),_Lookup!$A:$B,2,FALSE),"?")&amp;"×"&amp;MID(TRIM(MID(SUBSTITUTE(F229,";",REPT(" ",99)),199,99)),FIND(":",TRIM(MID(SUBSTITUTE(F229,";",REPT(" ",99)),199,99)))+1,99)),IF(TRIM(MID(SUBSTITUTE(F229,";",REPT(" ",99)),298,99))="","",IFERROR(VLOOKUP(--LEFT(TRIM(MID(SUBSTITUTE(F229,";",REPT(" ",99)),298,99)),FIND(":",TRIM(MID(SUBSTITUTE(F229,";",REPT(" ",99)),298,99)))-1),_Lookup!$A:$B,2,FALSE),"?")&amp;"×"&amp;MID(TRIM(MID(SUBSTITUTE(F229,";",REPT(" ",99)),298,99)),FIND(":",TRIM(MID(SUBSTITUTE(F229,";",REPT(" ",99)),298,99)))+1,99)),IF(TRIM(MID(SUBSTITUTE(F229,";",REPT(" ",99)),397,99))="","",IFERROR(VLOOKUP(--LEFT(TRIM(MID(SUBSTITUTE(F229,";",REPT(" ",99)),397,99)),FIND(":",TRIM(MID(SUBSTITUTE(F229,";",REPT(" ",99)),397,99)))-1),_Lookup!$A:$B,2,FALSE),"?")&amp;"×"&amp;MID(TRIM(MID(SUBSTITUTE(F229,";",REPT(" ",99)),397,99)),FIND(":",TRIM(MID(SUBSTITUTE(F229,";",REPT(" ",99)),397,99)))+1,99))))</f>
        <v/>
      </c>
    </row>
    <row r="230">
      <c r="C230" s="11">
        <f>IFERROR(VLOOKUP(B230,StageData!$A:$B,2,FALSE),"")</f>
        <v/>
      </c>
      <c r="G230" s="11">
        <f>IF(F230="","",TEXTJOIN("; ",TRUE,IF(TRIM(MID(SUBSTITUTE(F230,";",REPT(" ",99)),1,99))="","",IFERROR(VLOOKUP(--LEFT(TRIM(MID(SUBSTITUTE(F230,";",REPT(" ",99)),1,99)),FIND(":",TRIM(MID(SUBSTITUTE(F230,";",REPT(" ",99)),1,99)))-1),_Lookup!$A:$B,2,FALSE),"?")&amp;"×"&amp;MID(TRIM(MID(SUBSTITUTE(F230,";",REPT(" ",99)),1,99)),FIND(":",TRIM(MID(SUBSTITUTE(F230,";",REPT(" ",99)),1,99)))+1,99)),IF(TRIM(MID(SUBSTITUTE(F230,";",REPT(" ",99)),100,99))="","",IFERROR(VLOOKUP(--LEFT(TRIM(MID(SUBSTITUTE(F230,";",REPT(" ",99)),100,99)),FIND(":",TRIM(MID(SUBSTITUTE(F230,";",REPT(" ",99)),100,99)))-1),_Lookup!$A:$B,2,FALSE),"?")&amp;"×"&amp;MID(TRIM(MID(SUBSTITUTE(F230,";",REPT(" ",99)),100,99)),FIND(":",TRIM(MID(SUBSTITUTE(F230,";",REPT(" ",99)),100,99)))+1,99)),IF(TRIM(MID(SUBSTITUTE(F230,";",REPT(" ",99)),199,99))="","",IFERROR(VLOOKUP(--LEFT(TRIM(MID(SUBSTITUTE(F230,";",REPT(" ",99)),199,99)),FIND(":",TRIM(MID(SUBSTITUTE(F230,";",REPT(" ",99)),199,99)))-1),_Lookup!$A:$B,2,FALSE),"?")&amp;"×"&amp;MID(TRIM(MID(SUBSTITUTE(F230,";",REPT(" ",99)),199,99)),FIND(":",TRIM(MID(SUBSTITUTE(F230,";",REPT(" ",99)),199,99)))+1,99)),IF(TRIM(MID(SUBSTITUTE(F230,";",REPT(" ",99)),298,99))="","",IFERROR(VLOOKUP(--LEFT(TRIM(MID(SUBSTITUTE(F230,";",REPT(" ",99)),298,99)),FIND(":",TRIM(MID(SUBSTITUTE(F230,";",REPT(" ",99)),298,99)))-1),_Lookup!$A:$B,2,FALSE),"?")&amp;"×"&amp;MID(TRIM(MID(SUBSTITUTE(F230,";",REPT(" ",99)),298,99)),FIND(":",TRIM(MID(SUBSTITUTE(F230,";",REPT(" ",99)),298,99)))+1,99)),IF(TRIM(MID(SUBSTITUTE(F230,";",REPT(" ",99)),397,99))="","",IFERROR(VLOOKUP(--LEFT(TRIM(MID(SUBSTITUTE(F230,";",REPT(" ",99)),397,99)),FIND(":",TRIM(MID(SUBSTITUTE(F230,";",REPT(" ",99)),397,99)))-1),_Lookup!$A:$B,2,FALSE),"?")&amp;"×"&amp;MID(TRIM(MID(SUBSTITUTE(F230,";",REPT(" ",99)),397,99)),FIND(":",TRIM(MID(SUBSTITUTE(F230,";",REPT(" ",99)),397,99)))+1,99))))</f>
        <v/>
      </c>
    </row>
    <row r="231">
      <c r="C231" s="11">
        <f>IFERROR(VLOOKUP(B231,StageData!$A:$B,2,FALSE),"")</f>
        <v/>
      </c>
      <c r="G231" s="11">
        <f>IF(F231="","",TEXTJOIN("; ",TRUE,IF(TRIM(MID(SUBSTITUTE(F231,";",REPT(" ",99)),1,99))="","",IFERROR(VLOOKUP(--LEFT(TRIM(MID(SUBSTITUTE(F231,";",REPT(" ",99)),1,99)),FIND(":",TRIM(MID(SUBSTITUTE(F231,";",REPT(" ",99)),1,99)))-1),_Lookup!$A:$B,2,FALSE),"?")&amp;"×"&amp;MID(TRIM(MID(SUBSTITUTE(F231,";",REPT(" ",99)),1,99)),FIND(":",TRIM(MID(SUBSTITUTE(F231,";",REPT(" ",99)),1,99)))+1,99)),IF(TRIM(MID(SUBSTITUTE(F231,";",REPT(" ",99)),100,99))="","",IFERROR(VLOOKUP(--LEFT(TRIM(MID(SUBSTITUTE(F231,";",REPT(" ",99)),100,99)),FIND(":",TRIM(MID(SUBSTITUTE(F231,";",REPT(" ",99)),100,99)))-1),_Lookup!$A:$B,2,FALSE),"?")&amp;"×"&amp;MID(TRIM(MID(SUBSTITUTE(F231,";",REPT(" ",99)),100,99)),FIND(":",TRIM(MID(SUBSTITUTE(F231,";",REPT(" ",99)),100,99)))+1,99)),IF(TRIM(MID(SUBSTITUTE(F231,";",REPT(" ",99)),199,99))="","",IFERROR(VLOOKUP(--LEFT(TRIM(MID(SUBSTITUTE(F231,";",REPT(" ",99)),199,99)),FIND(":",TRIM(MID(SUBSTITUTE(F231,";",REPT(" ",99)),199,99)))-1),_Lookup!$A:$B,2,FALSE),"?")&amp;"×"&amp;MID(TRIM(MID(SUBSTITUTE(F231,";",REPT(" ",99)),199,99)),FIND(":",TRIM(MID(SUBSTITUTE(F231,";",REPT(" ",99)),199,99)))+1,99)),IF(TRIM(MID(SUBSTITUTE(F231,";",REPT(" ",99)),298,99))="","",IFERROR(VLOOKUP(--LEFT(TRIM(MID(SUBSTITUTE(F231,";",REPT(" ",99)),298,99)),FIND(":",TRIM(MID(SUBSTITUTE(F231,";",REPT(" ",99)),298,99)))-1),_Lookup!$A:$B,2,FALSE),"?")&amp;"×"&amp;MID(TRIM(MID(SUBSTITUTE(F231,";",REPT(" ",99)),298,99)),FIND(":",TRIM(MID(SUBSTITUTE(F231,";",REPT(" ",99)),298,99)))+1,99)),IF(TRIM(MID(SUBSTITUTE(F231,";",REPT(" ",99)),397,99))="","",IFERROR(VLOOKUP(--LEFT(TRIM(MID(SUBSTITUTE(F231,";",REPT(" ",99)),397,99)),FIND(":",TRIM(MID(SUBSTITUTE(F231,";",REPT(" ",99)),397,99)))-1),_Lookup!$A:$B,2,FALSE),"?")&amp;"×"&amp;MID(TRIM(MID(SUBSTITUTE(F231,";",REPT(" ",99)),397,99)),FIND(":",TRIM(MID(SUBSTITUTE(F231,";",REPT(" ",99)),397,99)))+1,99))))</f>
        <v/>
      </c>
    </row>
    <row r="232">
      <c r="C232" s="11">
        <f>IFERROR(VLOOKUP(B232,StageData!$A:$B,2,FALSE),"")</f>
        <v/>
      </c>
      <c r="G232" s="11">
        <f>IF(F232="","",TEXTJOIN("; ",TRUE,IF(TRIM(MID(SUBSTITUTE(F232,";",REPT(" ",99)),1,99))="","",IFERROR(VLOOKUP(--LEFT(TRIM(MID(SUBSTITUTE(F232,";",REPT(" ",99)),1,99)),FIND(":",TRIM(MID(SUBSTITUTE(F232,";",REPT(" ",99)),1,99)))-1),_Lookup!$A:$B,2,FALSE),"?")&amp;"×"&amp;MID(TRIM(MID(SUBSTITUTE(F232,";",REPT(" ",99)),1,99)),FIND(":",TRIM(MID(SUBSTITUTE(F232,";",REPT(" ",99)),1,99)))+1,99)),IF(TRIM(MID(SUBSTITUTE(F232,";",REPT(" ",99)),100,99))="","",IFERROR(VLOOKUP(--LEFT(TRIM(MID(SUBSTITUTE(F232,";",REPT(" ",99)),100,99)),FIND(":",TRIM(MID(SUBSTITUTE(F232,";",REPT(" ",99)),100,99)))-1),_Lookup!$A:$B,2,FALSE),"?")&amp;"×"&amp;MID(TRIM(MID(SUBSTITUTE(F232,";",REPT(" ",99)),100,99)),FIND(":",TRIM(MID(SUBSTITUTE(F232,";",REPT(" ",99)),100,99)))+1,99)),IF(TRIM(MID(SUBSTITUTE(F232,";",REPT(" ",99)),199,99))="","",IFERROR(VLOOKUP(--LEFT(TRIM(MID(SUBSTITUTE(F232,";",REPT(" ",99)),199,99)),FIND(":",TRIM(MID(SUBSTITUTE(F232,";",REPT(" ",99)),199,99)))-1),_Lookup!$A:$B,2,FALSE),"?")&amp;"×"&amp;MID(TRIM(MID(SUBSTITUTE(F232,";",REPT(" ",99)),199,99)),FIND(":",TRIM(MID(SUBSTITUTE(F232,";",REPT(" ",99)),199,99)))+1,99)),IF(TRIM(MID(SUBSTITUTE(F232,";",REPT(" ",99)),298,99))="","",IFERROR(VLOOKUP(--LEFT(TRIM(MID(SUBSTITUTE(F232,";",REPT(" ",99)),298,99)),FIND(":",TRIM(MID(SUBSTITUTE(F232,";",REPT(" ",99)),298,99)))-1),_Lookup!$A:$B,2,FALSE),"?")&amp;"×"&amp;MID(TRIM(MID(SUBSTITUTE(F232,";",REPT(" ",99)),298,99)),FIND(":",TRIM(MID(SUBSTITUTE(F232,";",REPT(" ",99)),298,99)))+1,99)),IF(TRIM(MID(SUBSTITUTE(F232,";",REPT(" ",99)),397,99))="","",IFERROR(VLOOKUP(--LEFT(TRIM(MID(SUBSTITUTE(F232,";",REPT(" ",99)),397,99)),FIND(":",TRIM(MID(SUBSTITUTE(F232,";",REPT(" ",99)),397,99)))-1),_Lookup!$A:$B,2,FALSE),"?")&amp;"×"&amp;MID(TRIM(MID(SUBSTITUTE(F232,";",REPT(" ",99)),397,99)),FIND(":",TRIM(MID(SUBSTITUTE(F232,";",REPT(" ",99)),397,99)))+1,99))))</f>
        <v/>
      </c>
    </row>
    <row r="233">
      <c r="C233" s="11">
        <f>IFERROR(VLOOKUP(B233,StageData!$A:$B,2,FALSE),"")</f>
        <v/>
      </c>
      <c r="G233" s="11">
        <f>IF(F233="","",TEXTJOIN("; ",TRUE,IF(TRIM(MID(SUBSTITUTE(F233,";",REPT(" ",99)),1,99))="","",IFERROR(VLOOKUP(--LEFT(TRIM(MID(SUBSTITUTE(F233,";",REPT(" ",99)),1,99)),FIND(":",TRIM(MID(SUBSTITUTE(F233,";",REPT(" ",99)),1,99)))-1),_Lookup!$A:$B,2,FALSE),"?")&amp;"×"&amp;MID(TRIM(MID(SUBSTITUTE(F233,";",REPT(" ",99)),1,99)),FIND(":",TRIM(MID(SUBSTITUTE(F233,";",REPT(" ",99)),1,99)))+1,99)),IF(TRIM(MID(SUBSTITUTE(F233,";",REPT(" ",99)),100,99))="","",IFERROR(VLOOKUP(--LEFT(TRIM(MID(SUBSTITUTE(F233,";",REPT(" ",99)),100,99)),FIND(":",TRIM(MID(SUBSTITUTE(F233,";",REPT(" ",99)),100,99)))-1),_Lookup!$A:$B,2,FALSE),"?")&amp;"×"&amp;MID(TRIM(MID(SUBSTITUTE(F233,";",REPT(" ",99)),100,99)),FIND(":",TRIM(MID(SUBSTITUTE(F233,";",REPT(" ",99)),100,99)))+1,99)),IF(TRIM(MID(SUBSTITUTE(F233,";",REPT(" ",99)),199,99))="","",IFERROR(VLOOKUP(--LEFT(TRIM(MID(SUBSTITUTE(F233,";",REPT(" ",99)),199,99)),FIND(":",TRIM(MID(SUBSTITUTE(F233,";",REPT(" ",99)),199,99)))-1),_Lookup!$A:$B,2,FALSE),"?")&amp;"×"&amp;MID(TRIM(MID(SUBSTITUTE(F233,";",REPT(" ",99)),199,99)),FIND(":",TRIM(MID(SUBSTITUTE(F233,";",REPT(" ",99)),199,99)))+1,99)),IF(TRIM(MID(SUBSTITUTE(F233,";",REPT(" ",99)),298,99))="","",IFERROR(VLOOKUP(--LEFT(TRIM(MID(SUBSTITUTE(F233,";",REPT(" ",99)),298,99)),FIND(":",TRIM(MID(SUBSTITUTE(F233,";",REPT(" ",99)),298,99)))-1),_Lookup!$A:$B,2,FALSE),"?")&amp;"×"&amp;MID(TRIM(MID(SUBSTITUTE(F233,";",REPT(" ",99)),298,99)),FIND(":",TRIM(MID(SUBSTITUTE(F233,";",REPT(" ",99)),298,99)))+1,99)),IF(TRIM(MID(SUBSTITUTE(F233,";",REPT(" ",99)),397,99))="","",IFERROR(VLOOKUP(--LEFT(TRIM(MID(SUBSTITUTE(F233,";",REPT(" ",99)),397,99)),FIND(":",TRIM(MID(SUBSTITUTE(F233,";",REPT(" ",99)),397,99)))-1),_Lookup!$A:$B,2,FALSE),"?")&amp;"×"&amp;MID(TRIM(MID(SUBSTITUTE(F233,";",REPT(" ",99)),397,99)),FIND(":",TRIM(MID(SUBSTITUTE(F233,";",REPT(" ",99)),397,99)))+1,99))))</f>
        <v/>
      </c>
    </row>
    <row r="234">
      <c r="C234" s="11">
        <f>IFERROR(VLOOKUP(B234,StageData!$A:$B,2,FALSE),"")</f>
        <v/>
      </c>
      <c r="G234" s="11">
        <f>IF(F234="","",TEXTJOIN("; ",TRUE,IF(TRIM(MID(SUBSTITUTE(F234,";",REPT(" ",99)),1,99))="","",IFERROR(VLOOKUP(--LEFT(TRIM(MID(SUBSTITUTE(F234,";",REPT(" ",99)),1,99)),FIND(":",TRIM(MID(SUBSTITUTE(F234,";",REPT(" ",99)),1,99)))-1),_Lookup!$A:$B,2,FALSE),"?")&amp;"×"&amp;MID(TRIM(MID(SUBSTITUTE(F234,";",REPT(" ",99)),1,99)),FIND(":",TRIM(MID(SUBSTITUTE(F234,";",REPT(" ",99)),1,99)))+1,99)),IF(TRIM(MID(SUBSTITUTE(F234,";",REPT(" ",99)),100,99))="","",IFERROR(VLOOKUP(--LEFT(TRIM(MID(SUBSTITUTE(F234,";",REPT(" ",99)),100,99)),FIND(":",TRIM(MID(SUBSTITUTE(F234,";",REPT(" ",99)),100,99)))-1),_Lookup!$A:$B,2,FALSE),"?")&amp;"×"&amp;MID(TRIM(MID(SUBSTITUTE(F234,";",REPT(" ",99)),100,99)),FIND(":",TRIM(MID(SUBSTITUTE(F234,";",REPT(" ",99)),100,99)))+1,99)),IF(TRIM(MID(SUBSTITUTE(F234,";",REPT(" ",99)),199,99))="","",IFERROR(VLOOKUP(--LEFT(TRIM(MID(SUBSTITUTE(F234,";",REPT(" ",99)),199,99)),FIND(":",TRIM(MID(SUBSTITUTE(F234,";",REPT(" ",99)),199,99)))-1),_Lookup!$A:$B,2,FALSE),"?")&amp;"×"&amp;MID(TRIM(MID(SUBSTITUTE(F234,";",REPT(" ",99)),199,99)),FIND(":",TRIM(MID(SUBSTITUTE(F234,";",REPT(" ",99)),199,99)))+1,99)),IF(TRIM(MID(SUBSTITUTE(F234,";",REPT(" ",99)),298,99))="","",IFERROR(VLOOKUP(--LEFT(TRIM(MID(SUBSTITUTE(F234,";",REPT(" ",99)),298,99)),FIND(":",TRIM(MID(SUBSTITUTE(F234,";",REPT(" ",99)),298,99)))-1),_Lookup!$A:$B,2,FALSE),"?")&amp;"×"&amp;MID(TRIM(MID(SUBSTITUTE(F234,";",REPT(" ",99)),298,99)),FIND(":",TRIM(MID(SUBSTITUTE(F234,";",REPT(" ",99)),298,99)))+1,99)),IF(TRIM(MID(SUBSTITUTE(F234,";",REPT(" ",99)),397,99))="","",IFERROR(VLOOKUP(--LEFT(TRIM(MID(SUBSTITUTE(F234,";",REPT(" ",99)),397,99)),FIND(":",TRIM(MID(SUBSTITUTE(F234,";",REPT(" ",99)),397,99)))-1),_Lookup!$A:$B,2,FALSE),"?")&amp;"×"&amp;MID(TRIM(MID(SUBSTITUTE(F234,";",REPT(" ",99)),397,99)),FIND(":",TRIM(MID(SUBSTITUTE(F234,";",REPT(" ",99)),397,99)))+1,99))))</f>
        <v/>
      </c>
    </row>
    <row r="235">
      <c r="C235" s="11">
        <f>IFERROR(VLOOKUP(B235,StageData!$A:$B,2,FALSE),"")</f>
        <v/>
      </c>
      <c r="G235" s="11">
        <f>IF(F235="","",TEXTJOIN("; ",TRUE,IF(TRIM(MID(SUBSTITUTE(F235,";",REPT(" ",99)),1,99))="","",IFERROR(VLOOKUP(--LEFT(TRIM(MID(SUBSTITUTE(F235,";",REPT(" ",99)),1,99)),FIND(":",TRIM(MID(SUBSTITUTE(F235,";",REPT(" ",99)),1,99)))-1),_Lookup!$A:$B,2,FALSE),"?")&amp;"×"&amp;MID(TRIM(MID(SUBSTITUTE(F235,";",REPT(" ",99)),1,99)),FIND(":",TRIM(MID(SUBSTITUTE(F235,";",REPT(" ",99)),1,99)))+1,99)),IF(TRIM(MID(SUBSTITUTE(F235,";",REPT(" ",99)),100,99))="","",IFERROR(VLOOKUP(--LEFT(TRIM(MID(SUBSTITUTE(F235,";",REPT(" ",99)),100,99)),FIND(":",TRIM(MID(SUBSTITUTE(F235,";",REPT(" ",99)),100,99)))-1),_Lookup!$A:$B,2,FALSE),"?")&amp;"×"&amp;MID(TRIM(MID(SUBSTITUTE(F235,";",REPT(" ",99)),100,99)),FIND(":",TRIM(MID(SUBSTITUTE(F235,";",REPT(" ",99)),100,99)))+1,99)),IF(TRIM(MID(SUBSTITUTE(F235,";",REPT(" ",99)),199,99))="","",IFERROR(VLOOKUP(--LEFT(TRIM(MID(SUBSTITUTE(F235,";",REPT(" ",99)),199,99)),FIND(":",TRIM(MID(SUBSTITUTE(F235,";",REPT(" ",99)),199,99)))-1),_Lookup!$A:$B,2,FALSE),"?")&amp;"×"&amp;MID(TRIM(MID(SUBSTITUTE(F235,";",REPT(" ",99)),199,99)),FIND(":",TRIM(MID(SUBSTITUTE(F235,";",REPT(" ",99)),199,99)))+1,99)),IF(TRIM(MID(SUBSTITUTE(F235,";",REPT(" ",99)),298,99))="","",IFERROR(VLOOKUP(--LEFT(TRIM(MID(SUBSTITUTE(F235,";",REPT(" ",99)),298,99)),FIND(":",TRIM(MID(SUBSTITUTE(F235,";",REPT(" ",99)),298,99)))-1),_Lookup!$A:$B,2,FALSE),"?")&amp;"×"&amp;MID(TRIM(MID(SUBSTITUTE(F235,";",REPT(" ",99)),298,99)),FIND(":",TRIM(MID(SUBSTITUTE(F235,";",REPT(" ",99)),298,99)))+1,99)),IF(TRIM(MID(SUBSTITUTE(F235,";",REPT(" ",99)),397,99))="","",IFERROR(VLOOKUP(--LEFT(TRIM(MID(SUBSTITUTE(F235,";",REPT(" ",99)),397,99)),FIND(":",TRIM(MID(SUBSTITUTE(F235,";",REPT(" ",99)),397,99)))-1),_Lookup!$A:$B,2,FALSE),"?")&amp;"×"&amp;MID(TRIM(MID(SUBSTITUTE(F235,";",REPT(" ",99)),397,99)),FIND(":",TRIM(MID(SUBSTITUTE(F235,";",REPT(" ",99)),397,99)))+1,99))))</f>
        <v/>
      </c>
    </row>
    <row r="236">
      <c r="C236" s="11">
        <f>IFERROR(VLOOKUP(B236,StageData!$A:$B,2,FALSE),"")</f>
        <v/>
      </c>
      <c r="G236" s="11">
        <f>IF(F236="","",TEXTJOIN("; ",TRUE,IF(TRIM(MID(SUBSTITUTE(F236,";",REPT(" ",99)),1,99))="","",IFERROR(VLOOKUP(--LEFT(TRIM(MID(SUBSTITUTE(F236,";",REPT(" ",99)),1,99)),FIND(":",TRIM(MID(SUBSTITUTE(F236,";",REPT(" ",99)),1,99)))-1),_Lookup!$A:$B,2,FALSE),"?")&amp;"×"&amp;MID(TRIM(MID(SUBSTITUTE(F236,";",REPT(" ",99)),1,99)),FIND(":",TRIM(MID(SUBSTITUTE(F236,";",REPT(" ",99)),1,99)))+1,99)),IF(TRIM(MID(SUBSTITUTE(F236,";",REPT(" ",99)),100,99))="","",IFERROR(VLOOKUP(--LEFT(TRIM(MID(SUBSTITUTE(F236,";",REPT(" ",99)),100,99)),FIND(":",TRIM(MID(SUBSTITUTE(F236,";",REPT(" ",99)),100,99)))-1),_Lookup!$A:$B,2,FALSE),"?")&amp;"×"&amp;MID(TRIM(MID(SUBSTITUTE(F236,";",REPT(" ",99)),100,99)),FIND(":",TRIM(MID(SUBSTITUTE(F236,";",REPT(" ",99)),100,99)))+1,99)),IF(TRIM(MID(SUBSTITUTE(F236,";",REPT(" ",99)),199,99))="","",IFERROR(VLOOKUP(--LEFT(TRIM(MID(SUBSTITUTE(F236,";",REPT(" ",99)),199,99)),FIND(":",TRIM(MID(SUBSTITUTE(F236,";",REPT(" ",99)),199,99)))-1),_Lookup!$A:$B,2,FALSE),"?")&amp;"×"&amp;MID(TRIM(MID(SUBSTITUTE(F236,";",REPT(" ",99)),199,99)),FIND(":",TRIM(MID(SUBSTITUTE(F236,";",REPT(" ",99)),199,99)))+1,99)),IF(TRIM(MID(SUBSTITUTE(F236,";",REPT(" ",99)),298,99))="","",IFERROR(VLOOKUP(--LEFT(TRIM(MID(SUBSTITUTE(F236,";",REPT(" ",99)),298,99)),FIND(":",TRIM(MID(SUBSTITUTE(F236,";",REPT(" ",99)),298,99)))-1),_Lookup!$A:$B,2,FALSE),"?")&amp;"×"&amp;MID(TRIM(MID(SUBSTITUTE(F236,";",REPT(" ",99)),298,99)),FIND(":",TRIM(MID(SUBSTITUTE(F236,";",REPT(" ",99)),298,99)))+1,99)),IF(TRIM(MID(SUBSTITUTE(F236,";",REPT(" ",99)),397,99))="","",IFERROR(VLOOKUP(--LEFT(TRIM(MID(SUBSTITUTE(F236,";",REPT(" ",99)),397,99)),FIND(":",TRIM(MID(SUBSTITUTE(F236,";",REPT(" ",99)),397,99)))-1),_Lookup!$A:$B,2,FALSE),"?")&amp;"×"&amp;MID(TRIM(MID(SUBSTITUTE(F236,";",REPT(" ",99)),397,99)),FIND(":",TRIM(MID(SUBSTITUTE(F236,";",REPT(" ",99)),397,99)))+1,99))))</f>
        <v/>
      </c>
    </row>
    <row r="237">
      <c r="C237" s="11">
        <f>IFERROR(VLOOKUP(B237,StageData!$A:$B,2,FALSE),"")</f>
        <v/>
      </c>
      <c r="G237" s="11">
        <f>IF(F237="","",TEXTJOIN("; ",TRUE,IF(TRIM(MID(SUBSTITUTE(F237,";",REPT(" ",99)),1,99))="","",IFERROR(VLOOKUP(--LEFT(TRIM(MID(SUBSTITUTE(F237,";",REPT(" ",99)),1,99)),FIND(":",TRIM(MID(SUBSTITUTE(F237,";",REPT(" ",99)),1,99)))-1),_Lookup!$A:$B,2,FALSE),"?")&amp;"×"&amp;MID(TRIM(MID(SUBSTITUTE(F237,";",REPT(" ",99)),1,99)),FIND(":",TRIM(MID(SUBSTITUTE(F237,";",REPT(" ",99)),1,99)))+1,99)),IF(TRIM(MID(SUBSTITUTE(F237,";",REPT(" ",99)),100,99))="","",IFERROR(VLOOKUP(--LEFT(TRIM(MID(SUBSTITUTE(F237,";",REPT(" ",99)),100,99)),FIND(":",TRIM(MID(SUBSTITUTE(F237,";",REPT(" ",99)),100,99)))-1),_Lookup!$A:$B,2,FALSE),"?")&amp;"×"&amp;MID(TRIM(MID(SUBSTITUTE(F237,";",REPT(" ",99)),100,99)),FIND(":",TRIM(MID(SUBSTITUTE(F237,";",REPT(" ",99)),100,99)))+1,99)),IF(TRIM(MID(SUBSTITUTE(F237,";",REPT(" ",99)),199,99))="","",IFERROR(VLOOKUP(--LEFT(TRIM(MID(SUBSTITUTE(F237,";",REPT(" ",99)),199,99)),FIND(":",TRIM(MID(SUBSTITUTE(F237,";",REPT(" ",99)),199,99)))-1),_Lookup!$A:$B,2,FALSE),"?")&amp;"×"&amp;MID(TRIM(MID(SUBSTITUTE(F237,";",REPT(" ",99)),199,99)),FIND(":",TRIM(MID(SUBSTITUTE(F237,";",REPT(" ",99)),199,99)))+1,99)),IF(TRIM(MID(SUBSTITUTE(F237,";",REPT(" ",99)),298,99))="","",IFERROR(VLOOKUP(--LEFT(TRIM(MID(SUBSTITUTE(F237,";",REPT(" ",99)),298,99)),FIND(":",TRIM(MID(SUBSTITUTE(F237,";",REPT(" ",99)),298,99)))-1),_Lookup!$A:$B,2,FALSE),"?")&amp;"×"&amp;MID(TRIM(MID(SUBSTITUTE(F237,";",REPT(" ",99)),298,99)),FIND(":",TRIM(MID(SUBSTITUTE(F237,";",REPT(" ",99)),298,99)))+1,99)),IF(TRIM(MID(SUBSTITUTE(F237,";",REPT(" ",99)),397,99))="","",IFERROR(VLOOKUP(--LEFT(TRIM(MID(SUBSTITUTE(F237,";",REPT(" ",99)),397,99)),FIND(":",TRIM(MID(SUBSTITUTE(F237,";",REPT(" ",99)),397,99)))-1),_Lookup!$A:$B,2,FALSE),"?")&amp;"×"&amp;MID(TRIM(MID(SUBSTITUTE(F237,";",REPT(" ",99)),397,99)),FIND(":",TRIM(MID(SUBSTITUTE(F237,";",REPT(" ",99)),397,99)))+1,99))))</f>
        <v/>
      </c>
    </row>
    <row r="238">
      <c r="C238" s="11">
        <f>IFERROR(VLOOKUP(B238,StageData!$A:$B,2,FALSE),"")</f>
        <v/>
      </c>
      <c r="G238" s="11">
        <f>IF(F238="","",TEXTJOIN("; ",TRUE,IF(TRIM(MID(SUBSTITUTE(F238,";",REPT(" ",99)),1,99))="","",IFERROR(VLOOKUP(--LEFT(TRIM(MID(SUBSTITUTE(F238,";",REPT(" ",99)),1,99)),FIND(":",TRIM(MID(SUBSTITUTE(F238,";",REPT(" ",99)),1,99)))-1),_Lookup!$A:$B,2,FALSE),"?")&amp;"×"&amp;MID(TRIM(MID(SUBSTITUTE(F238,";",REPT(" ",99)),1,99)),FIND(":",TRIM(MID(SUBSTITUTE(F238,";",REPT(" ",99)),1,99)))+1,99)),IF(TRIM(MID(SUBSTITUTE(F238,";",REPT(" ",99)),100,99))="","",IFERROR(VLOOKUP(--LEFT(TRIM(MID(SUBSTITUTE(F238,";",REPT(" ",99)),100,99)),FIND(":",TRIM(MID(SUBSTITUTE(F238,";",REPT(" ",99)),100,99)))-1),_Lookup!$A:$B,2,FALSE),"?")&amp;"×"&amp;MID(TRIM(MID(SUBSTITUTE(F238,";",REPT(" ",99)),100,99)),FIND(":",TRIM(MID(SUBSTITUTE(F238,";",REPT(" ",99)),100,99)))+1,99)),IF(TRIM(MID(SUBSTITUTE(F238,";",REPT(" ",99)),199,99))="","",IFERROR(VLOOKUP(--LEFT(TRIM(MID(SUBSTITUTE(F238,";",REPT(" ",99)),199,99)),FIND(":",TRIM(MID(SUBSTITUTE(F238,";",REPT(" ",99)),199,99)))-1),_Lookup!$A:$B,2,FALSE),"?")&amp;"×"&amp;MID(TRIM(MID(SUBSTITUTE(F238,";",REPT(" ",99)),199,99)),FIND(":",TRIM(MID(SUBSTITUTE(F238,";",REPT(" ",99)),199,99)))+1,99)),IF(TRIM(MID(SUBSTITUTE(F238,";",REPT(" ",99)),298,99))="","",IFERROR(VLOOKUP(--LEFT(TRIM(MID(SUBSTITUTE(F238,";",REPT(" ",99)),298,99)),FIND(":",TRIM(MID(SUBSTITUTE(F238,";",REPT(" ",99)),298,99)))-1),_Lookup!$A:$B,2,FALSE),"?")&amp;"×"&amp;MID(TRIM(MID(SUBSTITUTE(F238,";",REPT(" ",99)),298,99)),FIND(":",TRIM(MID(SUBSTITUTE(F238,";",REPT(" ",99)),298,99)))+1,99)),IF(TRIM(MID(SUBSTITUTE(F238,";",REPT(" ",99)),397,99))="","",IFERROR(VLOOKUP(--LEFT(TRIM(MID(SUBSTITUTE(F238,";",REPT(" ",99)),397,99)),FIND(":",TRIM(MID(SUBSTITUTE(F238,";",REPT(" ",99)),397,99)))-1),_Lookup!$A:$B,2,FALSE),"?")&amp;"×"&amp;MID(TRIM(MID(SUBSTITUTE(F238,";",REPT(" ",99)),397,99)),FIND(":",TRIM(MID(SUBSTITUTE(F238,";",REPT(" ",99)),397,99)))+1,99))))</f>
        <v/>
      </c>
    </row>
    <row r="239">
      <c r="C239" s="11">
        <f>IFERROR(VLOOKUP(B239,StageData!$A:$B,2,FALSE),"")</f>
        <v/>
      </c>
      <c r="G239" s="11">
        <f>IF(F239="","",TEXTJOIN("; ",TRUE,IF(TRIM(MID(SUBSTITUTE(F239,";",REPT(" ",99)),1,99))="","",IFERROR(VLOOKUP(--LEFT(TRIM(MID(SUBSTITUTE(F239,";",REPT(" ",99)),1,99)),FIND(":",TRIM(MID(SUBSTITUTE(F239,";",REPT(" ",99)),1,99)))-1),_Lookup!$A:$B,2,FALSE),"?")&amp;"×"&amp;MID(TRIM(MID(SUBSTITUTE(F239,";",REPT(" ",99)),1,99)),FIND(":",TRIM(MID(SUBSTITUTE(F239,";",REPT(" ",99)),1,99)))+1,99)),IF(TRIM(MID(SUBSTITUTE(F239,";",REPT(" ",99)),100,99))="","",IFERROR(VLOOKUP(--LEFT(TRIM(MID(SUBSTITUTE(F239,";",REPT(" ",99)),100,99)),FIND(":",TRIM(MID(SUBSTITUTE(F239,";",REPT(" ",99)),100,99)))-1),_Lookup!$A:$B,2,FALSE),"?")&amp;"×"&amp;MID(TRIM(MID(SUBSTITUTE(F239,";",REPT(" ",99)),100,99)),FIND(":",TRIM(MID(SUBSTITUTE(F239,";",REPT(" ",99)),100,99)))+1,99)),IF(TRIM(MID(SUBSTITUTE(F239,";",REPT(" ",99)),199,99))="","",IFERROR(VLOOKUP(--LEFT(TRIM(MID(SUBSTITUTE(F239,";",REPT(" ",99)),199,99)),FIND(":",TRIM(MID(SUBSTITUTE(F239,";",REPT(" ",99)),199,99)))-1),_Lookup!$A:$B,2,FALSE),"?")&amp;"×"&amp;MID(TRIM(MID(SUBSTITUTE(F239,";",REPT(" ",99)),199,99)),FIND(":",TRIM(MID(SUBSTITUTE(F239,";",REPT(" ",99)),199,99)))+1,99)),IF(TRIM(MID(SUBSTITUTE(F239,";",REPT(" ",99)),298,99))="","",IFERROR(VLOOKUP(--LEFT(TRIM(MID(SUBSTITUTE(F239,";",REPT(" ",99)),298,99)),FIND(":",TRIM(MID(SUBSTITUTE(F239,";",REPT(" ",99)),298,99)))-1),_Lookup!$A:$B,2,FALSE),"?")&amp;"×"&amp;MID(TRIM(MID(SUBSTITUTE(F239,";",REPT(" ",99)),298,99)),FIND(":",TRIM(MID(SUBSTITUTE(F239,";",REPT(" ",99)),298,99)))+1,99)),IF(TRIM(MID(SUBSTITUTE(F239,";",REPT(" ",99)),397,99))="","",IFERROR(VLOOKUP(--LEFT(TRIM(MID(SUBSTITUTE(F239,";",REPT(" ",99)),397,99)),FIND(":",TRIM(MID(SUBSTITUTE(F239,";",REPT(" ",99)),397,99)))-1),_Lookup!$A:$B,2,FALSE),"?")&amp;"×"&amp;MID(TRIM(MID(SUBSTITUTE(F239,";",REPT(" ",99)),397,99)),FIND(":",TRIM(MID(SUBSTITUTE(F239,";",REPT(" ",99)),397,99)))+1,99))))</f>
        <v/>
      </c>
    </row>
    <row r="240">
      <c r="C240" s="11">
        <f>IFERROR(VLOOKUP(B240,StageData!$A:$B,2,FALSE),"")</f>
        <v/>
      </c>
      <c r="G240" s="11">
        <f>IF(F240="","",TEXTJOIN("; ",TRUE,IF(TRIM(MID(SUBSTITUTE(F240,";",REPT(" ",99)),1,99))="","",IFERROR(VLOOKUP(--LEFT(TRIM(MID(SUBSTITUTE(F240,";",REPT(" ",99)),1,99)),FIND(":",TRIM(MID(SUBSTITUTE(F240,";",REPT(" ",99)),1,99)))-1),_Lookup!$A:$B,2,FALSE),"?")&amp;"×"&amp;MID(TRIM(MID(SUBSTITUTE(F240,";",REPT(" ",99)),1,99)),FIND(":",TRIM(MID(SUBSTITUTE(F240,";",REPT(" ",99)),1,99)))+1,99)),IF(TRIM(MID(SUBSTITUTE(F240,";",REPT(" ",99)),100,99))="","",IFERROR(VLOOKUP(--LEFT(TRIM(MID(SUBSTITUTE(F240,";",REPT(" ",99)),100,99)),FIND(":",TRIM(MID(SUBSTITUTE(F240,";",REPT(" ",99)),100,99)))-1),_Lookup!$A:$B,2,FALSE),"?")&amp;"×"&amp;MID(TRIM(MID(SUBSTITUTE(F240,";",REPT(" ",99)),100,99)),FIND(":",TRIM(MID(SUBSTITUTE(F240,";",REPT(" ",99)),100,99)))+1,99)),IF(TRIM(MID(SUBSTITUTE(F240,";",REPT(" ",99)),199,99))="","",IFERROR(VLOOKUP(--LEFT(TRIM(MID(SUBSTITUTE(F240,";",REPT(" ",99)),199,99)),FIND(":",TRIM(MID(SUBSTITUTE(F240,";",REPT(" ",99)),199,99)))-1),_Lookup!$A:$B,2,FALSE),"?")&amp;"×"&amp;MID(TRIM(MID(SUBSTITUTE(F240,";",REPT(" ",99)),199,99)),FIND(":",TRIM(MID(SUBSTITUTE(F240,";",REPT(" ",99)),199,99)))+1,99)),IF(TRIM(MID(SUBSTITUTE(F240,";",REPT(" ",99)),298,99))="","",IFERROR(VLOOKUP(--LEFT(TRIM(MID(SUBSTITUTE(F240,";",REPT(" ",99)),298,99)),FIND(":",TRIM(MID(SUBSTITUTE(F240,";",REPT(" ",99)),298,99)))-1),_Lookup!$A:$B,2,FALSE),"?")&amp;"×"&amp;MID(TRIM(MID(SUBSTITUTE(F240,";",REPT(" ",99)),298,99)),FIND(":",TRIM(MID(SUBSTITUTE(F240,";",REPT(" ",99)),298,99)))+1,99)),IF(TRIM(MID(SUBSTITUTE(F240,";",REPT(" ",99)),397,99))="","",IFERROR(VLOOKUP(--LEFT(TRIM(MID(SUBSTITUTE(F240,";",REPT(" ",99)),397,99)),FIND(":",TRIM(MID(SUBSTITUTE(F240,";",REPT(" ",99)),397,99)))-1),_Lookup!$A:$B,2,FALSE),"?")&amp;"×"&amp;MID(TRIM(MID(SUBSTITUTE(F240,";",REPT(" ",99)),397,99)),FIND(":",TRIM(MID(SUBSTITUTE(F240,";",REPT(" ",99)),397,99)))+1,99))))</f>
        <v/>
      </c>
    </row>
    <row r="241">
      <c r="C241" s="11">
        <f>IFERROR(VLOOKUP(B241,StageData!$A:$B,2,FALSE),"")</f>
        <v/>
      </c>
      <c r="G241" s="11">
        <f>IF(F241="","",TEXTJOIN("; ",TRUE,IF(TRIM(MID(SUBSTITUTE(F241,";",REPT(" ",99)),1,99))="","",IFERROR(VLOOKUP(--LEFT(TRIM(MID(SUBSTITUTE(F241,";",REPT(" ",99)),1,99)),FIND(":",TRIM(MID(SUBSTITUTE(F241,";",REPT(" ",99)),1,99)))-1),_Lookup!$A:$B,2,FALSE),"?")&amp;"×"&amp;MID(TRIM(MID(SUBSTITUTE(F241,";",REPT(" ",99)),1,99)),FIND(":",TRIM(MID(SUBSTITUTE(F241,";",REPT(" ",99)),1,99)))+1,99)),IF(TRIM(MID(SUBSTITUTE(F241,";",REPT(" ",99)),100,99))="","",IFERROR(VLOOKUP(--LEFT(TRIM(MID(SUBSTITUTE(F241,";",REPT(" ",99)),100,99)),FIND(":",TRIM(MID(SUBSTITUTE(F241,";",REPT(" ",99)),100,99)))-1),_Lookup!$A:$B,2,FALSE),"?")&amp;"×"&amp;MID(TRIM(MID(SUBSTITUTE(F241,";",REPT(" ",99)),100,99)),FIND(":",TRIM(MID(SUBSTITUTE(F241,";",REPT(" ",99)),100,99)))+1,99)),IF(TRIM(MID(SUBSTITUTE(F241,";",REPT(" ",99)),199,99))="","",IFERROR(VLOOKUP(--LEFT(TRIM(MID(SUBSTITUTE(F241,";",REPT(" ",99)),199,99)),FIND(":",TRIM(MID(SUBSTITUTE(F241,";",REPT(" ",99)),199,99)))-1),_Lookup!$A:$B,2,FALSE),"?")&amp;"×"&amp;MID(TRIM(MID(SUBSTITUTE(F241,";",REPT(" ",99)),199,99)),FIND(":",TRIM(MID(SUBSTITUTE(F241,";",REPT(" ",99)),199,99)))+1,99)),IF(TRIM(MID(SUBSTITUTE(F241,";",REPT(" ",99)),298,99))="","",IFERROR(VLOOKUP(--LEFT(TRIM(MID(SUBSTITUTE(F241,";",REPT(" ",99)),298,99)),FIND(":",TRIM(MID(SUBSTITUTE(F241,";",REPT(" ",99)),298,99)))-1),_Lookup!$A:$B,2,FALSE),"?")&amp;"×"&amp;MID(TRIM(MID(SUBSTITUTE(F241,";",REPT(" ",99)),298,99)),FIND(":",TRIM(MID(SUBSTITUTE(F241,";",REPT(" ",99)),298,99)))+1,99)),IF(TRIM(MID(SUBSTITUTE(F241,";",REPT(" ",99)),397,99))="","",IFERROR(VLOOKUP(--LEFT(TRIM(MID(SUBSTITUTE(F241,";",REPT(" ",99)),397,99)),FIND(":",TRIM(MID(SUBSTITUTE(F241,";",REPT(" ",99)),397,99)))-1),_Lookup!$A:$B,2,FALSE),"?")&amp;"×"&amp;MID(TRIM(MID(SUBSTITUTE(F241,";",REPT(" ",99)),397,99)),FIND(":",TRIM(MID(SUBSTITUTE(F241,";",REPT(" ",99)),397,99)))+1,99))))</f>
        <v/>
      </c>
    </row>
    <row r="242">
      <c r="C242" s="11">
        <f>IFERROR(VLOOKUP(B242,StageData!$A:$B,2,FALSE),"")</f>
        <v/>
      </c>
      <c r="G242" s="11">
        <f>IF(F242="","",TEXTJOIN("; ",TRUE,IF(TRIM(MID(SUBSTITUTE(F242,";",REPT(" ",99)),1,99))="","",IFERROR(VLOOKUP(--LEFT(TRIM(MID(SUBSTITUTE(F242,";",REPT(" ",99)),1,99)),FIND(":",TRIM(MID(SUBSTITUTE(F242,";",REPT(" ",99)),1,99)))-1),_Lookup!$A:$B,2,FALSE),"?")&amp;"×"&amp;MID(TRIM(MID(SUBSTITUTE(F242,";",REPT(" ",99)),1,99)),FIND(":",TRIM(MID(SUBSTITUTE(F242,";",REPT(" ",99)),1,99)))+1,99)),IF(TRIM(MID(SUBSTITUTE(F242,";",REPT(" ",99)),100,99))="","",IFERROR(VLOOKUP(--LEFT(TRIM(MID(SUBSTITUTE(F242,";",REPT(" ",99)),100,99)),FIND(":",TRIM(MID(SUBSTITUTE(F242,";",REPT(" ",99)),100,99)))-1),_Lookup!$A:$B,2,FALSE),"?")&amp;"×"&amp;MID(TRIM(MID(SUBSTITUTE(F242,";",REPT(" ",99)),100,99)),FIND(":",TRIM(MID(SUBSTITUTE(F242,";",REPT(" ",99)),100,99)))+1,99)),IF(TRIM(MID(SUBSTITUTE(F242,";",REPT(" ",99)),199,99))="","",IFERROR(VLOOKUP(--LEFT(TRIM(MID(SUBSTITUTE(F242,";",REPT(" ",99)),199,99)),FIND(":",TRIM(MID(SUBSTITUTE(F242,";",REPT(" ",99)),199,99)))-1),_Lookup!$A:$B,2,FALSE),"?")&amp;"×"&amp;MID(TRIM(MID(SUBSTITUTE(F242,";",REPT(" ",99)),199,99)),FIND(":",TRIM(MID(SUBSTITUTE(F242,";",REPT(" ",99)),199,99)))+1,99)),IF(TRIM(MID(SUBSTITUTE(F242,";",REPT(" ",99)),298,99))="","",IFERROR(VLOOKUP(--LEFT(TRIM(MID(SUBSTITUTE(F242,";",REPT(" ",99)),298,99)),FIND(":",TRIM(MID(SUBSTITUTE(F242,";",REPT(" ",99)),298,99)))-1),_Lookup!$A:$B,2,FALSE),"?")&amp;"×"&amp;MID(TRIM(MID(SUBSTITUTE(F242,";",REPT(" ",99)),298,99)),FIND(":",TRIM(MID(SUBSTITUTE(F242,";",REPT(" ",99)),298,99)))+1,99)),IF(TRIM(MID(SUBSTITUTE(F242,";",REPT(" ",99)),397,99))="","",IFERROR(VLOOKUP(--LEFT(TRIM(MID(SUBSTITUTE(F242,";",REPT(" ",99)),397,99)),FIND(":",TRIM(MID(SUBSTITUTE(F242,";",REPT(" ",99)),397,99)))-1),_Lookup!$A:$B,2,FALSE),"?")&amp;"×"&amp;MID(TRIM(MID(SUBSTITUTE(F242,";",REPT(" ",99)),397,99)),FIND(":",TRIM(MID(SUBSTITUTE(F242,";",REPT(" ",99)),397,99)))+1,99))))</f>
        <v/>
      </c>
    </row>
    <row r="243">
      <c r="C243" s="11">
        <f>IFERROR(VLOOKUP(B243,StageData!$A:$B,2,FALSE),"")</f>
        <v/>
      </c>
      <c r="G243" s="11">
        <f>IF(F243="","",TEXTJOIN("; ",TRUE,IF(TRIM(MID(SUBSTITUTE(F243,";",REPT(" ",99)),1,99))="","",IFERROR(VLOOKUP(--LEFT(TRIM(MID(SUBSTITUTE(F243,";",REPT(" ",99)),1,99)),FIND(":",TRIM(MID(SUBSTITUTE(F243,";",REPT(" ",99)),1,99)))-1),_Lookup!$A:$B,2,FALSE),"?")&amp;"×"&amp;MID(TRIM(MID(SUBSTITUTE(F243,";",REPT(" ",99)),1,99)),FIND(":",TRIM(MID(SUBSTITUTE(F243,";",REPT(" ",99)),1,99)))+1,99)),IF(TRIM(MID(SUBSTITUTE(F243,";",REPT(" ",99)),100,99))="","",IFERROR(VLOOKUP(--LEFT(TRIM(MID(SUBSTITUTE(F243,";",REPT(" ",99)),100,99)),FIND(":",TRIM(MID(SUBSTITUTE(F243,";",REPT(" ",99)),100,99)))-1),_Lookup!$A:$B,2,FALSE),"?")&amp;"×"&amp;MID(TRIM(MID(SUBSTITUTE(F243,";",REPT(" ",99)),100,99)),FIND(":",TRIM(MID(SUBSTITUTE(F243,";",REPT(" ",99)),100,99)))+1,99)),IF(TRIM(MID(SUBSTITUTE(F243,";",REPT(" ",99)),199,99))="","",IFERROR(VLOOKUP(--LEFT(TRIM(MID(SUBSTITUTE(F243,";",REPT(" ",99)),199,99)),FIND(":",TRIM(MID(SUBSTITUTE(F243,";",REPT(" ",99)),199,99)))-1),_Lookup!$A:$B,2,FALSE),"?")&amp;"×"&amp;MID(TRIM(MID(SUBSTITUTE(F243,";",REPT(" ",99)),199,99)),FIND(":",TRIM(MID(SUBSTITUTE(F243,";",REPT(" ",99)),199,99)))+1,99)),IF(TRIM(MID(SUBSTITUTE(F243,";",REPT(" ",99)),298,99))="","",IFERROR(VLOOKUP(--LEFT(TRIM(MID(SUBSTITUTE(F243,";",REPT(" ",99)),298,99)),FIND(":",TRIM(MID(SUBSTITUTE(F243,";",REPT(" ",99)),298,99)))-1),_Lookup!$A:$B,2,FALSE),"?")&amp;"×"&amp;MID(TRIM(MID(SUBSTITUTE(F243,";",REPT(" ",99)),298,99)),FIND(":",TRIM(MID(SUBSTITUTE(F243,";",REPT(" ",99)),298,99)))+1,99)),IF(TRIM(MID(SUBSTITUTE(F243,";",REPT(" ",99)),397,99))="","",IFERROR(VLOOKUP(--LEFT(TRIM(MID(SUBSTITUTE(F243,";",REPT(" ",99)),397,99)),FIND(":",TRIM(MID(SUBSTITUTE(F243,";",REPT(" ",99)),397,99)))-1),_Lookup!$A:$B,2,FALSE),"?")&amp;"×"&amp;MID(TRIM(MID(SUBSTITUTE(F243,";",REPT(" ",99)),397,99)),FIND(":",TRIM(MID(SUBSTITUTE(F243,";",REPT(" ",99)),397,99)))+1,99))))</f>
        <v/>
      </c>
    </row>
    <row r="244">
      <c r="C244" s="11">
        <f>IFERROR(VLOOKUP(B244,StageData!$A:$B,2,FALSE),"")</f>
        <v/>
      </c>
      <c r="G244" s="11">
        <f>IF(F244="","",TEXTJOIN("; ",TRUE,IF(TRIM(MID(SUBSTITUTE(F244,";",REPT(" ",99)),1,99))="","",IFERROR(VLOOKUP(--LEFT(TRIM(MID(SUBSTITUTE(F244,";",REPT(" ",99)),1,99)),FIND(":",TRIM(MID(SUBSTITUTE(F244,";",REPT(" ",99)),1,99)))-1),_Lookup!$A:$B,2,FALSE),"?")&amp;"×"&amp;MID(TRIM(MID(SUBSTITUTE(F244,";",REPT(" ",99)),1,99)),FIND(":",TRIM(MID(SUBSTITUTE(F244,";",REPT(" ",99)),1,99)))+1,99)),IF(TRIM(MID(SUBSTITUTE(F244,";",REPT(" ",99)),100,99))="","",IFERROR(VLOOKUP(--LEFT(TRIM(MID(SUBSTITUTE(F244,";",REPT(" ",99)),100,99)),FIND(":",TRIM(MID(SUBSTITUTE(F244,";",REPT(" ",99)),100,99)))-1),_Lookup!$A:$B,2,FALSE),"?")&amp;"×"&amp;MID(TRIM(MID(SUBSTITUTE(F244,";",REPT(" ",99)),100,99)),FIND(":",TRIM(MID(SUBSTITUTE(F244,";",REPT(" ",99)),100,99)))+1,99)),IF(TRIM(MID(SUBSTITUTE(F244,";",REPT(" ",99)),199,99))="","",IFERROR(VLOOKUP(--LEFT(TRIM(MID(SUBSTITUTE(F244,";",REPT(" ",99)),199,99)),FIND(":",TRIM(MID(SUBSTITUTE(F244,";",REPT(" ",99)),199,99)))-1),_Lookup!$A:$B,2,FALSE),"?")&amp;"×"&amp;MID(TRIM(MID(SUBSTITUTE(F244,";",REPT(" ",99)),199,99)),FIND(":",TRIM(MID(SUBSTITUTE(F244,";",REPT(" ",99)),199,99)))+1,99)),IF(TRIM(MID(SUBSTITUTE(F244,";",REPT(" ",99)),298,99))="","",IFERROR(VLOOKUP(--LEFT(TRIM(MID(SUBSTITUTE(F244,";",REPT(" ",99)),298,99)),FIND(":",TRIM(MID(SUBSTITUTE(F244,";",REPT(" ",99)),298,99)))-1),_Lookup!$A:$B,2,FALSE),"?")&amp;"×"&amp;MID(TRIM(MID(SUBSTITUTE(F244,";",REPT(" ",99)),298,99)),FIND(":",TRIM(MID(SUBSTITUTE(F244,";",REPT(" ",99)),298,99)))+1,99)),IF(TRIM(MID(SUBSTITUTE(F244,";",REPT(" ",99)),397,99))="","",IFERROR(VLOOKUP(--LEFT(TRIM(MID(SUBSTITUTE(F244,";",REPT(" ",99)),397,99)),FIND(":",TRIM(MID(SUBSTITUTE(F244,";",REPT(" ",99)),397,99)))-1),_Lookup!$A:$B,2,FALSE),"?")&amp;"×"&amp;MID(TRIM(MID(SUBSTITUTE(F244,";",REPT(" ",99)),397,99)),FIND(":",TRIM(MID(SUBSTITUTE(F244,";",REPT(" ",99)),397,99)))+1,99))))</f>
        <v/>
      </c>
    </row>
    <row r="245">
      <c r="C245" s="11">
        <f>IFERROR(VLOOKUP(B245,StageData!$A:$B,2,FALSE),"")</f>
        <v/>
      </c>
      <c r="G245" s="11">
        <f>IF(F245="","",TEXTJOIN("; ",TRUE,IF(TRIM(MID(SUBSTITUTE(F245,";",REPT(" ",99)),1,99))="","",IFERROR(VLOOKUP(--LEFT(TRIM(MID(SUBSTITUTE(F245,";",REPT(" ",99)),1,99)),FIND(":",TRIM(MID(SUBSTITUTE(F245,";",REPT(" ",99)),1,99)))-1),_Lookup!$A:$B,2,FALSE),"?")&amp;"×"&amp;MID(TRIM(MID(SUBSTITUTE(F245,";",REPT(" ",99)),1,99)),FIND(":",TRIM(MID(SUBSTITUTE(F245,";",REPT(" ",99)),1,99)))+1,99)),IF(TRIM(MID(SUBSTITUTE(F245,";",REPT(" ",99)),100,99))="","",IFERROR(VLOOKUP(--LEFT(TRIM(MID(SUBSTITUTE(F245,";",REPT(" ",99)),100,99)),FIND(":",TRIM(MID(SUBSTITUTE(F245,";",REPT(" ",99)),100,99)))-1),_Lookup!$A:$B,2,FALSE),"?")&amp;"×"&amp;MID(TRIM(MID(SUBSTITUTE(F245,";",REPT(" ",99)),100,99)),FIND(":",TRIM(MID(SUBSTITUTE(F245,";",REPT(" ",99)),100,99)))+1,99)),IF(TRIM(MID(SUBSTITUTE(F245,";",REPT(" ",99)),199,99))="","",IFERROR(VLOOKUP(--LEFT(TRIM(MID(SUBSTITUTE(F245,";",REPT(" ",99)),199,99)),FIND(":",TRIM(MID(SUBSTITUTE(F245,";",REPT(" ",99)),199,99)))-1),_Lookup!$A:$B,2,FALSE),"?")&amp;"×"&amp;MID(TRIM(MID(SUBSTITUTE(F245,";",REPT(" ",99)),199,99)),FIND(":",TRIM(MID(SUBSTITUTE(F245,";",REPT(" ",99)),199,99)))+1,99)),IF(TRIM(MID(SUBSTITUTE(F245,";",REPT(" ",99)),298,99))="","",IFERROR(VLOOKUP(--LEFT(TRIM(MID(SUBSTITUTE(F245,";",REPT(" ",99)),298,99)),FIND(":",TRIM(MID(SUBSTITUTE(F245,";",REPT(" ",99)),298,99)))-1),_Lookup!$A:$B,2,FALSE),"?")&amp;"×"&amp;MID(TRIM(MID(SUBSTITUTE(F245,";",REPT(" ",99)),298,99)),FIND(":",TRIM(MID(SUBSTITUTE(F245,";",REPT(" ",99)),298,99)))+1,99)),IF(TRIM(MID(SUBSTITUTE(F245,";",REPT(" ",99)),397,99))="","",IFERROR(VLOOKUP(--LEFT(TRIM(MID(SUBSTITUTE(F245,";",REPT(" ",99)),397,99)),FIND(":",TRIM(MID(SUBSTITUTE(F245,";",REPT(" ",99)),397,99)))-1),_Lookup!$A:$B,2,FALSE),"?")&amp;"×"&amp;MID(TRIM(MID(SUBSTITUTE(F245,";",REPT(" ",99)),397,99)),FIND(":",TRIM(MID(SUBSTITUTE(F245,";",REPT(" ",99)),397,99)))+1,99))))</f>
        <v/>
      </c>
    </row>
    <row r="246">
      <c r="C246" s="11">
        <f>IFERROR(VLOOKUP(B246,StageData!$A:$B,2,FALSE),"")</f>
        <v/>
      </c>
      <c r="G246" s="11">
        <f>IF(F246="","",TEXTJOIN("; ",TRUE,IF(TRIM(MID(SUBSTITUTE(F246,";",REPT(" ",99)),1,99))="","",IFERROR(VLOOKUP(--LEFT(TRIM(MID(SUBSTITUTE(F246,";",REPT(" ",99)),1,99)),FIND(":",TRIM(MID(SUBSTITUTE(F246,";",REPT(" ",99)),1,99)))-1),_Lookup!$A:$B,2,FALSE),"?")&amp;"×"&amp;MID(TRIM(MID(SUBSTITUTE(F246,";",REPT(" ",99)),1,99)),FIND(":",TRIM(MID(SUBSTITUTE(F246,";",REPT(" ",99)),1,99)))+1,99)),IF(TRIM(MID(SUBSTITUTE(F246,";",REPT(" ",99)),100,99))="","",IFERROR(VLOOKUP(--LEFT(TRIM(MID(SUBSTITUTE(F246,";",REPT(" ",99)),100,99)),FIND(":",TRIM(MID(SUBSTITUTE(F246,";",REPT(" ",99)),100,99)))-1),_Lookup!$A:$B,2,FALSE),"?")&amp;"×"&amp;MID(TRIM(MID(SUBSTITUTE(F246,";",REPT(" ",99)),100,99)),FIND(":",TRIM(MID(SUBSTITUTE(F246,";",REPT(" ",99)),100,99)))+1,99)),IF(TRIM(MID(SUBSTITUTE(F246,";",REPT(" ",99)),199,99))="","",IFERROR(VLOOKUP(--LEFT(TRIM(MID(SUBSTITUTE(F246,";",REPT(" ",99)),199,99)),FIND(":",TRIM(MID(SUBSTITUTE(F246,";",REPT(" ",99)),199,99)))-1),_Lookup!$A:$B,2,FALSE),"?")&amp;"×"&amp;MID(TRIM(MID(SUBSTITUTE(F246,";",REPT(" ",99)),199,99)),FIND(":",TRIM(MID(SUBSTITUTE(F246,";",REPT(" ",99)),199,99)))+1,99)),IF(TRIM(MID(SUBSTITUTE(F246,";",REPT(" ",99)),298,99))="","",IFERROR(VLOOKUP(--LEFT(TRIM(MID(SUBSTITUTE(F246,";",REPT(" ",99)),298,99)),FIND(":",TRIM(MID(SUBSTITUTE(F246,";",REPT(" ",99)),298,99)))-1),_Lookup!$A:$B,2,FALSE),"?")&amp;"×"&amp;MID(TRIM(MID(SUBSTITUTE(F246,";",REPT(" ",99)),298,99)),FIND(":",TRIM(MID(SUBSTITUTE(F246,";",REPT(" ",99)),298,99)))+1,99)),IF(TRIM(MID(SUBSTITUTE(F246,";",REPT(" ",99)),397,99))="","",IFERROR(VLOOKUP(--LEFT(TRIM(MID(SUBSTITUTE(F246,";",REPT(" ",99)),397,99)),FIND(":",TRIM(MID(SUBSTITUTE(F246,";",REPT(" ",99)),397,99)))-1),_Lookup!$A:$B,2,FALSE),"?")&amp;"×"&amp;MID(TRIM(MID(SUBSTITUTE(F246,";",REPT(" ",99)),397,99)),FIND(":",TRIM(MID(SUBSTITUTE(F246,";",REPT(" ",99)),397,99)))+1,99))))</f>
        <v/>
      </c>
    </row>
    <row r="247">
      <c r="C247" s="11">
        <f>IFERROR(VLOOKUP(B247,StageData!$A:$B,2,FALSE),"")</f>
        <v/>
      </c>
      <c r="G247" s="11">
        <f>IF(F247="","",TEXTJOIN("; ",TRUE,IF(TRIM(MID(SUBSTITUTE(F247,";",REPT(" ",99)),1,99))="","",IFERROR(VLOOKUP(--LEFT(TRIM(MID(SUBSTITUTE(F247,";",REPT(" ",99)),1,99)),FIND(":",TRIM(MID(SUBSTITUTE(F247,";",REPT(" ",99)),1,99)))-1),_Lookup!$A:$B,2,FALSE),"?")&amp;"×"&amp;MID(TRIM(MID(SUBSTITUTE(F247,";",REPT(" ",99)),1,99)),FIND(":",TRIM(MID(SUBSTITUTE(F247,";",REPT(" ",99)),1,99)))+1,99)),IF(TRIM(MID(SUBSTITUTE(F247,";",REPT(" ",99)),100,99))="","",IFERROR(VLOOKUP(--LEFT(TRIM(MID(SUBSTITUTE(F247,";",REPT(" ",99)),100,99)),FIND(":",TRIM(MID(SUBSTITUTE(F247,";",REPT(" ",99)),100,99)))-1),_Lookup!$A:$B,2,FALSE),"?")&amp;"×"&amp;MID(TRIM(MID(SUBSTITUTE(F247,";",REPT(" ",99)),100,99)),FIND(":",TRIM(MID(SUBSTITUTE(F247,";",REPT(" ",99)),100,99)))+1,99)),IF(TRIM(MID(SUBSTITUTE(F247,";",REPT(" ",99)),199,99))="","",IFERROR(VLOOKUP(--LEFT(TRIM(MID(SUBSTITUTE(F247,";",REPT(" ",99)),199,99)),FIND(":",TRIM(MID(SUBSTITUTE(F247,";",REPT(" ",99)),199,99)))-1),_Lookup!$A:$B,2,FALSE),"?")&amp;"×"&amp;MID(TRIM(MID(SUBSTITUTE(F247,";",REPT(" ",99)),199,99)),FIND(":",TRIM(MID(SUBSTITUTE(F247,";",REPT(" ",99)),199,99)))+1,99)),IF(TRIM(MID(SUBSTITUTE(F247,";",REPT(" ",99)),298,99))="","",IFERROR(VLOOKUP(--LEFT(TRIM(MID(SUBSTITUTE(F247,";",REPT(" ",99)),298,99)),FIND(":",TRIM(MID(SUBSTITUTE(F247,";",REPT(" ",99)),298,99)))-1),_Lookup!$A:$B,2,FALSE),"?")&amp;"×"&amp;MID(TRIM(MID(SUBSTITUTE(F247,";",REPT(" ",99)),298,99)),FIND(":",TRIM(MID(SUBSTITUTE(F247,";",REPT(" ",99)),298,99)))+1,99)),IF(TRIM(MID(SUBSTITUTE(F247,";",REPT(" ",99)),397,99))="","",IFERROR(VLOOKUP(--LEFT(TRIM(MID(SUBSTITUTE(F247,";",REPT(" ",99)),397,99)),FIND(":",TRIM(MID(SUBSTITUTE(F247,";",REPT(" ",99)),397,99)))-1),_Lookup!$A:$B,2,FALSE),"?")&amp;"×"&amp;MID(TRIM(MID(SUBSTITUTE(F247,";",REPT(" ",99)),397,99)),FIND(":",TRIM(MID(SUBSTITUTE(F247,";",REPT(" ",99)),397,99)))+1,99))))</f>
        <v/>
      </c>
    </row>
    <row r="248">
      <c r="C248" s="11">
        <f>IFERROR(VLOOKUP(B248,StageData!$A:$B,2,FALSE),"")</f>
        <v/>
      </c>
      <c r="G248" s="11">
        <f>IF(F248="","",TEXTJOIN("; ",TRUE,IF(TRIM(MID(SUBSTITUTE(F248,";",REPT(" ",99)),1,99))="","",IFERROR(VLOOKUP(--LEFT(TRIM(MID(SUBSTITUTE(F248,";",REPT(" ",99)),1,99)),FIND(":",TRIM(MID(SUBSTITUTE(F248,";",REPT(" ",99)),1,99)))-1),_Lookup!$A:$B,2,FALSE),"?")&amp;"×"&amp;MID(TRIM(MID(SUBSTITUTE(F248,";",REPT(" ",99)),1,99)),FIND(":",TRIM(MID(SUBSTITUTE(F248,";",REPT(" ",99)),1,99)))+1,99)),IF(TRIM(MID(SUBSTITUTE(F248,";",REPT(" ",99)),100,99))="","",IFERROR(VLOOKUP(--LEFT(TRIM(MID(SUBSTITUTE(F248,";",REPT(" ",99)),100,99)),FIND(":",TRIM(MID(SUBSTITUTE(F248,";",REPT(" ",99)),100,99)))-1),_Lookup!$A:$B,2,FALSE),"?")&amp;"×"&amp;MID(TRIM(MID(SUBSTITUTE(F248,";",REPT(" ",99)),100,99)),FIND(":",TRIM(MID(SUBSTITUTE(F248,";",REPT(" ",99)),100,99)))+1,99)),IF(TRIM(MID(SUBSTITUTE(F248,";",REPT(" ",99)),199,99))="","",IFERROR(VLOOKUP(--LEFT(TRIM(MID(SUBSTITUTE(F248,";",REPT(" ",99)),199,99)),FIND(":",TRIM(MID(SUBSTITUTE(F248,";",REPT(" ",99)),199,99)))-1),_Lookup!$A:$B,2,FALSE),"?")&amp;"×"&amp;MID(TRIM(MID(SUBSTITUTE(F248,";",REPT(" ",99)),199,99)),FIND(":",TRIM(MID(SUBSTITUTE(F248,";",REPT(" ",99)),199,99)))+1,99)),IF(TRIM(MID(SUBSTITUTE(F248,";",REPT(" ",99)),298,99))="","",IFERROR(VLOOKUP(--LEFT(TRIM(MID(SUBSTITUTE(F248,";",REPT(" ",99)),298,99)),FIND(":",TRIM(MID(SUBSTITUTE(F248,";",REPT(" ",99)),298,99)))-1),_Lookup!$A:$B,2,FALSE),"?")&amp;"×"&amp;MID(TRIM(MID(SUBSTITUTE(F248,";",REPT(" ",99)),298,99)),FIND(":",TRIM(MID(SUBSTITUTE(F248,";",REPT(" ",99)),298,99)))+1,99)),IF(TRIM(MID(SUBSTITUTE(F248,";",REPT(" ",99)),397,99))="","",IFERROR(VLOOKUP(--LEFT(TRIM(MID(SUBSTITUTE(F248,";",REPT(" ",99)),397,99)),FIND(":",TRIM(MID(SUBSTITUTE(F248,";",REPT(" ",99)),397,99)))-1),_Lookup!$A:$B,2,FALSE),"?")&amp;"×"&amp;MID(TRIM(MID(SUBSTITUTE(F248,";",REPT(" ",99)),397,99)),FIND(":",TRIM(MID(SUBSTITUTE(F248,";",REPT(" ",99)),397,99)))+1,99))))</f>
        <v/>
      </c>
    </row>
    <row r="249">
      <c r="C249" s="11">
        <f>IFERROR(VLOOKUP(B249,StageData!$A:$B,2,FALSE),"")</f>
        <v/>
      </c>
      <c r="G249" s="11">
        <f>IF(F249="","",TEXTJOIN("; ",TRUE,IF(TRIM(MID(SUBSTITUTE(F249,";",REPT(" ",99)),1,99))="","",IFERROR(VLOOKUP(--LEFT(TRIM(MID(SUBSTITUTE(F249,";",REPT(" ",99)),1,99)),FIND(":",TRIM(MID(SUBSTITUTE(F249,";",REPT(" ",99)),1,99)))-1),_Lookup!$A:$B,2,FALSE),"?")&amp;"×"&amp;MID(TRIM(MID(SUBSTITUTE(F249,";",REPT(" ",99)),1,99)),FIND(":",TRIM(MID(SUBSTITUTE(F249,";",REPT(" ",99)),1,99)))+1,99)),IF(TRIM(MID(SUBSTITUTE(F249,";",REPT(" ",99)),100,99))="","",IFERROR(VLOOKUP(--LEFT(TRIM(MID(SUBSTITUTE(F249,";",REPT(" ",99)),100,99)),FIND(":",TRIM(MID(SUBSTITUTE(F249,";",REPT(" ",99)),100,99)))-1),_Lookup!$A:$B,2,FALSE),"?")&amp;"×"&amp;MID(TRIM(MID(SUBSTITUTE(F249,";",REPT(" ",99)),100,99)),FIND(":",TRIM(MID(SUBSTITUTE(F249,";",REPT(" ",99)),100,99)))+1,99)),IF(TRIM(MID(SUBSTITUTE(F249,";",REPT(" ",99)),199,99))="","",IFERROR(VLOOKUP(--LEFT(TRIM(MID(SUBSTITUTE(F249,";",REPT(" ",99)),199,99)),FIND(":",TRIM(MID(SUBSTITUTE(F249,";",REPT(" ",99)),199,99)))-1),_Lookup!$A:$B,2,FALSE),"?")&amp;"×"&amp;MID(TRIM(MID(SUBSTITUTE(F249,";",REPT(" ",99)),199,99)),FIND(":",TRIM(MID(SUBSTITUTE(F249,";",REPT(" ",99)),199,99)))+1,99)),IF(TRIM(MID(SUBSTITUTE(F249,";",REPT(" ",99)),298,99))="","",IFERROR(VLOOKUP(--LEFT(TRIM(MID(SUBSTITUTE(F249,";",REPT(" ",99)),298,99)),FIND(":",TRIM(MID(SUBSTITUTE(F249,";",REPT(" ",99)),298,99)))-1),_Lookup!$A:$B,2,FALSE),"?")&amp;"×"&amp;MID(TRIM(MID(SUBSTITUTE(F249,";",REPT(" ",99)),298,99)),FIND(":",TRIM(MID(SUBSTITUTE(F249,";",REPT(" ",99)),298,99)))+1,99)),IF(TRIM(MID(SUBSTITUTE(F249,";",REPT(" ",99)),397,99))="","",IFERROR(VLOOKUP(--LEFT(TRIM(MID(SUBSTITUTE(F249,";",REPT(" ",99)),397,99)),FIND(":",TRIM(MID(SUBSTITUTE(F249,";",REPT(" ",99)),397,99)))-1),_Lookup!$A:$B,2,FALSE),"?")&amp;"×"&amp;MID(TRIM(MID(SUBSTITUTE(F249,";",REPT(" ",99)),397,99)),FIND(":",TRIM(MID(SUBSTITUTE(F249,";",REPT(" ",99)),397,99)))+1,99))))</f>
        <v/>
      </c>
    </row>
    <row r="250">
      <c r="C250" s="11">
        <f>IFERROR(VLOOKUP(B250,StageData!$A:$B,2,FALSE),"")</f>
        <v/>
      </c>
      <c r="G250" s="11">
        <f>IF(F250="","",TEXTJOIN("; ",TRUE,IF(TRIM(MID(SUBSTITUTE(F250,";",REPT(" ",99)),1,99))="","",IFERROR(VLOOKUP(--LEFT(TRIM(MID(SUBSTITUTE(F250,";",REPT(" ",99)),1,99)),FIND(":",TRIM(MID(SUBSTITUTE(F250,";",REPT(" ",99)),1,99)))-1),_Lookup!$A:$B,2,FALSE),"?")&amp;"×"&amp;MID(TRIM(MID(SUBSTITUTE(F250,";",REPT(" ",99)),1,99)),FIND(":",TRIM(MID(SUBSTITUTE(F250,";",REPT(" ",99)),1,99)))+1,99)),IF(TRIM(MID(SUBSTITUTE(F250,";",REPT(" ",99)),100,99))="","",IFERROR(VLOOKUP(--LEFT(TRIM(MID(SUBSTITUTE(F250,";",REPT(" ",99)),100,99)),FIND(":",TRIM(MID(SUBSTITUTE(F250,";",REPT(" ",99)),100,99)))-1),_Lookup!$A:$B,2,FALSE),"?")&amp;"×"&amp;MID(TRIM(MID(SUBSTITUTE(F250,";",REPT(" ",99)),100,99)),FIND(":",TRIM(MID(SUBSTITUTE(F250,";",REPT(" ",99)),100,99)))+1,99)),IF(TRIM(MID(SUBSTITUTE(F250,";",REPT(" ",99)),199,99))="","",IFERROR(VLOOKUP(--LEFT(TRIM(MID(SUBSTITUTE(F250,";",REPT(" ",99)),199,99)),FIND(":",TRIM(MID(SUBSTITUTE(F250,";",REPT(" ",99)),199,99)))-1),_Lookup!$A:$B,2,FALSE),"?")&amp;"×"&amp;MID(TRIM(MID(SUBSTITUTE(F250,";",REPT(" ",99)),199,99)),FIND(":",TRIM(MID(SUBSTITUTE(F250,";",REPT(" ",99)),199,99)))+1,99)),IF(TRIM(MID(SUBSTITUTE(F250,";",REPT(" ",99)),298,99))="","",IFERROR(VLOOKUP(--LEFT(TRIM(MID(SUBSTITUTE(F250,";",REPT(" ",99)),298,99)),FIND(":",TRIM(MID(SUBSTITUTE(F250,";",REPT(" ",99)),298,99)))-1),_Lookup!$A:$B,2,FALSE),"?")&amp;"×"&amp;MID(TRIM(MID(SUBSTITUTE(F250,";",REPT(" ",99)),298,99)),FIND(":",TRIM(MID(SUBSTITUTE(F250,";",REPT(" ",99)),298,99)))+1,99)),IF(TRIM(MID(SUBSTITUTE(F250,";",REPT(" ",99)),397,99))="","",IFERROR(VLOOKUP(--LEFT(TRIM(MID(SUBSTITUTE(F250,";",REPT(" ",99)),397,99)),FIND(":",TRIM(MID(SUBSTITUTE(F250,";",REPT(" ",99)),397,99)))-1),_Lookup!$A:$B,2,FALSE),"?")&amp;"×"&amp;MID(TRIM(MID(SUBSTITUTE(F250,";",REPT(" ",99)),397,99)),FIND(":",TRIM(MID(SUBSTITUTE(F250,";",REPT(" ",99)),397,99)))+1,99))))</f>
        <v/>
      </c>
    </row>
    <row r="251">
      <c r="C251" s="11">
        <f>IFERROR(VLOOKUP(B251,StageData!$A:$B,2,FALSE),"")</f>
        <v/>
      </c>
      <c r="G251" s="11">
        <f>IF(F251="","",TEXTJOIN("; ",TRUE,IF(TRIM(MID(SUBSTITUTE(F251,";",REPT(" ",99)),1,99))="","",IFERROR(VLOOKUP(--LEFT(TRIM(MID(SUBSTITUTE(F251,";",REPT(" ",99)),1,99)),FIND(":",TRIM(MID(SUBSTITUTE(F251,";",REPT(" ",99)),1,99)))-1),_Lookup!$A:$B,2,FALSE),"?")&amp;"×"&amp;MID(TRIM(MID(SUBSTITUTE(F251,";",REPT(" ",99)),1,99)),FIND(":",TRIM(MID(SUBSTITUTE(F251,";",REPT(" ",99)),1,99)))+1,99)),IF(TRIM(MID(SUBSTITUTE(F251,";",REPT(" ",99)),100,99))="","",IFERROR(VLOOKUP(--LEFT(TRIM(MID(SUBSTITUTE(F251,";",REPT(" ",99)),100,99)),FIND(":",TRIM(MID(SUBSTITUTE(F251,";",REPT(" ",99)),100,99)))-1),_Lookup!$A:$B,2,FALSE),"?")&amp;"×"&amp;MID(TRIM(MID(SUBSTITUTE(F251,";",REPT(" ",99)),100,99)),FIND(":",TRIM(MID(SUBSTITUTE(F251,";",REPT(" ",99)),100,99)))+1,99)),IF(TRIM(MID(SUBSTITUTE(F251,";",REPT(" ",99)),199,99))="","",IFERROR(VLOOKUP(--LEFT(TRIM(MID(SUBSTITUTE(F251,";",REPT(" ",99)),199,99)),FIND(":",TRIM(MID(SUBSTITUTE(F251,";",REPT(" ",99)),199,99)))-1),_Lookup!$A:$B,2,FALSE),"?")&amp;"×"&amp;MID(TRIM(MID(SUBSTITUTE(F251,";",REPT(" ",99)),199,99)),FIND(":",TRIM(MID(SUBSTITUTE(F251,";",REPT(" ",99)),199,99)))+1,99)),IF(TRIM(MID(SUBSTITUTE(F251,";",REPT(" ",99)),298,99))="","",IFERROR(VLOOKUP(--LEFT(TRIM(MID(SUBSTITUTE(F251,";",REPT(" ",99)),298,99)),FIND(":",TRIM(MID(SUBSTITUTE(F251,";",REPT(" ",99)),298,99)))-1),_Lookup!$A:$B,2,FALSE),"?")&amp;"×"&amp;MID(TRIM(MID(SUBSTITUTE(F251,";",REPT(" ",99)),298,99)),FIND(":",TRIM(MID(SUBSTITUTE(F251,";",REPT(" ",99)),298,99)))+1,99)),IF(TRIM(MID(SUBSTITUTE(F251,";",REPT(" ",99)),397,99))="","",IFERROR(VLOOKUP(--LEFT(TRIM(MID(SUBSTITUTE(F251,";",REPT(" ",99)),397,99)),FIND(":",TRIM(MID(SUBSTITUTE(F251,";",REPT(" ",99)),397,99)))-1),_Lookup!$A:$B,2,FALSE),"?")&amp;"×"&amp;MID(TRIM(MID(SUBSTITUTE(F251,";",REPT(" ",99)),397,99)),FIND(":",TRIM(MID(SUBSTITUTE(F251,";",REPT(" ",99)),397,99)))+1,99))))</f>
        <v/>
      </c>
    </row>
    <row r="252">
      <c r="C252" s="11">
        <f>IFERROR(VLOOKUP(B252,StageData!$A:$B,2,FALSE),"")</f>
        <v/>
      </c>
      <c r="G252" s="11">
        <f>IF(F252="","",TEXTJOIN("; ",TRUE,IF(TRIM(MID(SUBSTITUTE(F252,";",REPT(" ",99)),1,99))="","",IFERROR(VLOOKUP(--LEFT(TRIM(MID(SUBSTITUTE(F252,";",REPT(" ",99)),1,99)),FIND(":",TRIM(MID(SUBSTITUTE(F252,";",REPT(" ",99)),1,99)))-1),_Lookup!$A:$B,2,FALSE),"?")&amp;"×"&amp;MID(TRIM(MID(SUBSTITUTE(F252,";",REPT(" ",99)),1,99)),FIND(":",TRIM(MID(SUBSTITUTE(F252,";",REPT(" ",99)),1,99)))+1,99)),IF(TRIM(MID(SUBSTITUTE(F252,";",REPT(" ",99)),100,99))="","",IFERROR(VLOOKUP(--LEFT(TRIM(MID(SUBSTITUTE(F252,";",REPT(" ",99)),100,99)),FIND(":",TRIM(MID(SUBSTITUTE(F252,";",REPT(" ",99)),100,99)))-1),_Lookup!$A:$B,2,FALSE),"?")&amp;"×"&amp;MID(TRIM(MID(SUBSTITUTE(F252,";",REPT(" ",99)),100,99)),FIND(":",TRIM(MID(SUBSTITUTE(F252,";",REPT(" ",99)),100,99)))+1,99)),IF(TRIM(MID(SUBSTITUTE(F252,";",REPT(" ",99)),199,99))="","",IFERROR(VLOOKUP(--LEFT(TRIM(MID(SUBSTITUTE(F252,";",REPT(" ",99)),199,99)),FIND(":",TRIM(MID(SUBSTITUTE(F252,";",REPT(" ",99)),199,99)))-1),_Lookup!$A:$B,2,FALSE),"?")&amp;"×"&amp;MID(TRIM(MID(SUBSTITUTE(F252,";",REPT(" ",99)),199,99)),FIND(":",TRIM(MID(SUBSTITUTE(F252,";",REPT(" ",99)),199,99)))+1,99)),IF(TRIM(MID(SUBSTITUTE(F252,";",REPT(" ",99)),298,99))="","",IFERROR(VLOOKUP(--LEFT(TRIM(MID(SUBSTITUTE(F252,";",REPT(" ",99)),298,99)),FIND(":",TRIM(MID(SUBSTITUTE(F252,";",REPT(" ",99)),298,99)))-1),_Lookup!$A:$B,2,FALSE),"?")&amp;"×"&amp;MID(TRIM(MID(SUBSTITUTE(F252,";",REPT(" ",99)),298,99)),FIND(":",TRIM(MID(SUBSTITUTE(F252,";",REPT(" ",99)),298,99)))+1,99)),IF(TRIM(MID(SUBSTITUTE(F252,";",REPT(" ",99)),397,99))="","",IFERROR(VLOOKUP(--LEFT(TRIM(MID(SUBSTITUTE(F252,";",REPT(" ",99)),397,99)),FIND(":",TRIM(MID(SUBSTITUTE(F252,";",REPT(" ",99)),397,99)))-1),_Lookup!$A:$B,2,FALSE),"?")&amp;"×"&amp;MID(TRIM(MID(SUBSTITUTE(F252,";",REPT(" ",99)),397,99)),FIND(":",TRIM(MID(SUBSTITUTE(F252,";",REPT(" ",99)),397,99)))+1,99))))</f>
        <v/>
      </c>
    </row>
    <row r="253">
      <c r="C253" s="11">
        <f>IFERROR(VLOOKUP(B253,StageData!$A:$B,2,FALSE),"")</f>
        <v/>
      </c>
      <c r="G253" s="11">
        <f>IF(F253="","",TEXTJOIN("; ",TRUE,IF(TRIM(MID(SUBSTITUTE(F253,";",REPT(" ",99)),1,99))="","",IFERROR(VLOOKUP(--LEFT(TRIM(MID(SUBSTITUTE(F253,";",REPT(" ",99)),1,99)),FIND(":",TRIM(MID(SUBSTITUTE(F253,";",REPT(" ",99)),1,99)))-1),_Lookup!$A:$B,2,FALSE),"?")&amp;"×"&amp;MID(TRIM(MID(SUBSTITUTE(F253,";",REPT(" ",99)),1,99)),FIND(":",TRIM(MID(SUBSTITUTE(F253,";",REPT(" ",99)),1,99)))+1,99)),IF(TRIM(MID(SUBSTITUTE(F253,";",REPT(" ",99)),100,99))="","",IFERROR(VLOOKUP(--LEFT(TRIM(MID(SUBSTITUTE(F253,";",REPT(" ",99)),100,99)),FIND(":",TRIM(MID(SUBSTITUTE(F253,";",REPT(" ",99)),100,99)))-1),_Lookup!$A:$B,2,FALSE),"?")&amp;"×"&amp;MID(TRIM(MID(SUBSTITUTE(F253,";",REPT(" ",99)),100,99)),FIND(":",TRIM(MID(SUBSTITUTE(F253,";",REPT(" ",99)),100,99)))+1,99)),IF(TRIM(MID(SUBSTITUTE(F253,";",REPT(" ",99)),199,99))="","",IFERROR(VLOOKUP(--LEFT(TRIM(MID(SUBSTITUTE(F253,";",REPT(" ",99)),199,99)),FIND(":",TRIM(MID(SUBSTITUTE(F253,";",REPT(" ",99)),199,99)))-1),_Lookup!$A:$B,2,FALSE),"?")&amp;"×"&amp;MID(TRIM(MID(SUBSTITUTE(F253,";",REPT(" ",99)),199,99)),FIND(":",TRIM(MID(SUBSTITUTE(F253,";",REPT(" ",99)),199,99)))+1,99)),IF(TRIM(MID(SUBSTITUTE(F253,";",REPT(" ",99)),298,99))="","",IFERROR(VLOOKUP(--LEFT(TRIM(MID(SUBSTITUTE(F253,";",REPT(" ",99)),298,99)),FIND(":",TRIM(MID(SUBSTITUTE(F253,";",REPT(" ",99)),298,99)))-1),_Lookup!$A:$B,2,FALSE),"?")&amp;"×"&amp;MID(TRIM(MID(SUBSTITUTE(F253,";",REPT(" ",99)),298,99)),FIND(":",TRIM(MID(SUBSTITUTE(F253,";",REPT(" ",99)),298,99)))+1,99)),IF(TRIM(MID(SUBSTITUTE(F253,";",REPT(" ",99)),397,99))="","",IFERROR(VLOOKUP(--LEFT(TRIM(MID(SUBSTITUTE(F253,";",REPT(" ",99)),397,99)),FIND(":",TRIM(MID(SUBSTITUTE(F253,";",REPT(" ",99)),397,99)))-1),_Lookup!$A:$B,2,FALSE),"?")&amp;"×"&amp;MID(TRIM(MID(SUBSTITUTE(F253,";",REPT(" ",99)),397,99)),FIND(":",TRIM(MID(SUBSTITUTE(F253,";",REPT(" ",99)),397,99)))+1,99))))</f>
        <v/>
      </c>
    </row>
    <row r="254">
      <c r="C254" s="11">
        <f>IFERROR(VLOOKUP(B254,StageData!$A:$B,2,FALSE),"")</f>
        <v/>
      </c>
      <c r="G254" s="11">
        <f>IF(F254="","",TEXTJOIN("; ",TRUE,IF(TRIM(MID(SUBSTITUTE(F254,";",REPT(" ",99)),1,99))="","",IFERROR(VLOOKUP(--LEFT(TRIM(MID(SUBSTITUTE(F254,";",REPT(" ",99)),1,99)),FIND(":",TRIM(MID(SUBSTITUTE(F254,";",REPT(" ",99)),1,99)))-1),_Lookup!$A:$B,2,FALSE),"?")&amp;"×"&amp;MID(TRIM(MID(SUBSTITUTE(F254,";",REPT(" ",99)),1,99)),FIND(":",TRIM(MID(SUBSTITUTE(F254,";",REPT(" ",99)),1,99)))+1,99)),IF(TRIM(MID(SUBSTITUTE(F254,";",REPT(" ",99)),100,99))="","",IFERROR(VLOOKUP(--LEFT(TRIM(MID(SUBSTITUTE(F254,";",REPT(" ",99)),100,99)),FIND(":",TRIM(MID(SUBSTITUTE(F254,";",REPT(" ",99)),100,99)))-1),_Lookup!$A:$B,2,FALSE),"?")&amp;"×"&amp;MID(TRIM(MID(SUBSTITUTE(F254,";",REPT(" ",99)),100,99)),FIND(":",TRIM(MID(SUBSTITUTE(F254,";",REPT(" ",99)),100,99)))+1,99)),IF(TRIM(MID(SUBSTITUTE(F254,";",REPT(" ",99)),199,99))="","",IFERROR(VLOOKUP(--LEFT(TRIM(MID(SUBSTITUTE(F254,";",REPT(" ",99)),199,99)),FIND(":",TRIM(MID(SUBSTITUTE(F254,";",REPT(" ",99)),199,99)))-1),_Lookup!$A:$B,2,FALSE),"?")&amp;"×"&amp;MID(TRIM(MID(SUBSTITUTE(F254,";",REPT(" ",99)),199,99)),FIND(":",TRIM(MID(SUBSTITUTE(F254,";",REPT(" ",99)),199,99)))+1,99)),IF(TRIM(MID(SUBSTITUTE(F254,";",REPT(" ",99)),298,99))="","",IFERROR(VLOOKUP(--LEFT(TRIM(MID(SUBSTITUTE(F254,";",REPT(" ",99)),298,99)),FIND(":",TRIM(MID(SUBSTITUTE(F254,";",REPT(" ",99)),298,99)))-1),_Lookup!$A:$B,2,FALSE),"?")&amp;"×"&amp;MID(TRIM(MID(SUBSTITUTE(F254,";",REPT(" ",99)),298,99)),FIND(":",TRIM(MID(SUBSTITUTE(F254,";",REPT(" ",99)),298,99)))+1,99)),IF(TRIM(MID(SUBSTITUTE(F254,";",REPT(" ",99)),397,99))="","",IFERROR(VLOOKUP(--LEFT(TRIM(MID(SUBSTITUTE(F254,";",REPT(" ",99)),397,99)),FIND(":",TRIM(MID(SUBSTITUTE(F254,";",REPT(" ",99)),397,99)))-1),_Lookup!$A:$B,2,FALSE),"?")&amp;"×"&amp;MID(TRIM(MID(SUBSTITUTE(F254,";",REPT(" ",99)),397,99)),FIND(":",TRIM(MID(SUBSTITUTE(F254,";",REPT(" ",99)),397,99)))+1,99))))</f>
        <v/>
      </c>
    </row>
    <row r="255">
      <c r="C255" s="11">
        <f>IFERROR(VLOOKUP(B255,StageData!$A:$B,2,FALSE),"")</f>
        <v/>
      </c>
      <c r="G255" s="11">
        <f>IF(F255="","",TEXTJOIN("; ",TRUE,IF(TRIM(MID(SUBSTITUTE(F255,";",REPT(" ",99)),1,99))="","",IFERROR(VLOOKUP(--LEFT(TRIM(MID(SUBSTITUTE(F255,";",REPT(" ",99)),1,99)),FIND(":",TRIM(MID(SUBSTITUTE(F255,";",REPT(" ",99)),1,99)))-1),_Lookup!$A:$B,2,FALSE),"?")&amp;"×"&amp;MID(TRIM(MID(SUBSTITUTE(F255,";",REPT(" ",99)),1,99)),FIND(":",TRIM(MID(SUBSTITUTE(F255,";",REPT(" ",99)),1,99)))+1,99)),IF(TRIM(MID(SUBSTITUTE(F255,";",REPT(" ",99)),100,99))="","",IFERROR(VLOOKUP(--LEFT(TRIM(MID(SUBSTITUTE(F255,";",REPT(" ",99)),100,99)),FIND(":",TRIM(MID(SUBSTITUTE(F255,";",REPT(" ",99)),100,99)))-1),_Lookup!$A:$B,2,FALSE),"?")&amp;"×"&amp;MID(TRIM(MID(SUBSTITUTE(F255,";",REPT(" ",99)),100,99)),FIND(":",TRIM(MID(SUBSTITUTE(F255,";",REPT(" ",99)),100,99)))+1,99)),IF(TRIM(MID(SUBSTITUTE(F255,";",REPT(" ",99)),199,99))="","",IFERROR(VLOOKUP(--LEFT(TRIM(MID(SUBSTITUTE(F255,";",REPT(" ",99)),199,99)),FIND(":",TRIM(MID(SUBSTITUTE(F255,";",REPT(" ",99)),199,99)))-1),_Lookup!$A:$B,2,FALSE),"?")&amp;"×"&amp;MID(TRIM(MID(SUBSTITUTE(F255,";",REPT(" ",99)),199,99)),FIND(":",TRIM(MID(SUBSTITUTE(F255,";",REPT(" ",99)),199,99)))+1,99)),IF(TRIM(MID(SUBSTITUTE(F255,";",REPT(" ",99)),298,99))="","",IFERROR(VLOOKUP(--LEFT(TRIM(MID(SUBSTITUTE(F255,";",REPT(" ",99)),298,99)),FIND(":",TRIM(MID(SUBSTITUTE(F255,";",REPT(" ",99)),298,99)))-1),_Lookup!$A:$B,2,FALSE),"?")&amp;"×"&amp;MID(TRIM(MID(SUBSTITUTE(F255,";",REPT(" ",99)),298,99)),FIND(":",TRIM(MID(SUBSTITUTE(F255,";",REPT(" ",99)),298,99)))+1,99)),IF(TRIM(MID(SUBSTITUTE(F255,";",REPT(" ",99)),397,99))="","",IFERROR(VLOOKUP(--LEFT(TRIM(MID(SUBSTITUTE(F255,";",REPT(" ",99)),397,99)),FIND(":",TRIM(MID(SUBSTITUTE(F255,";",REPT(" ",99)),397,99)))-1),_Lookup!$A:$B,2,FALSE),"?")&amp;"×"&amp;MID(TRIM(MID(SUBSTITUTE(F255,";",REPT(" ",99)),397,99)),FIND(":",TRIM(MID(SUBSTITUTE(F255,";",REPT(" ",99)),397,99)))+1,99))))</f>
        <v/>
      </c>
    </row>
    <row r="256">
      <c r="C256" s="11">
        <f>IFERROR(VLOOKUP(B256,StageData!$A:$B,2,FALSE),"")</f>
        <v/>
      </c>
      <c r="G256" s="11">
        <f>IF(F256="","",TEXTJOIN("; ",TRUE,IF(TRIM(MID(SUBSTITUTE(F256,";",REPT(" ",99)),1,99))="","",IFERROR(VLOOKUP(--LEFT(TRIM(MID(SUBSTITUTE(F256,";",REPT(" ",99)),1,99)),FIND(":",TRIM(MID(SUBSTITUTE(F256,";",REPT(" ",99)),1,99)))-1),_Lookup!$A:$B,2,FALSE),"?")&amp;"×"&amp;MID(TRIM(MID(SUBSTITUTE(F256,";",REPT(" ",99)),1,99)),FIND(":",TRIM(MID(SUBSTITUTE(F256,";",REPT(" ",99)),1,99)))+1,99)),IF(TRIM(MID(SUBSTITUTE(F256,";",REPT(" ",99)),100,99))="","",IFERROR(VLOOKUP(--LEFT(TRIM(MID(SUBSTITUTE(F256,";",REPT(" ",99)),100,99)),FIND(":",TRIM(MID(SUBSTITUTE(F256,";",REPT(" ",99)),100,99)))-1),_Lookup!$A:$B,2,FALSE),"?")&amp;"×"&amp;MID(TRIM(MID(SUBSTITUTE(F256,";",REPT(" ",99)),100,99)),FIND(":",TRIM(MID(SUBSTITUTE(F256,";",REPT(" ",99)),100,99)))+1,99)),IF(TRIM(MID(SUBSTITUTE(F256,";",REPT(" ",99)),199,99))="","",IFERROR(VLOOKUP(--LEFT(TRIM(MID(SUBSTITUTE(F256,";",REPT(" ",99)),199,99)),FIND(":",TRIM(MID(SUBSTITUTE(F256,";",REPT(" ",99)),199,99)))-1),_Lookup!$A:$B,2,FALSE),"?")&amp;"×"&amp;MID(TRIM(MID(SUBSTITUTE(F256,";",REPT(" ",99)),199,99)),FIND(":",TRIM(MID(SUBSTITUTE(F256,";",REPT(" ",99)),199,99)))+1,99)),IF(TRIM(MID(SUBSTITUTE(F256,";",REPT(" ",99)),298,99))="","",IFERROR(VLOOKUP(--LEFT(TRIM(MID(SUBSTITUTE(F256,";",REPT(" ",99)),298,99)),FIND(":",TRIM(MID(SUBSTITUTE(F256,";",REPT(" ",99)),298,99)))-1),_Lookup!$A:$B,2,FALSE),"?")&amp;"×"&amp;MID(TRIM(MID(SUBSTITUTE(F256,";",REPT(" ",99)),298,99)),FIND(":",TRIM(MID(SUBSTITUTE(F256,";",REPT(" ",99)),298,99)))+1,99)),IF(TRIM(MID(SUBSTITUTE(F256,";",REPT(" ",99)),397,99))="","",IFERROR(VLOOKUP(--LEFT(TRIM(MID(SUBSTITUTE(F256,";",REPT(" ",99)),397,99)),FIND(":",TRIM(MID(SUBSTITUTE(F256,";",REPT(" ",99)),397,99)))-1),_Lookup!$A:$B,2,FALSE),"?")&amp;"×"&amp;MID(TRIM(MID(SUBSTITUTE(F256,";",REPT(" ",99)),397,99)),FIND(":",TRIM(MID(SUBSTITUTE(F256,";",REPT(" ",99)),397,99)))+1,99))))</f>
        <v/>
      </c>
    </row>
    <row r="257">
      <c r="C257" s="11">
        <f>IFERROR(VLOOKUP(B257,StageData!$A:$B,2,FALSE),"")</f>
        <v/>
      </c>
      <c r="G257" s="11">
        <f>IF(F257="","",TEXTJOIN("; ",TRUE,IF(TRIM(MID(SUBSTITUTE(F257,";",REPT(" ",99)),1,99))="","",IFERROR(VLOOKUP(--LEFT(TRIM(MID(SUBSTITUTE(F257,";",REPT(" ",99)),1,99)),FIND(":",TRIM(MID(SUBSTITUTE(F257,";",REPT(" ",99)),1,99)))-1),_Lookup!$A:$B,2,FALSE),"?")&amp;"×"&amp;MID(TRIM(MID(SUBSTITUTE(F257,";",REPT(" ",99)),1,99)),FIND(":",TRIM(MID(SUBSTITUTE(F257,";",REPT(" ",99)),1,99)))+1,99)),IF(TRIM(MID(SUBSTITUTE(F257,";",REPT(" ",99)),100,99))="","",IFERROR(VLOOKUP(--LEFT(TRIM(MID(SUBSTITUTE(F257,";",REPT(" ",99)),100,99)),FIND(":",TRIM(MID(SUBSTITUTE(F257,";",REPT(" ",99)),100,99)))-1),_Lookup!$A:$B,2,FALSE),"?")&amp;"×"&amp;MID(TRIM(MID(SUBSTITUTE(F257,";",REPT(" ",99)),100,99)),FIND(":",TRIM(MID(SUBSTITUTE(F257,";",REPT(" ",99)),100,99)))+1,99)),IF(TRIM(MID(SUBSTITUTE(F257,";",REPT(" ",99)),199,99))="","",IFERROR(VLOOKUP(--LEFT(TRIM(MID(SUBSTITUTE(F257,";",REPT(" ",99)),199,99)),FIND(":",TRIM(MID(SUBSTITUTE(F257,";",REPT(" ",99)),199,99)))-1),_Lookup!$A:$B,2,FALSE),"?")&amp;"×"&amp;MID(TRIM(MID(SUBSTITUTE(F257,";",REPT(" ",99)),199,99)),FIND(":",TRIM(MID(SUBSTITUTE(F257,";",REPT(" ",99)),199,99)))+1,99)),IF(TRIM(MID(SUBSTITUTE(F257,";",REPT(" ",99)),298,99))="","",IFERROR(VLOOKUP(--LEFT(TRIM(MID(SUBSTITUTE(F257,";",REPT(" ",99)),298,99)),FIND(":",TRIM(MID(SUBSTITUTE(F257,";",REPT(" ",99)),298,99)))-1),_Lookup!$A:$B,2,FALSE),"?")&amp;"×"&amp;MID(TRIM(MID(SUBSTITUTE(F257,";",REPT(" ",99)),298,99)),FIND(":",TRIM(MID(SUBSTITUTE(F257,";",REPT(" ",99)),298,99)))+1,99)),IF(TRIM(MID(SUBSTITUTE(F257,";",REPT(" ",99)),397,99))="","",IFERROR(VLOOKUP(--LEFT(TRIM(MID(SUBSTITUTE(F257,";",REPT(" ",99)),397,99)),FIND(":",TRIM(MID(SUBSTITUTE(F257,";",REPT(" ",99)),397,99)))-1),_Lookup!$A:$B,2,FALSE),"?")&amp;"×"&amp;MID(TRIM(MID(SUBSTITUTE(F257,";",REPT(" ",99)),397,99)),FIND(":",TRIM(MID(SUBSTITUTE(F257,";",REPT(" ",99)),397,99)))+1,99))))</f>
        <v/>
      </c>
    </row>
    <row r="258">
      <c r="C258" s="11">
        <f>IFERROR(VLOOKUP(B258,StageData!$A:$B,2,FALSE),"")</f>
        <v/>
      </c>
      <c r="G258" s="11">
        <f>IF(F258="","",TEXTJOIN("; ",TRUE,IF(TRIM(MID(SUBSTITUTE(F258,";",REPT(" ",99)),1,99))="","",IFERROR(VLOOKUP(--LEFT(TRIM(MID(SUBSTITUTE(F258,";",REPT(" ",99)),1,99)),FIND(":",TRIM(MID(SUBSTITUTE(F258,";",REPT(" ",99)),1,99)))-1),_Lookup!$A:$B,2,FALSE),"?")&amp;"×"&amp;MID(TRIM(MID(SUBSTITUTE(F258,";",REPT(" ",99)),1,99)),FIND(":",TRIM(MID(SUBSTITUTE(F258,";",REPT(" ",99)),1,99)))+1,99)),IF(TRIM(MID(SUBSTITUTE(F258,";",REPT(" ",99)),100,99))="","",IFERROR(VLOOKUP(--LEFT(TRIM(MID(SUBSTITUTE(F258,";",REPT(" ",99)),100,99)),FIND(":",TRIM(MID(SUBSTITUTE(F258,";",REPT(" ",99)),100,99)))-1),_Lookup!$A:$B,2,FALSE),"?")&amp;"×"&amp;MID(TRIM(MID(SUBSTITUTE(F258,";",REPT(" ",99)),100,99)),FIND(":",TRIM(MID(SUBSTITUTE(F258,";",REPT(" ",99)),100,99)))+1,99)),IF(TRIM(MID(SUBSTITUTE(F258,";",REPT(" ",99)),199,99))="","",IFERROR(VLOOKUP(--LEFT(TRIM(MID(SUBSTITUTE(F258,";",REPT(" ",99)),199,99)),FIND(":",TRIM(MID(SUBSTITUTE(F258,";",REPT(" ",99)),199,99)))-1),_Lookup!$A:$B,2,FALSE),"?")&amp;"×"&amp;MID(TRIM(MID(SUBSTITUTE(F258,";",REPT(" ",99)),199,99)),FIND(":",TRIM(MID(SUBSTITUTE(F258,";",REPT(" ",99)),199,99)))+1,99)),IF(TRIM(MID(SUBSTITUTE(F258,";",REPT(" ",99)),298,99))="","",IFERROR(VLOOKUP(--LEFT(TRIM(MID(SUBSTITUTE(F258,";",REPT(" ",99)),298,99)),FIND(":",TRIM(MID(SUBSTITUTE(F258,";",REPT(" ",99)),298,99)))-1),_Lookup!$A:$B,2,FALSE),"?")&amp;"×"&amp;MID(TRIM(MID(SUBSTITUTE(F258,";",REPT(" ",99)),298,99)),FIND(":",TRIM(MID(SUBSTITUTE(F258,";",REPT(" ",99)),298,99)))+1,99)),IF(TRIM(MID(SUBSTITUTE(F258,";",REPT(" ",99)),397,99))="","",IFERROR(VLOOKUP(--LEFT(TRIM(MID(SUBSTITUTE(F258,";",REPT(" ",99)),397,99)),FIND(":",TRIM(MID(SUBSTITUTE(F258,";",REPT(" ",99)),397,99)))-1),_Lookup!$A:$B,2,FALSE),"?")&amp;"×"&amp;MID(TRIM(MID(SUBSTITUTE(F258,";",REPT(" ",99)),397,99)),FIND(":",TRIM(MID(SUBSTITUTE(F258,";",REPT(" ",99)),397,99)))+1,99))))</f>
        <v/>
      </c>
    </row>
    <row r="259">
      <c r="C259" s="11">
        <f>IFERROR(VLOOKUP(B259,StageData!$A:$B,2,FALSE),"")</f>
        <v/>
      </c>
      <c r="G259" s="11">
        <f>IF(F259="","",TEXTJOIN("; ",TRUE,IF(TRIM(MID(SUBSTITUTE(F259,";",REPT(" ",99)),1,99))="","",IFERROR(VLOOKUP(--LEFT(TRIM(MID(SUBSTITUTE(F259,";",REPT(" ",99)),1,99)),FIND(":",TRIM(MID(SUBSTITUTE(F259,";",REPT(" ",99)),1,99)))-1),_Lookup!$A:$B,2,FALSE),"?")&amp;"×"&amp;MID(TRIM(MID(SUBSTITUTE(F259,";",REPT(" ",99)),1,99)),FIND(":",TRIM(MID(SUBSTITUTE(F259,";",REPT(" ",99)),1,99)))+1,99)),IF(TRIM(MID(SUBSTITUTE(F259,";",REPT(" ",99)),100,99))="","",IFERROR(VLOOKUP(--LEFT(TRIM(MID(SUBSTITUTE(F259,";",REPT(" ",99)),100,99)),FIND(":",TRIM(MID(SUBSTITUTE(F259,";",REPT(" ",99)),100,99)))-1),_Lookup!$A:$B,2,FALSE),"?")&amp;"×"&amp;MID(TRIM(MID(SUBSTITUTE(F259,";",REPT(" ",99)),100,99)),FIND(":",TRIM(MID(SUBSTITUTE(F259,";",REPT(" ",99)),100,99)))+1,99)),IF(TRIM(MID(SUBSTITUTE(F259,";",REPT(" ",99)),199,99))="","",IFERROR(VLOOKUP(--LEFT(TRIM(MID(SUBSTITUTE(F259,";",REPT(" ",99)),199,99)),FIND(":",TRIM(MID(SUBSTITUTE(F259,";",REPT(" ",99)),199,99)))-1),_Lookup!$A:$B,2,FALSE),"?")&amp;"×"&amp;MID(TRIM(MID(SUBSTITUTE(F259,";",REPT(" ",99)),199,99)),FIND(":",TRIM(MID(SUBSTITUTE(F259,";",REPT(" ",99)),199,99)))+1,99)),IF(TRIM(MID(SUBSTITUTE(F259,";",REPT(" ",99)),298,99))="","",IFERROR(VLOOKUP(--LEFT(TRIM(MID(SUBSTITUTE(F259,";",REPT(" ",99)),298,99)),FIND(":",TRIM(MID(SUBSTITUTE(F259,";",REPT(" ",99)),298,99)))-1),_Lookup!$A:$B,2,FALSE),"?")&amp;"×"&amp;MID(TRIM(MID(SUBSTITUTE(F259,";",REPT(" ",99)),298,99)),FIND(":",TRIM(MID(SUBSTITUTE(F259,";",REPT(" ",99)),298,99)))+1,99)),IF(TRIM(MID(SUBSTITUTE(F259,";",REPT(" ",99)),397,99))="","",IFERROR(VLOOKUP(--LEFT(TRIM(MID(SUBSTITUTE(F259,";",REPT(" ",99)),397,99)),FIND(":",TRIM(MID(SUBSTITUTE(F259,";",REPT(" ",99)),397,99)))-1),_Lookup!$A:$B,2,FALSE),"?")&amp;"×"&amp;MID(TRIM(MID(SUBSTITUTE(F259,";",REPT(" ",99)),397,99)),FIND(":",TRIM(MID(SUBSTITUTE(F259,";",REPT(" ",99)),397,99)))+1,99))))</f>
        <v/>
      </c>
    </row>
    <row r="260">
      <c r="C260" s="11">
        <f>IFERROR(VLOOKUP(B260,StageData!$A:$B,2,FALSE),"")</f>
        <v/>
      </c>
      <c r="G260" s="11">
        <f>IF(F260="","",TEXTJOIN("; ",TRUE,IF(TRIM(MID(SUBSTITUTE(F260,";",REPT(" ",99)),1,99))="","",IFERROR(VLOOKUP(--LEFT(TRIM(MID(SUBSTITUTE(F260,";",REPT(" ",99)),1,99)),FIND(":",TRIM(MID(SUBSTITUTE(F260,";",REPT(" ",99)),1,99)))-1),_Lookup!$A:$B,2,FALSE),"?")&amp;"×"&amp;MID(TRIM(MID(SUBSTITUTE(F260,";",REPT(" ",99)),1,99)),FIND(":",TRIM(MID(SUBSTITUTE(F260,";",REPT(" ",99)),1,99)))+1,99)),IF(TRIM(MID(SUBSTITUTE(F260,";",REPT(" ",99)),100,99))="","",IFERROR(VLOOKUP(--LEFT(TRIM(MID(SUBSTITUTE(F260,";",REPT(" ",99)),100,99)),FIND(":",TRIM(MID(SUBSTITUTE(F260,";",REPT(" ",99)),100,99)))-1),_Lookup!$A:$B,2,FALSE),"?")&amp;"×"&amp;MID(TRIM(MID(SUBSTITUTE(F260,";",REPT(" ",99)),100,99)),FIND(":",TRIM(MID(SUBSTITUTE(F260,";",REPT(" ",99)),100,99)))+1,99)),IF(TRIM(MID(SUBSTITUTE(F260,";",REPT(" ",99)),199,99))="","",IFERROR(VLOOKUP(--LEFT(TRIM(MID(SUBSTITUTE(F260,";",REPT(" ",99)),199,99)),FIND(":",TRIM(MID(SUBSTITUTE(F260,";",REPT(" ",99)),199,99)))-1),_Lookup!$A:$B,2,FALSE),"?")&amp;"×"&amp;MID(TRIM(MID(SUBSTITUTE(F260,";",REPT(" ",99)),199,99)),FIND(":",TRIM(MID(SUBSTITUTE(F260,";",REPT(" ",99)),199,99)))+1,99)),IF(TRIM(MID(SUBSTITUTE(F260,";",REPT(" ",99)),298,99))="","",IFERROR(VLOOKUP(--LEFT(TRIM(MID(SUBSTITUTE(F260,";",REPT(" ",99)),298,99)),FIND(":",TRIM(MID(SUBSTITUTE(F260,";",REPT(" ",99)),298,99)))-1),_Lookup!$A:$B,2,FALSE),"?")&amp;"×"&amp;MID(TRIM(MID(SUBSTITUTE(F260,";",REPT(" ",99)),298,99)),FIND(":",TRIM(MID(SUBSTITUTE(F260,";",REPT(" ",99)),298,99)))+1,99)),IF(TRIM(MID(SUBSTITUTE(F260,";",REPT(" ",99)),397,99))="","",IFERROR(VLOOKUP(--LEFT(TRIM(MID(SUBSTITUTE(F260,";",REPT(" ",99)),397,99)),FIND(":",TRIM(MID(SUBSTITUTE(F260,";",REPT(" ",99)),397,99)))-1),_Lookup!$A:$B,2,FALSE),"?")&amp;"×"&amp;MID(TRIM(MID(SUBSTITUTE(F260,";",REPT(" ",99)),397,99)),FIND(":",TRIM(MID(SUBSTITUTE(F260,";",REPT(" ",99)),397,99)))+1,99))))</f>
        <v/>
      </c>
    </row>
    <row r="261">
      <c r="C261" s="11">
        <f>IFERROR(VLOOKUP(B261,StageData!$A:$B,2,FALSE),"")</f>
        <v/>
      </c>
      <c r="G261" s="11">
        <f>IF(F261="","",TEXTJOIN("; ",TRUE,IF(TRIM(MID(SUBSTITUTE(F261,";",REPT(" ",99)),1,99))="","",IFERROR(VLOOKUP(--LEFT(TRIM(MID(SUBSTITUTE(F261,";",REPT(" ",99)),1,99)),FIND(":",TRIM(MID(SUBSTITUTE(F261,";",REPT(" ",99)),1,99)))-1),_Lookup!$A:$B,2,FALSE),"?")&amp;"×"&amp;MID(TRIM(MID(SUBSTITUTE(F261,";",REPT(" ",99)),1,99)),FIND(":",TRIM(MID(SUBSTITUTE(F261,";",REPT(" ",99)),1,99)))+1,99)),IF(TRIM(MID(SUBSTITUTE(F261,";",REPT(" ",99)),100,99))="","",IFERROR(VLOOKUP(--LEFT(TRIM(MID(SUBSTITUTE(F261,";",REPT(" ",99)),100,99)),FIND(":",TRIM(MID(SUBSTITUTE(F261,";",REPT(" ",99)),100,99)))-1),_Lookup!$A:$B,2,FALSE),"?")&amp;"×"&amp;MID(TRIM(MID(SUBSTITUTE(F261,";",REPT(" ",99)),100,99)),FIND(":",TRIM(MID(SUBSTITUTE(F261,";",REPT(" ",99)),100,99)))+1,99)),IF(TRIM(MID(SUBSTITUTE(F261,";",REPT(" ",99)),199,99))="","",IFERROR(VLOOKUP(--LEFT(TRIM(MID(SUBSTITUTE(F261,";",REPT(" ",99)),199,99)),FIND(":",TRIM(MID(SUBSTITUTE(F261,";",REPT(" ",99)),199,99)))-1),_Lookup!$A:$B,2,FALSE),"?")&amp;"×"&amp;MID(TRIM(MID(SUBSTITUTE(F261,";",REPT(" ",99)),199,99)),FIND(":",TRIM(MID(SUBSTITUTE(F261,";",REPT(" ",99)),199,99)))+1,99)),IF(TRIM(MID(SUBSTITUTE(F261,";",REPT(" ",99)),298,99))="","",IFERROR(VLOOKUP(--LEFT(TRIM(MID(SUBSTITUTE(F261,";",REPT(" ",99)),298,99)),FIND(":",TRIM(MID(SUBSTITUTE(F261,";",REPT(" ",99)),298,99)))-1),_Lookup!$A:$B,2,FALSE),"?")&amp;"×"&amp;MID(TRIM(MID(SUBSTITUTE(F261,";",REPT(" ",99)),298,99)),FIND(":",TRIM(MID(SUBSTITUTE(F261,";",REPT(" ",99)),298,99)))+1,99)),IF(TRIM(MID(SUBSTITUTE(F261,";",REPT(" ",99)),397,99))="","",IFERROR(VLOOKUP(--LEFT(TRIM(MID(SUBSTITUTE(F261,";",REPT(" ",99)),397,99)),FIND(":",TRIM(MID(SUBSTITUTE(F261,";",REPT(" ",99)),397,99)))-1),_Lookup!$A:$B,2,FALSE),"?")&amp;"×"&amp;MID(TRIM(MID(SUBSTITUTE(F261,";",REPT(" ",99)),397,99)),FIND(":",TRIM(MID(SUBSTITUTE(F261,";",REPT(" ",99)),397,99)))+1,99))))</f>
        <v/>
      </c>
    </row>
    <row r="262">
      <c r="C262" s="11">
        <f>IFERROR(VLOOKUP(B262,StageData!$A:$B,2,FALSE),"")</f>
        <v/>
      </c>
      <c r="G262" s="11">
        <f>IF(F262="","",TEXTJOIN("; ",TRUE,IF(TRIM(MID(SUBSTITUTE(F262,";",REPT(" ",99)),1,99))="","",IFERROR(VLOOKUP(--LEFT(TRIM(MID(SUBSTITUTE(F262,";",REPT(" ",99)),1,99)),FIND(":",TRIM(MID(SUBSTITUTE(F262,";",REPT(" ",99)),1,99)))-1),_Lookup!$A:$B,2,FALSE),"?")&amp;"×"&amp;MID(TRIM(MID(SUBSTITUTE(F262,";",REPT(" ",99)),1,99)),FIND(":",TRIM(MID(SUBSTITUTE(F262,";",REPT(" ",99)),1,99)))+1,99)),IF(TRIM(MID(SUBSTITUTE(F262,";",REPT(" ",99)),100,99))="","",IFERROR(VLOOKUP(--LEFT(TRIM(MID(SUBSTITUTE(F262,";",REPT(" ",99)),100,99)),FIND(":",TRIM(MID(SUBSTITUTE(F262,";",REPT(" ",99)),100,99)))-1),_Lookup!$A:$B,2,FALSE),"?")&amp;"×"&amp;MID(TRIM(MID(SUBSTITUTE(F262,";",REPT(" ",99)),100,99)),FIND(":",TRIM(MID(SUBSTITUTE(F262,";",REPT(" ",99)),100,99)))+1,99)),IF(TRIM(MID(SUBSTITUTE(F262,";",REPT(" ",99)),199,99))="","",IFERROR(VLOOKUP(--LEFT(TRIM(MID(SUBSTITUTE(F262,";",REPT(" ",99)),199,99)),FIND(":",TRIM(MID(SUBSTITUTE(F262,";",REPT(" ",99)),199,99)))-1),_Lookup!$A:$B,2,FALSE),"?")&amp;"×"&amp;MID(TRIM(MID(SUBSTITUTE(F262,";",REPT(" ",99)),199,99)),FIND(":",TRIM(MID(SUBSTITUTE(F262,";",REPT(" ",99)),199,99)))+1,99)),IF(TRIM(MID(SUBSTITUTE(F262,";",REPT(" ",99)),298,99))="","",IFERROR(VLOOKUP(--LEFT(TRIM(MID(SUBSTITUTE(F262,";",REPT(" ",99)),298,99)),FIND(":",TRIM(MID(SUBSTITUTE(F262,";",REPT(" ",99)),298,99)))-1),_Lookup!$A:$B,2,FALSE),"?")&amp;"×"&amp;MID(TRIM(MID(SUBSTITUTE(F262,";",REPT(" ",99)),298,99)),FIND(":",TRIM(MID(SUBSTITUTE(F262,";",REPT(" ",99)),298,99)))+1,99)),IF(TRIM(MID(SUBSTITUTE(F262,";",REPT(" ",99)),397,99))="","",IFERROR(VLOOKUP(--LEFT(TRIM(MID(SUBSTITUTE(F262,";",REPT(" ",99)),397,99)),FIND(":",TRIM(MID(SUBSTITUTE(F262,";",REPT(" ",99)),397,99)))-1),_Lookup!$A:$B,2,FALSE),"?")&amp;"×"&amp;MID(TRIM(MID(SUBSTITUTE(F262,";",REPT(" ",99)),397,99)),FIND(":",TRIM(MID(SUBSTITUTE(F262,";",REPT(" ",99)),397,99)))+1,99))))</f>
        <v/>
      </c>
    </row>
    <row r="263">
      <c r="C263" s="11">
        <f>IFERROR(VLOOKUP(B263,StageData!$A:$B,2,FALSE),"")</f>
        <v/>
      </c>
      <c r="G263" s="11">
        <f>IF(F263="","",TEXTJOIN("; ",TRUE,IF(TRIM(MID(SUBSTITUTE(F263,";",REPT(" ",99)),1,99))="","",IFERROR(VLOOKUP(--LEFT(TRIM(MID(SUBSTITUTE(F263,";",REPT(" ",99)),1,99)),FIND(":",TRIM(MID(SUBSTITUTE(F263,";",REPT(" ",99)),1,99)))-1),_Lookup!$A:$B,2,FALSE),"?")&amp;"×"&amp;MID(TRIM(MID(SUBSTITUTE(F263,";",REPT(" ",99)),1,99)),FIND(":",TRIM(MID(SUBSTITUTE(F263,";",REPT(" ",99)),1,99)))+1,99)),IF(TRIM(MID(SUBSTITUTE(F263,";",REPT(" ",99)),100,99))="","",IFERROR(VLOOKUP(--LEFT(TRIM(MID(SUBSTITUTE(F263,";",REPT(" ",99)),100,99)),FIND(":",TRIM(MID(SUBSTITUTE(F263,";",REPT(" ",99)),100,99)))-1),_Lookup!$A:$B,2,FALSE),"?")&amp;"×"&amp;MID(TRIM(MID(SUBSTITUTE(F263,";",REPT(" ",99)),100,99)),FIND(":",TRIM(MID(SUBSTITUTE(F263,";",REPT(" ",99)),100,99)))+1,99)),IF(TRIM(MID(SUBSTITUTE(F263,";",REPT(" ",99)),199,99))="","",IFERROR(VLOOKUP(--LEFT(TRIM(MID(SUBSTITUTE(F263,";",REPT(" ",99)),199,99)),FIND(":",TRIM(MID(SUBSTITUTE(F263,";",REPT(" ",99)),199,99)))-1),_Lookup!$A:$B,2,FALSE),"?")&amp;"×"&amp;MID(TRIM(MID(SUBSTITUTE(F263,";",REPT(" ",99)),199,99)),FIND(":",TRIM(MID(SUBSTITUTE(F263,";",REPT(" ",99)),199,99)))+1,99)),IF(TRIM(MID(SUBSTITUTE(F263,";",REPT(" ",99)),298,99))="","",IFERROR(VLOOKUP(--LEFT(TRIM(MID(SUBSTITUTE(F263,";",REPT(" ",99)),298,99)),FIND(":",TRIM(MID(SUBSTITUTE(F263,";",REPT(" ",99)),298,99)))-1),_Lookup!$A:$B,2,FALSE),"?")&amp;"×"&amp;MID(TRIM(MID(SUBSTITUTE(F263,";",REPT(" ",99)),298,99)),FIND(":",TRIM(MID(SUBSTITUTE(F263,";",REPT(" ",99)),298,99)))+1,99)),IF(TRIM(MID(SUBSTITUTE(F263,";",REPT(" ",99)),397,99))="","",IFERROR(VLOOKUP(--LEFT(TRIM(MID(SUBSTITUTE(F263,";",REPT(" ",99)),397,99)),FIND(":",TRIM(MID(SUBSTITUTE(F263,";",REPT(" ",99)),397,99)))-1),_Lookup!$A:$B,2,FALSE),"?")&amp;"×"&amp;MID(TRIM(MID(SUBSTITUTE(F263,";",REPT(" ",99)),397,99)),FIND(":",TRIM(MID(SUBSTITUTE(F263,";",REPT(" ",99)),397,99)))+1,99))))</f>
        <v/>
      </c>
    </row>
    <row r="264">
      <c r="C264" s="11">
        <f>IFERROR(VLOOKUP(B264,StageData!$A:$B,2,FALSE),"")</f>
        <v/>
      </c>
      <c r="G264" s="11">
        <f>IF(F264="","",TEXTJOIN("; ",TRUE,IF(TRIM(MID(SUBSTITUTE(F264,";",REPT(" ",99)),1,99))="","",IFERROR(VLOOKUP(--LEFT(TRIM(MID(SUBSTITUTE(F264,";",REPT(" ",99)),1,99)),FIND(":",TRIM(MID(SUBSTITUTE(F264,";",REPT(" ",99)),1,99)))-1),_Lookup!$A:$B,2,FALSE),"?")&amp;"×"&amp;MID(TRIM(MID(SUBSTITUTE(F264,";",REPT(" ",99)),1,99)),FIND(":",TRIM(MID(SUBSTITUTE(F264,";",REPT(" ",99)),1,99)))+1,99)),IF(TRIM(MID(SUBSTITUTE(F264,";",REPT(" ",99)),100,99))="","",IFERROR(VLOOKUP(--LEFT(TRIM(MID(SUBSTITUTE(F264,";",REPT(" ",99)),100,99)),FIND(":",TRIM(MID(SUBSTITUTE(F264,";",REPT(" ",99)),100,99)))-1),_Lookup!$A:$B,2,FALSE),"?")&amp;"×"&amp;MID(TRIM(MID(SUBSTITUTE(F264,";",REPT(" ",99)),100,99)),FIND(":",TRIM(MID(SUBSTITUTE(F264,";",REPT(" ",99)),100,99)))+1,99)),IF(TRIM(MID(SUBSTITUTE(F264,";",REPT(" ",99)),199,99))="","",IFERROR(VLOOKUP(--LEFT(TRIM(MID(SUBSTITUTE(F264,";",REPT(" ",99)),199,99)),FIND(":",TRIM(MID(SUBSTITUTE(F264,";",REPT(" ",99)),199,99)))-1),_Lookup!$A:$B,2,FALSE),"?")&amp;"×"&amp;MID(TRIM(MID(SUBSTITUTE(F264,";",REPT(" ",99)),199,99)),FIND(":",TRIM(MID(SUBSTITUTE(F264,";",REPT(" ",99)),199,99)))+1,99)),IF(TRIM(MID(SUBSTITUTE(F264,";",REPT(" ",99)),298,99))="","",IFERROR(VLOOKUP(--LEFT(TRIM(MID(SUBSTITUTE(F264,";",REPT(" ",99)),298,99)),FIND(":",TRIM(MID(SUBSTITUTE(F264,";",REPT(" ",99)),298,99)))-1),_Lookup!$A:$B,2,FALSE),"?")&amp;"×"&amp;MID(TRIM(MID(SUBSTITUTE(F264,";",REPT(" ",99)),298,99)),FIND(":",TRIM(MID(SUBSTITUTE(F264,";",REPT(" ",99)),298,99)))+1,99)),IF(TRIM(MID(SUBSTITUTE(F264,";",REPT(" ",99)),397,99))="","",IFERROR(VLOOKUP(--LEFT(TRIM(MID(SUBSTITUTE(F264,";",REPT(" ",99)),397,99)),FIND(":",TRIM(MID(SUBSTITUTE(F264,";",REPT(" ",99)),397,99)))-1),_Lookup!$A:$B,2,FALSE),"?")&amp;"×"&amp;MID(TRIM(MID(SUBSTITUTE(F264,";",REPT(" ",99)),397,99)),FIND(":",TRIM(MID(SUBSTITUTE(F264,";",REPT(" ",99)),397,99)))+1,99))))</f>
        <v/>
      </c>
    </row>
    <row r="265">
      <c r="C265" s="11">
        <f>IFERROR(VLOOKUP(B265,StageData!$A:$B,2,FALSE),"")</f>
        <v/>
      </c>
      <c r="G265" s="11">
        <f>IF(F265="","",TEXTJOIN("; ",TRUE,IF(TRIM(MID(SUBSTITUTE(F265,";",REPT(" ",99)),1,99))="","",IFERROR(VLOOKUP(--LEFT(TRIM(MID(SUBSTITUTE(F265,";",REPT(" ",99)),1,99)),FIND(":",TRIM(MID(SUBSTITUTE(F265,";",REPT(" ",99)),1,99)))-1),_Lookup!$A:$B,2,FALSE),"?")&amp;"×"&amp;MID(TRIM(MID(SUBSTITUTE(F265,";",REPT(" ",99)),1,99)),FIND(":",TRIM(MID(SUBSTITUTE(F265,";",REPT(" ",99)),1,99)))+1,99)),IF(TRIM(MID(SUBSTITUTE(F265,";",REPT(" ",99)),100,99))="","",IFERROR(VLOOKUP(--LEFT(TRIM(MID(SUBSTITUTE(F265,";",REPT(" ",99)),100,99)),FIND(":",TRIM(MID(SUBSTITUTE(F265,";",REPT(" ",99)),100,99)))-1),_Lookup!$A:$B,2,FALSE),"?")&amp;"×"&amp;MID(TRIM(MID(SUBSTITUTE(F265,";",REPT(" ",99)),100,99)),FIND(":",TRIM(MID(SUBSTITUTE(F265,";",REPT(" ",99)),100,99)))+1,99)),IF(TRIM(MID(SUBSTITUTE(F265,";",REPT(" ",99)),199,99))="","",IFERROR(VLOOKUP(--LEFT(TRIM(MID(SUBSTITUTE(F265,";",REPT(" ",99)),199,99)),FIND(":",TRIM(MID(SUBSTITUTE(F265,";",REPT(" ",99)),199,99)))-1),_Lookup!$A:$B,2,FALSE),"?")&amp;"×"&amp;MID(TRIM(MID(SUBSTITUTE(F265,";",REPT(" ",99)),199,99)),FIND(":",TRIM(MID(SUBSTITUTE(F265,";",REPT(" ",99)),199,99)))+1,99)),IF(TRIM(MID(SUBSTITUTE(F265,";",REPT(" ",99)),298,99))="","",IFERROR(VLOOKUP(--LEFT(TRIM(MID(SUBSTITUTE(F265,";",REPT(" ",99)),298,99)),FIND(":",TRIM(MID(SUBSTITUTE(F265,";",REPT(" ",99)),298,99)))-1),_Lookup!$A:$B,2,FALSE),"?")&amp;"×"&amp;MID(TRIM(MID(SUBSTITUTE(F265,";",REPT(" ",99)),298,99)),FIND(":",TRIM(MID(SUBSTITUTE(F265,";",REPT(" ",99)),298,99)))+1,99)),IF(TRIM(MID(SUBSTITUTE(F265,";",REPT(" ",99)),397,99))="","",IFERROR(VLOOKUP(--LEFT(TRIM(MID(SUBSTITUTE(F265,";",REPT(" ",99)),397,99)),FIND(":",TRIM(MID(SUBSTITUTE(F265,";",REPT(" ",99)),397,99)))-1),_Lookup!$A:$B,2,FALSE),"?")&amp;"×"&amp;MID(TRIM(MID(SUBSTITUTE(F265,";",REPT(" ",99)),397,99)),FIND(":",TRIM(MID(SUBSTITUTE(F265,";",REPT(" ",99)),397,99)))+1,99))))</f>
        <v/>
      </c>
    </row>
    <row r="266">
      <c r="C266" s="11">
        <f>IFERROR(VLOOKUP(B266,StageData!$A:$B,2,FALSE),"")</f>
        <v/>
      </c>
      <c r="G266" s="11">
        <f>IF(F266="","",TEXTJOIN("; ",TRUE,IF(TRIM(MID(SUBSTITUTE(F266,";",REPT(" ",99)),1,99))="","",IFERROR(VLOOKUP(--LEFT(TRIM(MID(SUBSTITUTE(F266,";",REPT(" ",99)),1,99)),FIND(":",TRIM(MID(SUBSTITUTE(F266,";",REPT(" ",99)),1,99)))-1),_Lookup!$A:$B,2,FALSE),"?")&amp;"×"&amp;MID(TRIM(MID(SUBSTITUTE(F266,";",REPT(" ",99)),1,99)),FIND(":",TRIM(MID(SUBSTITUTE(F266,";",REPT(" ",99)),1,99)))+1,99)),IF(TRIM(MID(SUBSTITUTE(F266,";",REPT(" ",99)),100,99))="","",IFERROR(VLOOKUP(--LEFT(TRIM(MID(SUBSTITUTE(F266,";",REPT(" ",99)),100,99)),FIND(":",TRIM(MID(SUBSTITUTE(F266,";",REPT(" ",99)),100,99)))-1),_Lookup!$A:$B,2,FALSE),"?")&amp;"×"&amp;MID(TRIM(MID(SUBSTITUTE(F266,";",REPT(" ",99)),100,99)),FIND(":",TRIM(MID(SUBSTITUTE(F266,";",REPT(" ",99)),100,99)))+1,99)),IF(TRIM(MID(SUBSTITUTE(F266,";",REPT(" ",99)),199,99))="","",IFERROR(VLOOKUP(--LEFT(TRIM(MID(SUBSTITUTE(F266,";",REPT(" ",99)),199,99)),FIND(":",TRIM(MID(SUBSTITUTE(F266,";",REPT(" ",99)),199,99)))-1),_Lookup!$A:$B,2,FALSE),"?")&amp;"×"&amp;MID(TRIM(MID(SUBSTITUTE(F266,";",REPT(" ",99)),199,99)),FIND(":",TRIM(MID(SUBSTITUTE(F266,";",REPT(" ",99)),199,99)))+1,99)),IF(TRIM(MID(SUBSTITUTE(F266,";",REPT(" ",99)),298,99))="","",IFERROR(VLOOKUP(--LEFT(TRIM(MID(SUBSTITUTE(F266,";",REPT(" ",99)),298,99)),FIND(":",TRIM(MID(SUBSTITUTE(F266,";",REPT(" ",99)),298,99)))-1),_Lookup!$A:$B,2,FALSE),"?")&amp;"×"&amp;MID(TRIM(MID(SUBSTITUTE(F266,";",REPT(" ",99)),298,99)),FIND(":",TRIM(MID(SUBSTITUTE(F266,";",REPT(" ",99)),298,99)))+1,99)),IF(TRIM(MID(SUBSTITUTE(F266,";",REPT(" ",99)),397,99))="","",IFERROR(VLOOKUP(--LEFT(TRIM(MID(SUBSTITUTE(F266,";",REPT(" ",99)),397,99)),FIND(":",TRIM(MID(SUBSTITUTE(F266,";",REPT(" ",99)),397,99)))-1),_Lookup!$A:$B,2,FALSE),"?")&amp;"×"&amp;MID(TRIM(MID(SUBSTITUTE(F266,";",REPT(" ",99)),397,99)),FIND(":",TRIM(MID(SUBSTITUTE(F266,";",REPT(" ",99)),397,99)))+1,99))))</f>
        <v/>
      </c>
    </row>
    <row r="267">
      <c r="C267" s="11">
        <f>IFERROR(VLOOKUP(B267,StageData!$A:$B,2,FALSE),"")</f>
        <v/>
      </c>
      <c r="G267" s="11">
        <f>IF(F267="","",TEXTJOIN("; ",TRUE,IF(TRIM(MID(SUBSTITUTE(F267,";",REPT(" ",99)),1,99))="","",IFERROR(VLOOKUP(--LEFT(TRIM(MID(SUBSTITUTE(F267,";",REPT(" ",99)),1,99)),FIND(":",TRIM(MID(SUBSTITUTE(F267,";",REPT(" ",99)),1,99)))-1),_Lookup!$A:$B,2,FALSE),"?")&amp;"×"&amp;MID(TRIM(MID(SUBSTITUTE(F267,";",REPT(" ",99)),1,99)),FIND(":",TRIM(MID(SUBSTITUTE(F267,";",REPT(" ",99)),1,99)))+1,99)),IF(TRIM(MID(SUBSTITUTE(F267,";",REPT(" ",99)),100,99))="","",IFERROR(VLOOKUP(--LEFT(TRIM(MID(SUBSTITUTE(F267,";",REPT(" ",99)),100,99)),FIND(":",TRIM(MID(SUBSTITUTE(F267,";",REPT(" ",99)),100,99)))-1),_Lookup!$A:$B,2,FALSE),"?")&amp;"×"&amp;MID(TRIM(MID(SUBSTITUTE(F267,";",REPT(" ",99)),100,99)),FIND(":",TRIM(MID(SUBSTITUTE(F267,";",REPT(" ",99)),100,99)))+1,99)),IF(TRIM(MID(SUBSTITUTE(F267,";",REPT(" ",99)),199,99))="","",IFERROR(VLOOKUP(--LEFT(TRIM(MID(SUBSTITUTE(F267,";",REPT(" ",99)),199,99)),FIND(":",TRIM(MID(SUBSTITUTE(F267,";",REPT(" ",99)),199,99)))-1),_Lookup!$A:$B,2,FALSE),"?")&amp;"×"&amp;MID(TRIM(MID(SUBSTITUTE(F267,";",REPT(" ",99)),199,99)),FIND(":",TRIM(MID(SUBSTITUTE(F267,";",REPT(" ",99)),199,99)))+1,99)),IF(TRIM(MID(SUBSTITUTE(F267,";",REPT(" ",99)),298,99))="","",IFERROR(VLOOKUP(--LEFT(TRIM(MID(SUBSTITUTE(F267,";",REPT(" ",99)),298,99)),FIND(":",TRIM(MID(SUBSTITUTE(F267,";",REPT(" ",99)),298,99)))-1),_Lookup!$A:$B,2,FALSE),"?")&amp;"×"&amp;MID(TRIM(MID(SUBSTITUTE(F267,";",REPT(" ",99)),298,99)),FIND(":",TRIM(MID(SUBSTITUTE(F267,";",REPT(" ",99)),298,99)))+1,99)),IF(TRIM(MID(SUBSTITUTE(F267,";",REPT(" ",99)),397,99))="","",IFERROR(VLOOKUP(--LEFT(TRIM(MID(SUBSTITUTE(F267,";",REPT(" ",99)),397,99)),FIND(":",TRIM(MID(SUBSTITUTE(F267,";",REPT(" ",99)),397,99)))-1),_Lookup!$A:$B,2,FALSE),"?")&amp;"×"&amp;MID(TRIM(MID(SUBSTITUTE(F267,";",REPT(" ",99)),397,99)),FIND(":",TRIM(MID(SUBSTITUTE(F267,";",REPT(" ",99)),397,99)))+1,99))))</f>
        <v/>
      </c>
    </row>
    <row r="268">
      <c r="C268" s="11">
        <f>IFERROR(VLOOKUP(B268,StageData!$A:$B,2,FALSE),"")</f>
        <v/>
      </c>
      <c r="G268" s="11">
        <f>IF(F268="","",TEXTJOIN("; ",TRUE,IF(TRIM(MID(SUBSTITUTE(F268,";",REPT(" ",99)),1,99))="","",IFERROR(VLOOKUP(--LEFT(TRIM(MID(SUBSTITUTE(F268,";",REPT(" ",99)),1,99)),FIND(":",TRIM(MID(SUBSTITUTE(F268,";",REPT(" ",99)),1,99)))-1),_Lookup!$A:$B,2,FALSE),"?")&amp;"×"&amp;MID(TRIM(MID(SUBSTITUTE(F268,";",REPT(" ",99)),1,99)),FIND(":",TRIM(MID(SUBSTITUTE(F268,";",REPT(" ",99)),1,99)))+1,99)),IF(TRIM(MID(SUBSTITUTE(F268,";",REPT(" ",99)),100,99))="","",IFERROR(VLOOKUP(--LEFT(TRIM(MID(SUBSTITUTE(F268,";",REPT(" ",99)),100,99)),FIND(":",TRIM(MID(SUBSTITUTE(F268,";",REPT(" ",99)),100,99)))-1),_Lookup!$A:$B,2,FALSE),"?")&amp;"×"&amp;MID(TRIM(MID(SUBSTITUTE(F268,";",REPT(" ",99)),100,99)),FIND(":",TRIM(MID(SUBSTITUTE(F268,";",REPT(" ",99)),100,99)))+1,99)),IF(TRIM(MID(SUBSTITUTE(F268,";",REPT(" ",99)),199,99))="","",IFERROR(VLOOKUP(--LEFT(TRIM(MID(SUBSTITUTE(F268,";",REPT(" ",99)),199,99)),FIND(":",TRIM(MID(SUBSTITUTE(F268,";",REPT(" ",99)),199,99)))-1),_Lookup!$A:$B,2,FALSE),"?")&amp;"×"&amp;MID(TRIM(MID(SUBSTITUTE(F268,";",REPT(" ",99)),199,99)),FIND(":",TRIM(MID(SUBSTITUTE(F268,";",REPT(" ",99)),199,99)))+1,99)),IF(TRIM(MID(SUBSTITUTE(F268,";",REPT(" ",99)),298,99))="","",IFERROR(VLOOKUP(--LEFT(TRIM(MID(SUBSTITUTE(F268,";",REPT(" ",99)),298,99)),FIND(":",TRIM(MID(SUBSTITUTE(F268,";",REPT(" ",99)),298,99)))-1),_Lookup!$A:$B,2,FALSE),"?")&amp;"×"&amp;MID(TRIM(MID(SUBSTITUTE(F268,";",REPT(" ",99)),298,99)),FIND(":",TRIM(MID(SUBSTITUTE(F268,";",REPT(" ",99)),298,99)))+1,99)),IF(TRIM(MID(SUBSTITUTE(F268,";",REPT(" ",99)),397,99))="","",IFERROR(VLOOKUP(--LEFT(TRIM(MID(SUBSTITUTE(F268,";",REPT(" ",99)),397,99)),FIND(":",TRIM(MID(SUBSTITUTE(F268,";",REPT(" ",99)),397,99)))-1),_Lookup!$A:$B,2,FALSE),"?")&amp;"×"&amp;MID(TRIM(MID(SUBSTITUTE(F268,";",REPT(" ",99)),397,99)),FIND(":",TRIM(MID(SUBSTITUTE(F268,";",REPT(" ",99)),397,99)))+1,99))))</f>
        <v/>
      </c>
    </row>
    <row r="269">
      <c r="C269" s="11">
        <f>IFERROR(VLOOKUP(B269,StageData!$A:$B,2,FALSE),"")</f>
        <v/>
      </c>
      <c r="G269" s="11">
        <f>IF(F269="","",TEXTJOIN("; ",TRUE,IF(TRIM(MID(SUBSTITUTE(F269,";",REPT(" ",99)),1,99))="","",IFERROR(VLOOKUP(--LEFT(TRIM(MID(SUBSTITUTE(F269,";",REPT(" ",99)),1,99)),FIND(":",TRIM(MID(SUBSTITUTE(F269,";",REPT(" ",99)),1,99)))-1),_Lookup!$A:$B,2,FALSE),"?")&amp;"×"&amp;MID(TRIM(MID(SUBSTITUTE(F269,";",REPT(" ",99)),1,99)),FIND(":",TRIM(MID(SUBSTITUTE(F269,";",REPT(" ",99)),1,99)))+1,99)),IF(TRIM(MID(SUBSTITUTE(F269,";",REPT(" ",99)),100,99))="","",IFERROR(VLOOKUP(--LEFT(TRIM(MID(SUBSTITUTE(F269,";",REPT(" ",99)),100,99)),FIND(":",TRIM(MID(SUBSTITUTE(F269,";",REPT(" ",99)),100,99)))-1),_Lookup!$A:$B,2,FALSE),"?")&amp;"×"&amp;MID(TRIM(MID(SUBSTITUTE(F269,";",REPT(" ",99)),100,99)),FIND(":",TRIM(MID(SUBSTITUTE(F269,";",REPT(" ",99)),100,99)))+1,99)),IF(TRIM(MID(SUBSTITUTE(F269,";",REPT(" ",99)),199,99))="","",IFERROR(VLOOKUP(--LEFT(TRIM(MID(SUBSTITUTE(F269,";",REPT(" ",99)),199,99)),FIND(":",TRIM(MID(SUBSTITUTE(F269,";",REPT(" ",99)),199,99)))-1),_Lookup!$A:$B,2,FALSE),"?")&amp;"×"&amp;MID(TRIM(MID(SUBSTITUTE(F269,";",REPT(" ",99)),199,99)),FIND(":",TRIM(MID(SUBSTITUTE(F269,";",REPT(" ",99)),199,99)))+1,99)),IF(TRIM(MID(SUBSTITUTE(F269,";",REPT(" ",99)),298,99))="","",IFERROR(VLOOKUP(--LEFT(TRIM(MID(SUBSTITUTE(F269,";",REPT(" ",99)),298,99)),FIND(":",TRIM(MID(SUBSTITUTE(F269,";",REPT(" ",99)),298,99)))-1),_Lookup!$A:$B,2,FALSE),"?")&amp;"×"&amp;MID(TRIM(MID(SUBSTITUTE(F269,";",REPT(" ",99)),298,99)),FIND(":",TRIM(MID(SUBSTITUTE(F269,";",REPT(" ",99)),298,99)))+1,99)),IF(TRIM(MID(SUBSTITUTE(F269,";",REPT(" ",99)),397,99))="","",IFERROR(VLOOKUP(--LEFT(TRIM(MID(SUBSTITUTE(F269,";",REPT(" ",99)),397,99)),FIND(":",TRIM(MID(SUBSTITUTE(F269,";",REPT(" ",99)),397,99)))-1),_Lookup!$A:$B,2,FALSE),"?")&amp;"×"&amp;MID(TRIM(MID(SUBSTITUTE(F269,";",REPT(" ",99)),397,99)),FIND(":",TRIM(MID(SUBSTITUTE(F269,";",REPT(" ",99)),397,99)))+1,99))))</f>
        <v/>
      </c>
    </row>
    <row r="270">
      <c r="C270" s="11">
        <f>IFERROR(VLOOKUP(B270,StageData!$A:$B,2,FALSE),"")</f>
        <v/>
      </c>
      <c r="G270" s="11">
        <f>IF(F270="","",TEXTJOIN("; ",TRUE,IF(TRIM(MID(SUBSTITUTE(F270,";",REPT(" ",99)),1,99))="","",IFERROR(VLOOKUP(--LEFT(TRIM(MID(SUBSTITUTE(F270,";",REPT(" ",99)),1,99)),FIND(":",TRIM(MID(SUBSTITUTE(F270,";",REPT(" ",99)),1,99)))-1),_Lookup!$A:$B,2,FALSE),"?")&amp;"×"&amp;MID(TRIM(MID(SUBSTITUTE(F270,";",REPT(" ",99)),1,99)),FIND(":",TRIM(MID(SUBSTITUTE(F270,";",REPT(" ",99)),1,99)))+1,99)),IF(TRIM(MID(SUBSTITUTE(F270,";",REPT(" ",99)),100,99))="","",IFERROR(VLOOKUP(--LEFT(TRIM(MID(SUBSTITUTE(F270,";",REPT(" ",99)),100,99)),FIND(":",TRIM(MID(SUBSTITUTE(F270,";",REPT(" ",99)),100,99)))-1),_Lookup!$A:$B,2,FALSE),"?")&amp;"×"&amp;MID(TRIM(MID(SUBSTITUTE(F270,";",REPT(" ",99)),100,99)),FIND(":",TRIM(MID(SUBSTITUTE(F270,";",REPT(" ",99)),100,99)))+1,99)),IF(TRIM(MID(SUBSTITUTE(F270,";",REPT(" ",99)),199,99))="","",IFERROR(VLOOKUP(--LEFT(TRIM(MID(SUBSTITUTE(F270,";",REPT(" ",99)),199,99)),FIND(":",TRIM(MID(SUBSTITUTE(F270,";",REPT(" ",99)),199,99)))-1),_Lookup!$A:$B,2,FALSE),"?")&amp;"×"&amp;MID(TRIM(MID(SUBSTITUTE(F270,";",REPT(" ",99)),199,99)),FIND(":",TRIM(MID(SUBSTITUTE(F270,";",REPT(" ",99)),199,99)))+1,99)),IF(TRIM(MID(SUBSTITUTE(F270,";",REPT(" ",99)),298,99))="","",IFERROR(VLOOKUP(--LEFT(TRIM(MID(SUBSTITUTE(F270,";",REPT(" ",99)),298,99)),FIND(":",TRIM(MID(SUBSTITUTE(F270,";",REPT(" ",99)),298,99)))-1),_Lookup!$A:$B,2,FALSE),"?")&amp;"×"&amp;MID(TRIM(MID(SUBSTITUTE(F270,";",REPT(" ",99)),298,99)),FIND(":",TRIM(MID(SUBSTITUTE(F270,";",REPT(" ",99)),298,99)))+1,99)),IF(TRIM(MID(SUBSTITUTE(F270,";",REPT(" ",99)),397,99))="","",IFERROR(VLOOKUP(--LEFT(TRIM(MID(SUBSTITUTE(F270,";",REPT(" ",99)),397,99)),FIND(":",TRIM(MID(SUBSTITUTE(F270,";",REPT(" ",99)),397,99)))-1),_Lookup!$A:$B,2,FALSE),"?")&amp;"×"&amp;MID(TRIM(MID(SUBSTITUTE(F270,";",REPT(" ",99)),397,99)),FIND(":",TRIM(MID(SUBSTITUTE(F270,";",REPT(" ",99)),397,99)))+1,99))))</f>
        <v/>
      </c>
    </row>
    <row r="271">
      <c r="C271" s="11">
        <f>IFERROR(VLOOKUP(B271,StageData!$A:$B,2,FALSE),"")</f>
        <v/>
      </c>
      <c r="G271" s="11">
        <f>IF(F271="","",TEXTJOIN("; ",TRUE,IF(TRIM(MID(SUBSTITUTE(F271,";",REPT(" ",99)),1,99))="","",IFERROR(VLOOKUP(--LEFT(TRIM(MID(SUBSTITUTE(F271,";",REPT(" ",99)),1,99)),FIND(":",TRIM(MID(SUBSTITUTE(F271,";",REPT(" ",99)),1,99)))-1),_Lookup!$A:$B,2,FALSE),"?")&amp;"×"&amp;MID(TRIM(MID(SUBSTITUTE(F271,";",REPT(" ",99)),1,99)),FIND(":",TRIM(MID(SUBSTITUTE(F271,";",REPT(" ",99)),1,99)))+1,99)),IF(TRIM(MID(SUBSTITUTE(F271,";",REPT(" ",99)),100,99))="","",IFERROR(VLOOKUP(--LEFT(TRIM(MID(SUBSTITUTE(F271,";",REPT(" ",99)),100,99)),FIND(":",TRIM(MID(SUBSTITUTE(F271,";",REPT(" ",99)),100,99)))-1),_Lookup!$A:$B,2,FALSE),"?")&amp;"×"&amp;MID(TRIM(MID(SUBSTITUTE(F271,";",REPT(" ",99)),100,99)),FIND(":",TRIM(MID(SUBSTITUTE(F271,";",REPT(" ",99)),100,99)))+1,99)),IF(TRIM(MID(SUBSTITUTE(F271,";",REPT(" ",99)),199,99))="","",IFERROR(VLOOKUP(--LEFT(TRIM(MID(SUBSTITUTE(F271,";",REPT(" ",99)),199,99)),FIND(":",TRIM(MID(SUBSTITUTE(F271,";",REPT(" ",99)),199,99)))-1),_Lookup!$A:$B,2,FALSE),"?")&amp;"×"&amp;MID(TRIM(MID(SUBSTITUTE(F271,";",REPT(" ",99)),199,99)),FIND(":",TRIM(MID(SUBSTITUTE(F271,";",REPT(" ",99)),199,99)))+1,99)),IF(TRIM(MID(SUBSTITUTE(F271,";",REPT(" ",99)),298,99))="","",IFERROR(VLOOKUP(--LEFT(TRIM(MID(SUBSTITUTE(F271,";",REPT(" ",99)),298,99)),FIND(":",TRIM(MID(SUBSTITUTE(F271,";",REPT(" ",99)),298,99)))-1),_Lookup!$A:$B,2,FALSE),"?")&amp;"×"&amp;MID(TRIM(MID(SUBSTITUTE(F271,";",REPT(" ",99)),298,99)),FIND(":",TRIM(MID(SUBSTITUTE(F271,";",REPT(" ",99)),298,99)))+1,99)),IF(TRIM(MID(SUBSTITUTE(F271,";",REPT(" ",99)),397,99))="","",IFERROR(VLOOKUP(--LEFT(TRIM(MID(SUBSTITUTE(F271,";",REPT(" ",99)),397,99)),FIND(":",TRIM(MID(SUBSTITUTE(F271,";",REPT(" ",99)),397,99)))-1),_Lookup!$A:$B,2,FALSE),"?")&amp;"×"&amp;MID(TRIM(MID(SUBSTITUTE(F271,";",REPT(" ",99)),397,99)),FIND(":",TRIM(MID(SUBSTITUTE(F271,";",REPT(" ",99)),397,99)))+1,99))))</f>
        <v/>
      </c>
    </row>
    <row r="272">
      <c r="C272" s="11">
        <f>IFERROR(VLOOKUP(B272,StageData!$A:$B,2,FALSE),"")</f>
        <v/>
      </c>
      <c r="G272" s="11">
        <f>IF(F272="","",TEXTJOIN("; ",TRUE,IF(TRIM(MID(SUBSTITUTE(F272,";",REPT(" ",99)),1,99))="","",IFERROR(VLOOKUP(--LEFT(TRIM(MID(SUBSTITUTE(F272,";",REPT(" ",99)),1,99)),FIND(":",TRIM(MID(SUBSTITUTE(F272,";",REPT(" ",99)),1,99)))-1),_Lookup!$A:$B,2,FALSE),"?")&amp;"×"&amp;MID(TRIM(MID(SUBSTITUTE(F272,";",REPT(" ",99)),1,99)),FIND(":",TRIM(MID(SUBSTITUTE(F272,";",REPT(" ",99)),1,99)))+1,99)),IF(TRIM(MID(SUBSTITUTE(F272,";",REPT(" ",99)),100,99))="","",IFERROR(VLOOKUP(--LEFT(TRIM(MID(SUBSTITUTE(F272,";",REPT(" ",99)),100,99)),FIND(":",TRIM(MID(SUBSTITUTE(F272,";",REPT(" ",99)),100,99)))-1),_Lookup!$A:$B,2,FALSE),"?")&amp;"×"&amp;MID(TRIM(MID(SUBSTITUTE(F272,";",REPT(" ",99)),100,99)),FIND(":",TRIM(MID(SUBSTITUTE(F272,";",REPT(" ",99)),100,99)))+1,99)),IF(TRIM(MID(SUBSTITUTE(F272,";",REPT(" ",99)),199,99))="","",IFERROR(VLOOKUP(--LEFT(TRIM(MID(SUBSTITUTE(F272,";",REPT(" ",99)),199,99)),FIND(":",TRIM(MID(SUBSTITUTE(F272,";",REPT(" ",99)),199,99)))-1),_Lookup!$A:$B,2,FALSE),"?")&amp;"×"&amp;MID(TRIM(MID(SUBSTITUTE(F272,";",REPT(" ",99)),199,99)),FIND(":",TRIM(MID(SUBSTITUTE(F272,";",REPT(" ",99)),199,99)))+1,99)),IF(TRIM(MID(SUBSTITUTE(F272,";",REPT(" ",99)),298,99))="","",IFERROR(VLOOKUP(--LEFT(TRIM(MID(SUBSTITUTE(F272,";",REPT(" ",99)),298,99)),FIND(":",TRIM(MID(SUBSTITUTE(F272,";",REPT(" ",99)),298,99)))-1),_Lookup!$A:$B,2,FALSE),"?")&amp;"×"&amp;MID(TRIM(MID(SUBSTITUTE(F272,";",REPT(" ",99)),298,99)),FIND(":",TRIM(MID(SUBSTITUTE(F272,";",REPT(" ",99)),298,99)))+1,99)),IF(TRIM(MID(SUBSTITUTE(F272,";",REPT(" ",99)),397,99))="","",IFERROR(VLOOKUP(--LEFT(TRIM(MID(SUBSTITUTE(F272,";",REPT(" ",99)),397,99)),FIND(":",TRIM(MID(SUBSTITUTE(F272,";",REPT(" ",99)),397,99)))-1),_Lookup!$A:$B,2,FALSE),"?")&amp;"×"&amp;MID(TRIM(MID(SUBSTITUTE(F272,";",REPT(" ",99)),397,99)),FIND(":",TRIM(MID(SUBSTITUTE(F272,";",REPT(" ",99)),397,99)))+1,99))))</f>
        <v/>
      </c>
    </row>
    <row r="273">
      <c r="C273" s="11">
        <f>IFERROR(VLOOKUP(B273,StageData!$A:$B,2,FALSE),"")</f>
        <v/>
      </c>
      <c r="G273" s="11">
        <f>IF(F273="","",TEXTJOIN("; ",TRUE,IF(TRIM(MID(SUBSTITUTE(F273,";",REPT(" ",99)),1,99))="","",IFERROR(VLOOKUP(--LEFT(TRIM(MID(SUBSTITUTE(F273,";",REPT(" ",99)),1,99)),FIND(":",TRIM(MID(SUBSTITUTE(F273,";",REPT(" ",99)),1,99)))-1),_Lookup!$A:$B,2,FALSE),"?")&amp;"×"&amp;MID(TRIM(MID(SUBSTITUTE(F273,";",REPT(" ",99)),1,99)),FIND(":",TRIM(MID(SUBSTITUTE(F273,";",REPT(" ",99)),1,99)))+1,99)),IF(TRIM(MID(SUBSTITUTE(F273,";",REPT(" ",99)),100,99))="","",IFERROR(VLOOKUP(--LEFT(TRIM(MID(SUBSTITUTE(F273,";",REPT(" ",99)),100,99)),FIND(":",TRIM(MID(SUBSTITUTE(F273,";",REPT(" ",99)),100,99)))-1),_Lookup!$A:$B,2,FALSE),"?")&amp;"×"&amp;MID(TRIM(MID(SUBSTITUTE(F273,";",REPT(" ",99)),100,99)),FIND(":",TRIM(MID(SUBSTITUTE(F273,";",REPT(" ",99)),100,99)))+1,99)),IF(TRIM(MID(SUBSTITUTE(F273,";",REPT(" ",99)),199,99))="","",IFERROR(VLOOKUP(--LEFT(TRIM(MID(SUBSTITUTE(F273,";",REPT(" ",99)),199,99)),FIND(":",TRIM(MID(SUBSTITUTE(F273,";",REPT(" ",99)),199,99)))-1),_Lookup!$A:$B,2,FALSE),"?")&amp;"×"&amp;MID(TRIM(MID(SUBSTITUTE(F273,";",REPT(" ",99)),199,99)),FIND(":",TRIM(MID(SUBSTITUTE(F273,";",REPT(" ",99)),199,99)))+1,99)),IF(TRIM(MID(SUBSTITUTE(F273,";",REPT(" ",99)),298,99))="","",IFERROR(VLOOKUP(--LEFT(TRIM(MID(SUBSTITUTE(F273,";",REPT(" ",99)),298,99)),FIND(":",TRIM(MID(SUBSTITUTE(F273,";",REPT(" ",99)),298,99)))-1),_Lookup!$A:$B,2,FALSE),"?")&amp;"×"&amp;MID(TRIM(MID(SUBSTITUTE(F273,";",REPT(" ",99)),298,99)),FIND(":",TRIM(MID(SUBSTITUTE(F273,";",REPT(" ",99)),298,99)))+1,99)),IF(TRIM(MID(SUBSTITUTE(F273,";",REPT(" ",99)),397,99))="","",IFERROR(VLOOKUP(--LEFT(TRIM(MID(SUBSTITUTE(F273,";",REPT(" ",99)),397,99)),FIND(":",TRIM(MID(SUBSTITUTE(F273,";",REPT(" ",99)),397,99)))-1),_Lookup!$A:$B,2,FALSE),"?")&amp;"×"&amp;MID(TRIM(MID(SUBSTITUTE(F273,";",REPT(" ",99)),397,99)),FIND(":",TRIM(MID(SUBSTITUTE(F273,";",REPT(" ",99)),397,99)))+1,99))))</f>
        <v/>
      </c>
    </row>
    <row r="274">
      <c r="C274" s="11">
        <f>IFERROR(VLOOKUP(B274,StageData!$A:$B,2,FALSE),"")</f>
        <v/>
      </c>
      <c r="G274" s="11">
        <f>IF(F274="","",TEXTJOIN("; ",TRUE,IF(TRIM(MID(SUBSTITUTE(F274,";",REPT(" ",99)),1,99))="","",IFERROR(VLOOKUP(--LEFT(TRIM(MID(SUBSTITUTE(F274,";",REPT(" ",99)),1,99)),FIND(":",TRIM(MID(SUBSTITUTE(F274,";",REPT(" ",99)),1,99)))-1),_Lookup!$A:$B,2,FALSE),"?")&amp;"×"&amp;MID(TRIM(MID(SUBSTITUTE(F274,";",REPT(" ",99)),1,99)),FIND(":",TRIM(MID(SUBSTITUTE(F274,";",REPT(" ",99)),1,99)))+1,99)),IF(TRIM(MID(SUBSTITUTE(F274,";",REPT(" ",99)),100,99))="","",IFERROR(VLOOKUP(--LEFT(TRIM(MID(SUBSTITUTE(F274,";",REPT(" ",99)),100,99)),FIND(":",TRIM(MID(SUBSTITUTE(F274,";",REPT(" ",99)),100,99)))-1),_Lookup!$A:$B,2,FALSE),"?")&amp;"×"&amp;MID(TRIM(MID(SUBSTITUTE(F274,";",REPT(" ",99)),100,99)),FIND(":",TRIM(MID(SUBSTITUTE(F274,";",REPT(" ",99)),100,99)))+1,99)),IF(TRIM(MID(SUBSTITUTE(F274,";",REPT(" ",99)),199,99))="","",IFERROR(VLOOKUP(--LEFT(TRIM(MID(SUBSTITUTE(F274,";",REPT(" ",99)),199,99)),FIND(":",TRIM(MID(SUBSTITUTE(F274,";",REPT(" ",99)),199,99)))-1),_Lookup!$A:$B,2,FALSE),"?")&amp;"×"&amp;MID(TRIM(MID(SUBSTITUTE(F274,";",REPT(" ",99)),199,99)),FIND(":",TRIM(MID(SUBSTITUTE(F274,";",REPT(" ",99)),199,99)))+1,99)),IF(TRIM(MID(SUBSTITUTE(F274,";",REPT(" ",99)),298,99))="","",IFERROR(VLOOKUP(--LEFT(TRIM(MID(SUBSTITUTE(F274,";",REPT(" ",99)),298,99)),FIND(":",TRIM(MID(SUBSTITUTE(F274,";",REPT(" ",99)),298,99)))-1),_Lookup!$A:$B,2,FALSE),"?")&amp;"×"&amp;MID(TRIM(MID(SUBSTITUTE(F274,";",REPT(" ",99)),298,99)),FIND(":",TRIM(MID(SUBSTITUTE(F274,";",REPT(" ",99)),298,99)))+1,99)),IF(TRIM(MID(SUBSTITUTE(F274,";",REPT(" ",99)),397,99))="","",IFERROR(VLOOKUP(--LEFT(TRIM(MID(SUBSTITUTE(F274,";",REPT(" ",99)),397,99)),FIND(":",TRIM(MID(SUBSTITUTE(F274,";",REPT(" ",99)),397,99)))-1),_Lookup!$A:$B,2,FALSE),"?")&amp;"×"&amp;MID(TRIM(MID(SUBSTITUTE(F274,";",REPT(" ",99)),397,99)),FIND(":",TRIM(MID(SUBSTITUTE(F274,";",REPT(" ",99)),397,99)))+1,99))))</f>
        <v/>
      </c>
    </row>
    <row r="275">
      <c r="C275" s="11">
        <f>IFERROR(VLOOKUP(B275,StageData!$A:$B,2,FALSE),"")</f>
        <v/>
      </c>
      <c r="G275" s="11">
        <f>IF(F275="","",TEXTJOIN("; ",TRUE,IF(TRIM(MID(SUBSTITUTE(F275,";",REPT(" ",99)),1,99))="","",IFERROR(VLOOKUP(--LEFT(TRIM(MID(SUBSTITUTE(F275,";",REPT(" ",99)),1,99)),FIND(":",TRIM(MID(SUBSTITUTE(F275,";",REPT(" ",99)),1,99)))-1),_Lookup!$A:$B,2,FALSE),"?")&amp;"×"&amp;MID(TRIM(MID(SUBSTITUTE(F275,";",REPT(" ",99)),1,99)),FIND(":",TRIM(MID(SUBSTITUTE(F275,";",REPT(" ",99)),1,99)))+1,99)),IF(TRIM(MID(SUBSTITUTE(F275,";",REPT(" ",99)),100,99))="","",IFERROR(VLOOKUP(--LEFT(TRIM(MID(SUBSTITUTE(F275,";",REPT(" ",99)),100,99)),FIND(":",TRIM(MID(SUBSTITUTE(F275,";",REPT(" ",99)),100,99)))-1),_Lookup!$A:$B,2,FALSE),"?")&amp;"×"&amp;MID(TRIM(MID(SUBSTITUTE(F275,";",REPT(" ",99)),100,99)),FIND(":",TRIM(MID(SUBSTITUTE(F275,";",REPT(" ",99)),100,99)))+1,99)),IF(TRIM(MID(SUBSTITUTE(F275,";",REPT(" ",99)),199,99))="","",IFERROR(VLOOKUP(--LEFT(TRIM(MID(SUBSTITUTE(F275,";",REPT(" ",99)),199,99)),FIND(":",TRIM(MID(SUBSTITUTE(F275,";",REPT(" ",99)),199,99)))-1),_Lookup!$A:$B,2,FALSE),"?")&amp;"×"&amp;MID(TRIM(MID(SUBSTITUTE(F275,";",REPT(" ",99)),199,99)),FIND(":",TRIM(MID(SUBSTITUTE(F275,";",REPT(" ",99)),199,99)))+1,99)),IF(TRIM(MID(SUBSTITUTE(F275,";",REPT(" ",99)),298,99))="","",IFERROR(VLOOKUP(--LEFT(TRIM(MID(SUBSTITUTE(F275,";",REPT(" ",99)),298,99)),FIND(":",TRIM(MID(SUBSTITUTE(F275,";",REPT(" ",99)),298,99)))-1),_Lookup!$A:$B,2,FALSE),"?")&amp;"×"&amp;MID(TRIM(MID(SUBSTITUTE(F275,";",REPT(" ",99)),298,99)),FIND(":",TRIM(MID(SUBSTITUTE(F275,";",REPT(" ",99)),298,99)))+1,99)),IF(TRIM(MID(SUBSTITUTE(F275,";",REPT(" ",99)),397,99))="","",IFERROR(VLOOKUP(--LEFT(TRIM(MID(SUBSTITUTE(F275,";",REPT(" ",99)),397,99)),FIND(":",TRIM(MID(SUBSTITUTE(F275,";",REPT(" ",99)),397,99)))-1),_Lookup!$A:$B,2,FALSE),"?")&amp;"×"&amp;MID(TRIM(MID(SUBSTITUTE(F275,";",REPT(" ",99)),397,99)),FIND(":",TRIM(MID(SUBSTITUTE(F275,";",REPT(" ",99)),397,99)))+1,99))))</f>
        <v/>
      </c>
    </row>
    <row r="276">
      <c r="C276" s="11">
        <f>IFERROR(VLOOKUP(B276,StageData!$A:$B,2,FALSE),"")</f>
        <v/>
      </c>
      <c r="G276" s="11">
        <f>IF(F276="","",TEXTJOIN("; ",TRUE,IF(TRIM(MID(SUBSTITUTE(F276,";",REPT(" ",99)),1,99))="","",IFERROR(VLOOKUP(--LEFT(TRIM(MID(SUBSTITUTE(F276,";",REPT(" ",99)),1,99)),FIND(":",TRIM(MID(SUBSTITUTE(F276,";",REPT(" ",99)),1,99)))-1),_Lookup!$A:$B,2,FALSE),"?")&amp;"×"&amp;MID(TRIM(MID(SUBSTITUTE(F276,";",REPT(" ",99)),1,99)),FIND(":",TRIM(MID(SUBSTITUTE(F276,";",REPT(" ",99)),1,99)))+1,99)),IF(TRIM(MID(SUBSTITUTE(F276,";",REPT(" ",99)),100,99))="","",IFERROR(VLOOKUP(--LEFT(TRIM(MID(SUBSTITUTE(F276,";",REPT(" ",99)),100,99)),FIND(":",TRIM(MID(SUBSTITUTE(F276,";",REPT(" ",99)),100,99)))-1),_Lookup!$A:$B,2,FALSE),"?")&amp;"×"&amp;MID(TRIM(MID(SUBSTITUTE(F276,";",REPT(" ",99)),100,99)),FIND(":",TRIM(MID(SUBSTITUTE(F276,";",REPT(" ",99)),100,99)))+1,99)),IF(TRIM(MID(SUBSTITUTE(F276,";",REPT(" ",99)),199,99))="","",IFERROR(VLOOKUP(--LEFT(TRIM(MID(SUBSTITUTE(F276,";",REPT(" ",99)),199,99)),FIND(":",TRIM(MID(SUBSTITUTE(F276,";",REPT(" ",99)),199,99)))-1),_Lookup!$A:$B,2,FALSE),"?")&amp;"×"&amp;MID(TRIM(MID(SUBSTITUTE(F276,";",REPT(" ",99)),199,99)),FIND(":",TRIM(MID(SUBSTITUTE(F276,";",REPT(" ",99)),199,99)))+1,99)),IF(TRIM(MID(SUBSTITUTE(F276,";",REPT(" ",99)),298,99))="","",IFERROR(VLOOKUP(--LEFT(TRIM(MID(SUBSTITUTE(F276,";",REPT(" ",99)),298,99)),FIND(":",TRIM(MID(SUBSTITUTE(F276,";",REPT(" ",99)),298,99)))-1),_Lookup!$A:$B,2,FALSE),"?")&amp;"×"&amp;MID(TRIM(MID(SUBSTITUTE(F276,";",REPT(" ",99)),298,99)),FIND(":",TRIM(MID(SUBSTITUTE(F276,";",REPT(" ",99)),298,99)))+1,99)),IF(TRIM(MID(SUBSTITUTE(F276,";",REPT(" ",99)),397,99))="","",IFERROR(VLOOKUP(--LEFT(TRIM(MID(SUBSTITUTE(F276,";",REPT(" ",99)),397,99)),FIND(":",TRIM(MID(SUBSTITUTE(F276,";",REPT(" ",99)),397,99)))-1),_Lookup!$A:$B,2,FALSE),"?")&amp;"×"&amp;MID(TRIM(MID(SUBSTITUTE(F276,";",REPT(" ",99)),397,99)),FIND(":",TRIM(MID(SUBSTITUTE(F276,";",REPT(" ",99)),397,99)))+1,99))))</f>
        <v/>
      </c>
    </row>
    <row r="277">
      <c r="C277" s="11">
        <f>IFERROR(VLOOKUP(B277,StageData!$A:$B,2,FALSE),"")</f>
        <v/>
      </c>
      <c r="G277" s="11">
        <f>IF(F277="","",TEXTJOIN("; ",TRUE,IF(TRIM(MID(SUBSTITUTE(F277,";",REPT(" ",99)),1,99))="","",IFERROR(VLOOKUP(--LEFT(TRIM(MID(SUBSTITUTE(F277,";",REPT(" ",99)),1,99)),FIND(":",TRIM(MID(SUBSTITUTE(F277,";",REPT(" ",99)),1,99)))-1),_Lookup!$A:$B,2,FALSE),"?")&amp;"×"&amp;MID(TRIM(MID(SUBSTITUTE(F277,";",REPT(" ",99)),1,99)),FIND(":",TRIM(MID(SUBSTITUTE(F277,";",REPT(" ",99)),1,99)))+1,99)),IF(TRIM(MID(SUBSTITUTE(F277,";",REPT(" ",99)),100,99))="","",IFERROR(VLOOKUP(--LEFT(TRIM(MID(SUBSTITUTE(F277,";",REPT(" ",99)),100,99)),FIND(":",TRIM(MID(SUBSTITUTE(F277,";",REPT(" ",99)),100,99)))-1),_Lookup!$A:$B,2,FALSE),"?")&amp;"×"&amp;MID(TRIM(MID(SUBSTITUTE(F277,";",REPT(" ",99)),100,99)),FIND(":",TRIM(MID(SUBSTITUTE(F277,";",REPT(" ",99)),100,99)))+1,99)),IF(TRIM(MID(SUBSTITUTE(F277,";",REPT(" ",99)),199,99))="","",IFERROR(VLOOKUP(--LEFT(TRIM(MID(SUBSTITUTE(F277,";",REPT(" ",99)),199,99)),FIND(":",TRIM(MID(SUBSTITUTE(F277,";",REPT(" ",99)),199,99)))-1),_Lookup!$A:$B,2,FALSE),"?")&amp;"×"&amp;MID(TRIM(MID(SUBSTITUTE(F277,";",REPT(" ",99)),199,99)),FIND(":",TRIM(MID(SUBSTITUTE(F277,";",REPT(" ",99)),199,99)))+1,99)),IF(TRIM(MID(SUBSTITUTE(F277,";",REPT(" ",99)),298,99))="","",IFERROR(VLOOKUP(--LEFT(TRIM(MID(SUBSTITUTE(F277,";",REPT(" ",99)),298,99)),FIND(":",TRIM(MID(SUBSTITUTE(F277,";",REPT(" ",99)),298,99)))-1),_Lookup!$A:$B,2,FALSE),"?")&amp;"×"&amp;MID(TRIM(MID(SUBSTITUTE(F277,";",REPT(" ",99)),298,99)),FIND(":",TRIM(MID(SUBSTITUTE(F277,";",REPT(" ",99)),298,99)))+1,99)),IF(TRIM(MID(SUBSTITUTE(F277,";",REPT(" ",99)),397,99))="","",IFERROR(VLOOKUP(--LEFT(TRIM(MID(SUBSTITUTE(F277,";",REPT(" ",99)),397,99)),FIND(":",TRIM(MID(SUBSTITUTE(F277,";",REPT(" ",99)),397,99)))-1),_Lookup!$A:$B,2,FALSE),"?")&amp;"×"&amp;MID(TRIM(MID(SUBSTITUTE(F277,";",REPT(" ",99)),397,99)),FIND(":",TRIM(MID(SUBSTITUTE(F277,";",REPT(" ",99)),397,99)))+1,99))))</f>
        <v/>
      </c>
    </row>
    <row r="278">
      <c r="C278" s="11">
        <f>IFERROR(VLOOKUP(B278,StageData!$A:$B,2,FALSE),"")</f>
        <v/>
      </c>
      <c r="G278" s="11">
        <f>IF(F278="","",TEXTJOIN("; ",TRUE,IF(TRIM(MID(SUBSTITUTE(F278,";",REPT(" ",99)),1,99))="","",IFERROR(VLOOKUP(--LEFT(TRIM(MID(SUBSTITUTE(F278,";",REPT(" ",99)),1,99)),FIND(":",TRIM(MID(SUBSTITUTE(F278,";",REPT(" ",99)),1,99)))-1),_Lookup!$A:$B,2,FALSE),"?")&amp;"×"&amp;MID(TRIM(MID(SUBSTITUTE(F278,";",REPT(" ",99)),1,99)),FIND(":",TRIM(MID(SUBSTITUTE(F278,";",REPT(" ",99)),1,99)))+1,99)),IF(TRIM(MID(SUBSTITUTE(F278,";",REPT(" ",99)),100,99))="","",IFERROR(VLOOKUP(--LEFT(TRIM(MID(SUBSTITUTE(F278,";",REPT(" ",99)),100,99)),FIND(":",TRIM(MID(SUBSTITUTE(F278,";",REPT(" ",99)),100,99)))-1),_Lookup!$A:$B,2,FALSE),"?")&amp;"×"&amp;MID(TRIM(MID(SUBSTITUTE(F278,";",REPT(" ",99)),100,99)),FIND(":",TRIM(MID(SUBSTITUTE(F278,";",REPT(" ",99)),100,99)))+1,99)),IF(TRIM(MID(SUBSTITUTE(F278,";",REPT(" ",99)),199,99))="","",IFERROR(VLOOKUP(--LEFT(TRIM(MID(SUBSTITUTE(F278,";",REPT(" ",99)),199,99)),FIND(":",TRIM(MID(SUBSTITUTE(F278,";",REPT(" ",99)),199,99)))-1),_Lookup!$A:$B,2,FALSE),"?")&amp;"×"&amp;MID(TRIM(MID(SUBSTITUTE(F278,";",REPT(" ",99)),199,99)),FIND(":",TRIM(MID(SUBSTITUTE(F278,";",REPT(" ",99)),199,99)))+1,99)),IF(TRIM(MID(SUBSTITUTE(F278,";",REPT(" ",99)),298,99))="","",IFERROR(VLOOKUP(--LEFT(TRIM(MID(SUBSTITUTE(F278,";",REPT(" ",99)),298,99)),FIND(":",TRIM(MID(SUBSTITUTE(F278,";",REPT(" ",99)),298,99)))-1),_Lookup!$A:$B,2,FALSE),"?")&amp;"×"&amp;MID(TRIM(MID(SUBSTITUTE(F278,";",REPT(" ",99)),298,99)),FIND(":",TRIM(MID(SUBSTITUTE(F278,";",REPT(" ",99)),298,99)))+1,99)),IF(TRIM(MID(SUBSTITUTE(F278,";",REPT(" ",99)),397,99))="","",IFERROR(VLOOKUP(--LEFT(TRIM(MID(SUBSTITUTE(F278,";",REPT(" ",99)),397,99)),FIND(":",TRIM(MID(SUBSTITUTE(F278,";",REPT(" ",99)),397,99)))-1),_Lookup!$A:$B,2,FALSE),"?")&amp;"×"&amp;MID(TRIM(MID(SUBSTITUTE(F278,";",REPT(" ",99)),397,99)),FIND(":",TRIM(MID(SUBSTITUTE(F278,";",REPT(" ",99)),397,99)))+1,99))))</f>
        <v/>
      </c>
    </row>
    <row r="279">
      <c r="C279" s="11">
        <f>IFERROR(VLOOKUP(B279,StageData!$A:$B,2,FALSE),"")</f>
        <v/>
      </c>
      <c r="G279" s="11">
        <f>IF(F279="","",TEXTJOIN("; ",TRUE,IF(TRIM(MID(SUBSTITUTE(F279,";",REPT(" ",99)),1,99))="","",IFERROR(VLOOKUP(--LEFT(TRIM(MID(SUBSTITUTE(F279,";",REPT(" ",99)),1,99)),FIND(":",TRIM(MID(SUBSTITUTE(F279,";",REPT(" ",99)),1,99)))-1),_Lookup!$A:$B,2,FALSE),"?")&amp;"×"&amp;MID(TRIM(MID(SUBSTITUTE(F279,";",REPT(" ",99)),1,99)),FIND(":",TRIM(MID(SUBSTITUTE(F279,";",REPT(" ",99)),1,99)))+1,99)),IF(TRIM(MID(SUBSTITUTE(F279,";",REPT(" ",99)),100,99))="","",IFERROR(VLOOKUP(--LEFT(TRIM(MID(SUBSTITUTE(F279,";",REPT(" ",99)),100,99)),FIND(":",TRIM(MID(SUBSTITUTE(F279,";",REPT(" ",99)),100,99)))-1),_Lookup!$A:$B,2,FALSE),"?")&amp;"×"&amp;MID(TRIM(MID(SUBSTITUTE(F279,";",REPT(" ",99)),100,99)),FIND(":",TRIM(MID(SUBSTITUTE(F279,";",REPT(" ",99)),100,99)))+1,99)),IF(TRIM(MID(SUBSTITUTE(F279,";",REPT(" ",99)),199,99))="","",IFERROR(VLOOKUP(--LEFT(TRIM(MID(SUBSTITUTE(F279,";",REPT(" ",99)),199,99)),FIND(":",TRIM(MID(SUBSTITUTE(F279,";",REPT(" ",99)),199,99)))-1),_Lookup!$A:$B,2,FALSE),"?")&amp;"×"&amp;MID(TRIM(MID(SUBSTITUTE(F279,";",REPT(" ",99)),199,99)),FIND(":",TRIM(MID(SUBSTITUTE(F279,";",REPT(" ",99)),199,99)))+1,99)),IF(TRIM(MID(SUBSTITUTE(F279,";",REPT(" ",99)),298,99))="","",IFERROR(VLOOKUP(--LEFT(TRIM(MID(SUBSTITUTE(F279,";",REPT(" ",99)),298,99)),FIND(":",TRIM(MID(SUBSTITUTE(F279,";",REPT(" ",99)),298,99)))-1),_Lookup!$A:$B,2,FALSE),"?")&amp;"×"&amp;MID(TRIM(MID(SUBSTITUTE(F279,";",REPT(" ",99)),298,99)),FIND(":",TRIM(MID(SUBSTITUTE(F279,";",REPT(" ",99)),298,99)))+1,99)),IF(TRIM(MID(SUBSTITUTE(F279,";",REPT(" ",99)),397,99))="","",IFERROR(VLOOKUP(--LEFT(TRIM(MID(SUBSTITUTE(F279,";",REPT(" ",99)),397,99)),FIND(":",TRIM(MID(SUBSTITUTE(F279,";",REPT(" ",99)),397,99)))-1),_Lookup!$A:$B,2,FALSE),"?")&amp;"×"&amp;MID(TRIM(MID(SUBSTITUTE(F279,";",REPT(" ",99)),397,99)),FIND(":",TRIM(MID(SUBSTITUTE(F279,";",REPT(" ",99)),397,99)))+1,99))))</f>
        <v/>
      </c>
    </row>
    <row r="280">
      <c r="C280" s="11">
        <f>IFERROR(VLOOKUP(B280,StageData!$A:$B,2,FALSE),"")</f>
        <v/>
      </c>
      <c r="G280" s="11">
        <f>IF(F280="","",TEXTJOIN("; ",TRUE,IF(TRIM(MID(SUBSTITUTE(F280,";",REPT(" ",99)),1,99))="","",IFERROR(VLOOKUP(--LEFT(TRIM(MID(SUBSTITUTE(F280,";",REPT(" ",99)),1,99)),FIND(":",TRIM(MID(SUBSTITUTE(F280,";",REPT(" ",99)),1,99)))-1),_Lookup!$A:$B,2,FALSE),"?")&amp;"×"&amp;MID(TRIM(MID(SUBSTITUTE(F280,";",REPT(" ",99)),1,99)),FIND(":",TRIM(MID(SUBSTITUTE(F280,";",REPT(" ",99)),1,99)))+1,99)),IF(TRIM(MID(SUBSTITUTE(F280,";",REPT(" ",99)),100,99))="","",IFERROR(VLOOKUP(--LEFT(TRIM(MID(SUBSTITUTE(F280,";",REPT(" ",99)),100,99)),FIND(":",TRIM(MID(SUBSTITUTE(F280,";",REPT(" ",99)),100,99)))-1),_Lookup!$A:$B,2,FALSE),"?")&amp;"×"&amp;MID(TRIM(MID(SUBSTITUTE(F280,";",REPT(" ",99)),100,99)),FIND(":",TRIM(MID(SUBSTITUTE(F280,";",REPT(" ",99)),100,99)))+1,99)),IF(TRIM(MID(SUBSTITUTE(F280,";",REPT(" ",99)),199,99))="","",IFERROR(VLOOKUP(--LEFT(TRIM(MID(SUBSTITUTE(F280,";",REPT(" ",99)),199,99)),FIND(":",TRIM(MID(SUBSTITUTE(F280,";",REPT(" ",99)),199,99)))-1),_Lookup!$A:$B,2,FALSE),"?")&amp;"×"&amp;MID(TRIM(MID(SUBSTITUTE(F280,";",REPT(" ",99)),199,99)),FIND(":",TRIM(MID(SUBSTITUTE(F280,";",REPT(" ",99)),199,99)))+1,99)),IF(TRIM(MID(SUBSTITUTE(F280,";",REPT(" ",99)),298,99))="","",IFERROR(VLOOKUP(--LEFT(TRIM(MID(SUBSTITUTE(F280,";",REPT(" ",99)),298,99)),FIND(":",TRIM(MID(SUBSTITUTE(F280,";",REPT(" ",99)),298,99)))-1),_Lookup!$A:$B,2,FALSE),"?")&amp;"×"&amp;MID(TRIM(MID(SUBSTITUTE(F280,";",REPT(" ",99)),298,99)),FIND(":",TRIM(MID(SUBSTITUTE(F280,";",REPT(" ",99)),298,99)))+1,99)),IF(TRIM(MID(SUBSTITUTE(F280,";",REPT(" ",99)),397,99))="","",IFERROR(VLOOKUP(--LEFT(TRIM(MID(SUBSTITUTE(F280,";",REPT(" ",99)),397,99)),FIND(":",TRIM(MID(SUBSTITUTE(F280,";",REPT(" ",99)),397,99)))-1),_Lookup!$A:$B,2,FALSE),"?")&amp;"×"&amp;MID(TRIM(MID(SUBSTITUTE(F280,";",REPT(" ",99)),397,99)),FIND(":",TRIM(MID(SUBSTITUTE(F280,";",REPT(" ",99)),397,99)))+1,99))))</f>
        <v/>
      </c>
    </row>
    <row r="281">
      <c r="C281" s="11">
        <f>IFERROR(VLOOKUP(B281,StageData!$A:$B,2,FALSE),"")</f>
        <v/>
      </c>
      <c r="G281" s="11">
        <f>IF(F281="","",TEXTJOIN("; ",TRUE,IF(TRIM(MID(SUBSTITUTE(F281,";",REPT(" ",99)),1,99))="","",IFERROR(VLOOKUP(--LEFT(TRIM(MID(SUBSTITUTE(F281,";",REPT(" ",99)),1,99)),FIND(":",TRIM(MID(SUBSTITUTE(F281,";",REPT(" ",99)),1,99)))-1),_Lookup!$A:$B,2,FALSE),"?")&amp;"×"&amp;MID(TRIM(MID(SUBSTITUTE(F281,";",REPT(" ",99)),1,99)),FIND(":",TRIM(MID(SUBSTITUTE(F281,";",REPT(" ",99)),1,99)))+1,99)),IF(TRIM(MID(SUBSTITUTE(F281,";",REPT(" ",99)),100,99))="","",IFERROR(VLOOKUP(--LEFT(TRIM(MID(SUBSTITUTE(F281,";",REPT(" ",99)),100,99)),FIND(":",TRIM(MID(SUBSTITUTE(F281,";",REPT(" ",99)),100,99)))-1),_Lookup!$A:$B,2,FALSE),"?")&amp;"×"&amp;MID(TRIM(MID(SUBSTITUTE(F281,";",REPT(" ",99)),100,99)),FIND(":",TRIM(MID(SUBSTITUTE(F281,";",REPT(" ",99)),100,99)))+1,99)),IF(TRIM(MID(SUBSTITUTE(F281,";",REPT(" ",99)),199,99))="","",IFERROR(VLOOKUP(--LEFT(TRIM(MID(SUBSTITUTE(F281,";",REPT(" ",99)),199,99)),FIND(":",TRIM(MID(SUBSTITUTE(F281,";",REPT(" ",99)),199,99)))-1),_Lookup!$A:$B,2,FALSE),"?")&amp;"×"&amp;MID(TRIM(MID(SUBSTITUTE(F281,";",REPT(" ",99)),199,99)),FIND(":",TRIM(MID(SUBSTITUTE(F281,";",REPT(" ",99)),199,99)))+1,99)),IF(TRIM(MID(SUBSTITUTE(F281,";",REPT(" ",99)),298,99))="","",IFERROR(VLOOKUP(--LEFT(TRIM(MID(SUBSTITUTE(F281,";",REPT(" ",99)),298,99)),FIND(":",TRIM(MID(SUBSTITUTE(F281,";",REPT(" ",99)),298,99)))-1),_Lookup!$A:$B,2,FALSE),"?")&amp;"×"&amp;MID(TRIM(MID(SUBSTITUTE(F281,";",REPT(" ",99)),298,99)),FIND(":",TRIM(MID(SUBSTITUTE(F281,";",REPT(" ",99)),298,99)))+1,99)),IF(TRIM(MID(SUBSTITUTE(F281,";",REPT(" ",99)),397,99))="","",IFERROR(VLOOKUP(--LEFT(TRIM(MID(SUBSTITUTE(F281,";",REPT(" ",99)),397,99)),FIND(":",TRIM(MID(SUBSTITUTE(F281,";",REPT(" ",99)),397,99)))-1),_Lookup!$A:$B,2,FALSE),"?")&amp;"×"&amp;MID(TRIM(MID(SUBSTITUTE(F281,";",REPT(" ",99)),397,99)),FIND(":",TRIM(MID(SUBSTITUTE(F281,";",REPT(" ",99)),397,99)))+1,99))))</f>
        <v/>
      </c>
    </row>
    <row r="282">
      <c r="C282" s="11">
        <f>IFERROR(VLOOKUP(B282,StageData!$A:$B,2,FALSE),"")</f>
        <v/>
      </c>
      <c r="G282" s="11">
        <f>IF(F282="","",TEXTJOIN("; ",TRUE,IF(TRIM(MID(SUBSTITUTE(F282,";",REPT(" ",99)),1,99))="","",IFERROR(VLOOKUP(--LEFT(TRIM(MID(SUBSTITUTE(F282,";",REPT(" ",99)),1,99)),FIND(":",TRIM(MID(SUBSTITUTE(F282,";",REPT(" ",99)),1,99)))-1),_Lookup!$A:$B,2,FALSE),"?")&amp;"×"&amp;MID(TRIM(MID(SUBSTITUTE(F282,";",REPT(" ",99)),1,99)),FIND(":",TRIM(MID(SUBSTITUTE(F282,";",REPT(" ",99)),1,99)))+1,99)),IF(TRIM(MID(SUBSTITUTE(F282,";",REPT(" ",99)),100,99))="","",IFERROR(VLOOKUP(--LEFT(TRIM(MID(SUBSTITUTE(F282,";",REPT(" ",99)),100,99)),FIND(":",TRIM(MID(SUBSTITUTE(F282,";",REPT(" ",99)),100,99)))-1),_Lookup!$A:$B,2,FALSE),"?")&amp;"×"&amp;MID(TRIM(MID(SUBSTITUTE(F282,";",REPT(" ",99)),100,99)),FIND(":",TRIM(MID(SUBSTITUTE(F282,";",REPT(" ",99)),100,99)))+1,99)),IF(TRIM(MID(SUBSTITUTE(F282,";",REPT(" ",99)),199,99))="","",IFERROR(VLOOKUP(--LEFT(TRIM(MID(SUBSTITUTE(F282,";",REPT(" ",99)),199,99)),FIND(":",TRIM(MID(SUBSTITUTE(F282,";",REPT(" ",99)),199,99)))-1),_Lookup!$A:$B,2,FALSE),"?")&amp;"×"&amp;MID(TRIM(MID(SUBSTITUTE(F282,";",REPT(" ",99)),199,99)),FIND(":",TRIM(MID(SUBSTITUTE(F282,";",REPT(" ",99)),199,99)))+1,99)),IF(TRIM(MID(SUBSTITUTE(F282,";",REPT(" ",99)),298,99))="","",IFERROR(VLOOKUP(--LEFT(TRIM(MID(SUBSTITUTE(F282,";",REPT(" ",99)),298,99)),FIND(":",TRIM(MID(SUBSTITUTE(F282,";",REPT(" ",99)),298,99)))-1),_Lookup!$A:$B,2,FALSE),"?")&amp;"×"&amp;MID(TRIM(MID(SUBSTITUTE(F282,";",REPT(" ",99)),298,99)),FIND(":",TRIM(MID(SUBSTITUTE(F282,";",REPT(" ",99)),298,99)))+1,99)),IF(TRIM(MID(SUBSTITUTE(F282,";",REPT(" ",99)),397,99))="","",IFERROR(VLOOKUP(--LEFT(TRIM(MID(SUBSTITUTE(F282,";",REPT(" ",99)),397,99)),FIND(":",TRIM(MID(SUBSTITUTE(F282,";",REPT(" ",99)),397,99)))-1),_Lookup!$A:$B,2,FALSE),"?")&amp;"×"&amp;MID(TRIM(MID(SUBSTITUTE(F282,";",REPT(" ",99)),397,99)),FIND(":",TRIM(MID(SUBSTITUTE(F282,";",REPT(" ",99)),397,99)))+1,99))))</f>
        <v/>
      </c>
    </row>
    <row r="283">
      <c r="C283" s="11">
        <f>IFERROR(VLOOKUP(B283,StageData!$A:$B,2,FALSE),"")</f>
        <v/>
      </c>
      <c r="G283" s="11">
        <f>IF(F283="","",TEXTJOIN("; ",TRUE,IF(TRIM(MID(SUBSTITUTE(F283,";",REPT(" ",99)),1,99))="","",IFERROR(VLOOKUP(--LEFT(TRIM(MID(SUBSTITUTE(F283,";",REPT(" ",99)),1,99)),FIND(":",TRIM(MID(SUBSTITUTE(F283,";",REPT(" ",99)),1,99)))-1),_Lookup!$A:$B,2,FALSE),"?")&amp;"×"&amp;MID(TRIM(MID(SUBSTITUTE(F283,";",REPT(" ",99)),1,99)),FIND(":",TRIM(MID(SUBSTITUTE(F283,";",REPT(" ",99)),1,99)))+1,99)),IF(TRIM(MID(SUBSTITUTE(F283,";",REPT(" ",99)),100,99))="","",IFERROR(VLOOKUP(--LEFT(TRIM(MID(SUBSTITUTE(F283,";",REPT(" ",99)),100,99)),FIND(":",TRIM(MID(SUBSTITUTE(F283,";",REPT(" ",99)),100,99)))-1),_Lookup!$A:$B,2,FALSE),"?")&amp;"×"&amp;MID(TRIM(MID(SUBSTITUTE(F283,";",REPT(" ",99)),100,99)),FIND(":",TRIM(MID(SUBSTITUTE(F283,";",REPT(" ",99)),100,99)))+1,99)),IF(TRIM(MID(SUBSTITUTE(F283,";",REPT(" ",99)),199,99))="","",IFERROR(VLOOKUP(--LEFT(TRIM(MID(SUBSTITUTE(F283,";",REPT(" ",99)),199,99)),FIND(":",TRIM(MID(SUBSTITUTE(F283,";",REPT(" ",99)),199,99)))-1),_Lookup!$A:$B,2,FALSE),"?")&amp;"×"&amp;MID(TRIM(MID(SUBSTITUTE(F283,";",REPT(" ",99)),199,99)),FIND(":",TRIM(MID(SUBSTITUTE(F283,";",REPT(" ",99)),199,99)))+1,99)),IF(TRIM(MID(SUBSTITUTE(F283,";",REPT(" ",99)),298,99))="","",IFERROR(VLOOKUP(--LEFT(TRIM(MID(SUBSTITUTE(F283,";",REPT(" ",99)),298,99)),FIND(":",TRIM(MID(SUBSTITUTE(F283,";",REPT(" ",99)),298,99)))-1),_Lookup!$A:$B,2,FALSE),"?")&amp;"×"&amp;MID(TRIM(MID(SUBSTITUTE(F283,";",REPT(" ",99)),298,99)),FIND(":",TRIM(MID(SUBSTITUTE(F283,";",REPT(" ",99)),298,99)))+1,99)),IF(TRIM(MID(SUBSTITUTE(F283,";",REPT(" ",99)),397,99))="","",IFERROR(VLOOKUP(--LEFT(TRIM(MID(SUBSTITUTE(F283,";",REPT(" ",99)),397,99)),FIND(":",TRIM(MID(SUBSTITUTE(F283,";",REPT(" ",99)),397,99)))-1),_Lookup!$A:$B,2,FALSE),"?")&amp;"×"&amp;MID(TRIM(MID(SUBSTITUTE(F283,";",REPT(" ",99)),397,99)),FIND(":",TRIM(MID(SUBSTITUTE(F283,";",REPT(" ",99)),397,99)))+1,99))))</f>
        <v/>
      </c>
    </row>
    <row r="284">
      <c r="C284" s="11">
        <f>IFERROR(VLOOKUP(B284,StageData!$A:$B,2,FALSE),"")</f>
        <v/>
      </c>
      <c r="G284" s="11">
        <f>IF(F284="","",TEXTJOIN("; ",TRUE,IF(TRIM(MID(SUBSTITUTE(F284,";",REPT(" ",99)),1,99))="","",IFERROR(VLOOKUP(--LEFT(TRIM(MID(SUBSTITUTE(F284,";",REPT(" ",99)),1,99)),FIND(":",TRIM(MID(SUBSTITUTE(F284,";",REPT(" ",99)),1,99)))-1),_Lookup!$A:$B,2,FALSE),"?")&amp;"×"&amp;MID(TRIM(MID(SUBSTITUTE(F284,";",REPT(" ",99)),1,99)),FIND(":",TRIM(MID(SUBSTITUTE(F284,";",REPT(" ",99)),1,99)))+1,99)),IF(TRIM(MID(SUBSTITUTE(F284,";",REPT(" ",99)),100,99))="","",IFERROR(VLOOKUP(--LEFT(TRIM(MID(SUBSTITUTE(F284,";",REPT(" ",99)),100,99)),FIND(":",TRIM(MID(SUBSTITUTE(F284,";",REPT(" ",99)),100,99)))-1),_Lookup!$A:$B,2,FALSE),"?")&amp;"×"&amp;MID(TRIM(MID(SUBSTITUTE(F284,";",REPT(" ",99)),100,99)),FIND(":",TRIM(MID(SUBSTITUTE(F284,";",REPT(" ",99)),100,99)))+1,99)),IF(TRIM(MID(SUBSTITUTE(F284,";",REPT(" ",99)),199,99))="","",IFERROR(VLOOKUP(--LEFT(TRIM(MID(SUBSTITUTE(F284,";",REPT(" ",99)),199,99)),FIND(":",TRIM(MID(SUBSTITUTE(F284,";",REPT(" ",99)),199,99)))-1),_Lookup!$A:$B,2,FALSE),"?")&amp;"×"&amp;MID(TRIM(MID(SUBSTITUTE(F284,";",REPT(" ",99)),199,99)),FIND(":",TRIM(MID(SUBSTITUTE(F284,";",REPT(" ",99)),199,99)))+1,99)),IF(TRIM(MID(SUBSTITUTE(F284,";",REPT(" ",99)),298,99))="","",IFERROR(VLOOKUP(--LEFT(TRIM(MID(SUBSTITUTE(F284,";",REPT(" ",99)),298,99)),FIND(":",TRIM(MID(SUBSTITUTE(F284,";",REPT(" ",99)),298,99)))-1),_Lookup!$A:$B,2,FALSE),"?")&amp;"×"&amp;MID(TRIM(MID(SUBSTITUTE(F284,";",REPT(" ",99)),298,99)),FIND(":",TRIM(MID(SUBSTITUTE(F284,";",REPT(" ",99)),298,99)))+1,99)),IF(TRIM(MID(SUBSTITUTE(F284,";",REPT(" ",99)),397,99))="","",IFERROR(VLOOKUP(--LEFT(TRIM(MID(SUBSTITUTE(F284,";",REPT(" ",99)),397,99)),FIND(":",TRIM(MID(SUBSTITUTE(F284,";",REPT(" ",99)),397,99)))-1),_Lookup!$A:$B,2,FALSE),"?")&amp;"×"&amp;MID(TRIM(MID(SUBSTITUTE(F284,";",REPT(" ",99)),397,99)),FIND(":",TRIM(MID(SUBSTITUTE(F284,";",REPT(" ",99)),397,99)))+1,99))))</f>
        <v/>
      </c>
    </row>
    <row r="285">
      <c r="C285" s="11">
        <f>IFERROR(VLOOKUP(B285,StageData!$A:$B,2,FALSE),"")</f>
        <v/>
      </c>
      <c r="G285" s="11">
        <f>IF(F285="","",TEXTJOIN("; ",TRUE,IF(TRIM(MID(SUBSTITUTE(F285,";",REPT(" ",99)),1,99))="","",IFERROR(VLOOKUP(--LEFT(TRIM(MID(SUBSTITUTE(F285,";",REPT(" ",99)),1,99)),FIND(":",TRIM(MID(SUBSTITUTE(F285,";",REPT(" ",99)),1,99)))-1),_Lookup!$A:$B,2,FALSE),"?")&amp;"×"&amp;MID(TRIM(MID(SUBSTITUTE(F285,";",REPT(" ",99)),1,99)),FIND(":",TRIM(MID(SUBSTITUTE(F285,";",REPT(" ",99)),1,99)))+1,99)),IF(TRIM(MID(SUBSTITUTE(F285,";",REPT(" ",99)),100,99))="","",IFERROR(VLOOKUP(--LEFT(TRIM(MID(SUBSTITUTE(F285,";",REPT(" ",99)),100,99)),FIND(":",TRIM(MID(SUBSTITUTE(F285,";",REPT(" ",99)),100,99)))-1),_Lookup!$A:$B,2,FALSE),"?")&amp;"×"&amp;MID(TRIM(MID(SUBSTITUTE(F285,";",REPT(" ",99)),100,99)),FIND(":",TRIM(MID(SUBSTITUTE(F285,";",REPT(" ",99)),100,99)))+1,99)),IF(TRIM(MID(SUBSTITUTE(F285,";",REPT(" ",99)),199,99))="","",IFERROR(VLOOKUP(--LEFT(TRIM(MID(SUBSTITUTE(F285,";",REPT(" ",99)),199,99)),FIND(":",TRIM(MID(SUBSTITUTE(F285,";",REPT(" ",99)),199,99)))-1),_Lookup!$A:$B,2,FALSE),"?")&amp;"×"&amp;MID(TRIM(MID(SUBSTITUTE(F285,";",REPT(" ",99)),199,99)),FIND(":",TRIM(MID(SUBSTITUTE(F285,";",REPT(" ",99)),199,99)))+1,99)),IF(TRIM(MID(SUBSTITUTE(F285,";",REPT(" ",99)),298,99))="","",IFERROR(VLOOKUP(--LEFT(TRIM(MID(SUBSTITUTE(F285,";",REPT(" ",99)),298,99)),FIND(":",TRIM(MID(SUBSTITUTE(F285,";",REPT(" ",99)),298,99)))-1),_Lookup!$A:$B,2,FALSE),"?")&amp;"×"&amp;MID(TRIM(MID(SUBSTITUTE(F285,";",REPT(" ",99)),298,99)),FIND(":",TRIM(MID(SUBSTITUTE(F285,";",REPT(" ",99)),298,99)))+1,99)),IF(TRIM(MID(SUBSTITUTE(F285,";",REPT(" ",99)),397,99))="","",IFERROR(VLOOKUP(--LEFT(TRIM(MID(SUBSTITUTE(F285,";",REPT(" ",99)),397,99)),FIND(":",TRIM(MID(SUBSTITUTE(F285,";",REPT(" ",99)),397,99)))-1),_Lookup!$A:$B,2,FALSE),"?")&amp;"×"&amp;MID(TRIM(MID(SUBSTITUTE(F285,";",REPT(" ",99)),397,99)),FIND(":",TRIM(MID(SUBSTITUTE(F285,";",REPT(" ",99)),397,99)))+1,99))))</f>
        <v/>
      </c>
    </row>
    <row r="286">
      <c r="C286" s="11">
        <f>IFERROR(VLOOKUP(B286,StageData!$A:$B,2,FALSE),"")</f>
        <v/>
      </c>
      <c r="G286" s="11">
        <f>IF(F286="","",TEXTJOIN("; ",TRUE,IF(TRIM(MID(SUBSTITUTE(F286,";",REPT(" ",99)),1,99))="","",IFERROR(VLOOKUP(--LEFT(TRIM(MID(SUBSTITUTE(F286,";",REPT(" ",99)),1,99)),FIND(":",TRIM(MID(SUBSTITUTE(F286,";",REPT(" ",99)),1,99)))-1),_Lookup!$A:$B,2,FALSE),"?")&amp;"×"&amp;MID(TRIM(MID(SUBSTITUTE(F286,";",REPT(" ",99)),1,99)),FIND(":",TRIM(MID(SUBSTITUTE(F286,";",REPT(" ",99)),1,99)))+1,99)),IF(TRIM(MID(SUBSTITUTE(F286,";",REPT(" ",99)),100,99))="","",IFERROR(VLOOKUP(--LEFT(TRIM(MID(SUBSTITUTE(F286,";",REPT(" ",99)),100,99)),FIND(":",TRIM(MID(SUBSTITUTE(F286,";",REPT(" ",99)),100,99)))-1),_Lookup!$A:$B,2,FALSE),"?")&amp;"×"&amp;MID(TRIM(MID(SUBSTITUTE(F286,";",REPT(" ",99)),100,99)),FIND(":",TRIM(MID(SUBSTITUTE(F286,";",REPT(" ",99)),100,99)))+1,99)),IF(TRIM(MID(SUBSTITUTE(F286,";",REPT(" ",99)),199,99))="","",IFERROR(VLOOKUP(--LEFT(TRIM(MID(SUBSTITUTE(F286,";",REPT(" ",99)),199,99)),FIND(":",TRIM(MID(SUBSTITUTE(F286,";",REPT(" ",99)),199,99)))-1),_Lookup!$A:$B,2,FALSE),"?")&amp;"×"&amp;MID(TRIM(MID(SUBSTITUTE(F286,";",REPT(" ",99)),199,99)),FIND(":",TRIM(MID(SUBSTITUTE(F286,";",REPT(" ",99)),199,99)))+1,99)),IF(TRIM(MID(SUBSTITUTE(F286,";",REPT(" ",99)),298,99))="","",IFERROR(VLOOKUP(--LEFT(TRIM(MID(SUBSTITUTE(F286,";",REPT(" ",99)),298,99)),FIND(":",TRIM(MID(SUBSTITUTE(F286,";",REPT(" ",99)),298,99)))-1),_Lookup!$A:$B,2,FALSE),"?")&amp;"×"&amp;MID(TRIM(MID(SUBSTITUTE(F286,";",REPT(" ",99)),298,99)),FIND(":",TRIM(MID(SUBSTITUTE(F286,";",REPT(" ",99)),298,99)))+1,99)),IF(TRIM(MID(SUBSTITUTE(F286,";",REPT(" ",99)),397,99))="","",IFERROR(VLOOKUP(--LEFT(TRIM(MID(SUBSTITUTE(F286,";",REPT(" ",99)),397,99)),FIND(":",TRIM(MID(SUBSTITUTE(F286,";",REPT(" ",99)),397,99)))-1),_Lookup!$A:$B,2,FALSE),"?")&amp;"×"&amp;MID(TRIM(MID(SUBSTITUTE(F286,";",REPT(" ",99)),397,99)),FIND(":",TRIM(MID(SUBSTITUTE(F286,";",REPT(" ",99)),397,99)))+1,99))))</f>
        <v/>
      </c>
    </row>
    <row r="287">
      <c r="C287" s="11">
        <f>IFERROR(VLOOKUP(B287,StageData!$A:$B,2,FALSE),"")</f>
        <v/>
      </c>
      <c r="G287" s="11">
        <f>IF(F287="","",TEXTJOIN("; ",TRUE,IF(TRIM(MID(SUBSTITUTE(F287,";",REPT(" ",99)),1,99))="","",IFERROR(VLOOKUP(--LEFT(TRIM(MID(SUBSTITUTE(F287,";",REPT(" ",99)),1,99)),FIND(":",TRIM(MID(SUBSTITUTE(F287,";",REPT(" ",99)),1,99)))-1),_Lookup!$A:$B,2,FALSE),"?")&amp;"×"&amp;MID(TRIM(MID(SUBSTITUTE(F287,";",REPT(" ",99)),1,99)),FIND(":",TRIM(MID(SUBSTITUTE(F287,";",REPT(" ",99)),1,99)))+1,99)),IF(TRIM(MID(SUBSTITUTE(F287,";",REPT(" ",99)),100,99))="","",IFERROR(VLOOKUP(--LEFT(TRIM(MID(SUBSTITUTE(F287,";",REPT(" ",99)),100,99)),FIND(":",TRIM(MID(SUBSTITUTE(F287,";",REPT(" ",99)),100,99)))-1),_Lookup!$A:$B,2,FALSE),"?")&amp;"×"&amp;MID(TRIM(MID(SUBSTITUTE(F287,";",REPT(" ",99)),100,99)),FIND(":",TRIM(MID(SUBSTITUTE(F287,";",REPT(" ",99)),100,99)))+1,99)),IF(TRIM(MID(SUBSTITUTE(F287,";",REPT(" ",99)),199,99))="","",IFERROR(VLOOKUP(--LEFT(TRIM(MID(SUBSTITUTE(F287,";",REPT(" ",99)),199,99)),FIND(":",TRIM(MID(SUBSTITUTE(F287,";",REPT(" ",99)),199,99)))-1),_Lookup!$A:$B,2,FALSE),"?")&amp;"×"&amp;MID(TRIM(MID(SUBSTITUTE(F287,";",REPT(" ",99)),199,99)),FIND(":",TRIM(MID(SUBSTITUTE(F287,";",REPT(" ",99)),199,99)))+1,99)),IF(TRIM(MID(SUBSTITUTE(F287,";",REPT(" ",99)),298,99))="","",IFERROR(VLOOKUP(--LEFT(TRIM(MID(SUBSTITUTE(F287,";",REPT(" ",99)),298,99)),FIND(":",TRIM(MID(SUBSTITUTE(F287,";",REPT(" ",99)),298,99)))-1),_Lookup!$A:$B,2,FALSE),"?")&amp;"×"&amp;MID(TRIM(MID(SUBSTITUTE(F287,";",REPT(" ",99)),298,99)),FIND(":",TRIM(MID(SUBSTITUTE(F287,";",REPT(" ",99)),298,99)))+1,99)),IF(TRIM(MID(SUBSTITUTE(F287,";",REPT(" ",99)),397,99))="","",IFERROR(VLOOKUP(--LEFT(TRIM(MID(SUBSTITUTE(F287,";",REPT(" ",99)),397,99)),FIND(":",TRIM(MID(SUBSTITUTE(F287,";",REPT(" ",99)),397,99)))-1),_Lookup!$A:$B,2,FALSE),"?")&amp;"×"&amp;MID(TRIM(MID(SUBSTITUTE(F287,";",REPT(" ",99)),397,99)),FIND(":",TRIM(MID(SUBSTITUTE(F287,";",REPT(" ",99)),397,99)))+1,99))))</f>
        <v/>
      </c>
    </row>
    <row r="288">
      <c r="C288" s="11">
        <f>IFERROR(VLOOKUP(B288,StageData!$A:$B,2,FALSE),"")</f>
        <v/>
      </c>
      <c r="G288" s="11">
        <f>IF(F288="","",TEXTJOIN("; ",TRUE,IF(TRIM(MID(SUBSTITUTE(F288,";",REPT(" ",99)),1,99))="","",IFERROR(VLOOKUP(--LEFT(TRIM(MID(SUBSTITUTE(F288,";",REPT(" ",99)),1,99)),FIND(":",TRIM(MID(SUBSTITUTE(F288,";",REPT(" ",99)),1,99)))-1),_Lookup!$A:$B,2,FALSE),"?")&amp;"×"&amp;MID(TRIM(MID(SUBSTITUTE(F288,";",REPT(" ",99)),1,99)),FIND(":",TRIM(MID(SUBSTITUTE(F288,";",REPT(" ",99)),1,99)))+1,99)),IF(TRIM(MID(SUBSTITUTE(F288,";",REPT(" ",99)),100,99))="","",IFERROR(VLOOKUP(--LEFT(TRIM(MID(SUBSTITUTE(F288,";",REPT(" ",99)),100,99)),FIND(":",TRIM(MID(SUBSTITUTE(F288,";",REPT(" ",99)),100,99)))-1),_Lookup!$A:$B,2,FALSE),"?")&amp;"×"&amp;MID(TRIM(MID(SUBSTITUTE(F288,";",REPT(" ",99)),100,99)),FIND(":",TRIM(MID(SUBSTITUTE(F288,";",REPT(" ",99)),100,99)))+1,99)),IF(TRIM(MID(SUBSTITUTE(F288,";",REPT(" ",99)),199,99))="","",IFERROR(VLOOKUP(--LEFT(TRIM(MID(SUBSTITUTE(F288,";",REPT(" ",99)),199,99)),FIND(":",TRIM(MID(SUBSTITUTE(F288,";",REPT(" ",99)),199,99)))-1),_Lookup!$A:$B,2,FALSE),"?")&amp;"×"&amp;MID(TRIM(MID(SUBSTITUTE(F288,";",REPT(" ",99)),199,99)),FIND(":",TRIM(MID(SUBSTITUTE(F288,";",REPT(" ",99)),199,99)))+1,99)),IF(TRIM(MID(SUBSTITUTE(F288,";",REPT(" ",99)),298,99))="","",IFERROR(VLOOKUP(--LEFT(TRIM(MID(SUBSTITUTE(F288,";",REPT(" ",99)),298,99)),FIND(":",TRIM(MID(SUBSTITUTE(F288,";",REPT(" ",99)),298,99)))-1),_Lookup!$A:$B,2,FALSE),"?")&amp;"×"&amp;MID(TRIM(MID(SUBSTITUTE(F288,";",REPT(" ",99)),298,99)),FIND(":",TRIM(MID(SUBSTITUTE(F288,";",REPT(" ",99)),298,99)))+1,99)),IF(TRIM(MID(SUBSTITUTE(F288,";",REPT(" ",99)),397,99))="","",IFERROR(VLOOKUP(--LEFT(TRIM(MID(SUBSTITUTE(F288,";",REPT(" ",99)),397,99)),FIND(":",TRIM(MID(SUBSTITUTE(F288,";",REPT(" ",99)),397,99)))-1),_Lookup!$A:$B,2,FALSE),"?")&amp;"×"&amp;MID(TRIM(MID(SUBSTITUTE(F288,";",REPT(" ",99)),397,99)),FIND(":",TRIM(MID(SUBSTITUTE(F288,";",REPT(" ",99)),397,99)))+1,99))))</f>
        <v/>
      </c>
    </row>
    <row r="289">
      <c r="C289" s="11">
        <f>IFERROR(VLOOKUP(B289,StageData!$A:$B,2,FALSE),"")</f>
        <v/>
      </c>
      <c r="G289" s="11">
        <f>IF(F289="","",TEXTJOIN("; ",TRUE,IF(TRIM(MID(SUBSTITUTE(F289,";",REPT(" ",99)),1,99))="","",IFERROR(VLOOKUP(--LEFT(TRIM(MID(SUBSTITUTE(F289,";",REPT(" ",99)),1,99)),FIND(":",TRIM(MID(SUBSTITUTE(F289,";",REPT(" ",99)),1,99)))-1),_Lookup!$A:$B,2,FALSE),"?")&amp;"×"&amp;MID(TRIM(MID(SUBSTITUTE(F289,";",REPT(" ",99)),1,99)),FIND(":",TRIM(MID(SUBSTITUTE(F289,";",REPT(" ",99)),1,99)))+1,99)),IF(TRIM(MID(SUBSTITUTE(F289,";",REPT(" ",99)),100,99))="","",IFERROR(VLOOKUP(--LEFT(TRIM(MID(SUBSTITUTE(F289,";",REPT(" ",99)),100,99)),FIND(":",TRIM(MID(SUBSTITUTE(F289,";",REPT(" ",99)),100,99)))-1),_Lookup!$A:$B,2,FALSE),"?")&amp;"×"&amp;MID(TRIM(MID(SUBSTITUTE(F289,";",REPT(" ",99)),100,99)),FIND(":",TRIM(MID(SUBSTITUTE(F289,";",REPT(" ",99)),100,99)))+1,99)),IF(TRIM(MID(SUBSTITUTE(F289,";",REPT(" ",99)),199,99))="","",IFERROR(VLOOKUP(--LEFT(TRIM(MID(SUBSTITUTE(F289,";",REPT(" ",99)),199,99)),FIND(":",TRIM(MID(SUBSTITUTE(F289,";",REPT(" ",99)),199,99)))-1),_Lookup!$A:$B,2,FALSE),"?")&amp;"×"&amp;MID(TRIM(MID(SUBSTITUTE(F289,";",REPT(" ",99)),199,99)),FIND(":",TRIM(MID(SUBSTITUTE(F289,";",REPT(" ",99)),199,99)))+1,99)),IF(TRIM(MID(SUBSTITUTE(F289,";",REPT(" ",99)),298,99))="","",IFERROR(VLOOKUP(--LEFT(TRIM(MID(SUBSTITUTE(F289,";",REPT(" ",99)),298,99)),FIND(":",TRIM(MID(SUBSTITUTE(F289,";",REPT(" ",99)),298,99)))-1),_Lookup!$A:$B,2,FALSE),"?")&amp;"×"&amp;MID(TRIM(MID(SUBSTITUTE(F289,";",REPT(" ",99)),298,99)),FIND(":",TRIM(MID(SUBSTITUTE(F289,";",REPT(" ",99)),298,99)))+1,99)),IF(TRIM(MID(SUBSTITUTE(F289,";",REPT(" ",99)),397,99))="","",IFERROR(VLOOKUP(--LEFT(TRIM(MID(SUBSTITUTE(F289,";",REPT(" ",99)),397,99)),FIND(":",TRIM(MID(SUBSTITUTE(F289,";",REPT(" ",99)),397,99)))-1),_Lookup!$A:$B,2,FALSE),"?")&amp;"×"&amp;MID(TRIM(MID(SUBSTITUTE(F289,";",REPT(" ",99)),397,99)),FIND(":",TRIM(MID(SUBSTITUTE(F289,";",REPT(" ",99)),397,99)))+1,99))))</f>
        <v/>
      </c>
    </row>
    <row r="290">
      <c r="C290" s="11">
        <f>IFERROR(VLOOKUP(B290,StageData!$A:$B,2,FALSE),"")</f>
        <v/>
      </c>
      <c r="G290" s="11">
        <f>IF(F290="","",TEXTJOIN("; ",TRUE,IF(TRIM(MID(SUBSTITUTE(F290,";",REPT(" ",99)),1,99))="","",IFERROR(VLOOKUP(--LEFT(TRIM(MID(SUBSTITUTE(F290,";",REPT(" ",99)),1,99)),FIND(":",TRIM(MID(SUBSTITUTE(F290,";",REPT(" ",99)),1,99)))-1),_Lookup!$A:$B,2,FALSE),"?")&amp;"×"&amp;MID(TRIM(MID(SUBSTITUTE(F290,";",REPT(" ",99)),1,99)),FIND(":",TRIM(MID(SUBSTITUTE(F290,";",REPT(" ",99)),1,99)))+1,99)),IF(TRIM(MID(SUBSTITUTE(F290,";",REPT(" ",99)),100,99))="","",IFERROR(VLOOKUP(--LEFT(TRIM(MID(SUBSTITUTE(F290,";",REPT(" ",99)),100,99)),FIND(":",TRIM(MID(SUBSTITUTE(F290,";",REPT(" ",99)),100,99)))-1),_Lookup!$A:$B,2,FALSE),"?")&amp;"×"&amp;MID(TRIM(MID(SUBSTITUTE(F290,";",REPT(" ",99)),100,99)),FIND(":",TRIM(MID(SUBSTITUTE(F290,";",REPT(" ",99)),100,99)))+1,99)),IF(TRIM(MID(SUBSTITUTE(F290,";",REPT(" ",99)),199,99))="","",IFERROR(VLOOKUP(--LEFT(TRIM(MID(SUBSTITUTE(F290,";",REPT(" ",99)),199,99)),FIND(":",TRIM(MID(SUBSTITUTE(F290,";",REPT(" ",99)),199,99)))-1),_Lookup!$A:$B,2,FALSE),"?")&amp;"×"&amp;MID(TRIM(MID(SUBSTITUTE(F290,";",REPT(" ",99)),199,99)),FIND(":",TRIM(MID(SUBSTITUTE(F290,";",REPT(" ",99)),199,99)))+1,99)),IF(TRIM(MID(SUBSTITUTE(F290,";",REPT(" ",99)),298,99))="","",IFERROR(VLOOKUP(--LEFT(TRIM(MID(SUBSTITUTE(F290,";",REPT(" ",99)),298,99)),FIND(":",TRIM(MID(SUBSTITUTE(F290,";",REPT(" ",99)),298,99)))-1),_Lookup!$A:$B,2,FALSE),"?")&amp;"×"&amp;MID(TRIM(MID(SUBSTITUTE(F290,";",REPT(" ",99)),298,99)),FIND(":",TRIM(MID(SUBSTITUTE(F290,";",REPT(" ",99)),298,99)))+1,99)),IF(TRIM(MID(SUBSTITUTE(F290,";",REPT(" ",99)),397,99))="","",IFERROR(VLOOKUP(--LEFT(TRIM(MID(SUBSTITUTE(F290,";",REPT(" ",99)),397,99)),FIND(":",TRIM(MID(SUBSTITUTE(F290,";",REPT(" ",99)),397,99)))-1),_Lookup!$A:$B,2,FALSE),"?")&amp;"×"&amp;MID(TRIM(MID(SUBSTITUTE(F290,";",REPT(" ",99)),397,99)),FIND(":",TRIM(MID(SUBSTITUTE(F290,";",REPT(" ",99)),397,99)))+1,99))))</f>
        <v/>
      </c>
    </row>
    <row r="291">
      <c r="C291" s="11">
        <f>IFERROR(VLOOKUP(B291,StageData!$A:$B,2,FALSE),"")</f>
        <v/>
      </c>
      <c r="G291" s="11">
        <f>IF(F291="","",TEXTJOIN("; ",TRUE,IF(TRIM(MID(SUBSTITUTE(F291,";",REPT(" ",99)),1,99))="","",IFERROR(VLOOKUP(--LEFT(TRIM(MID(SUBSTITUTE(F291,";",REPT(" ",99)),1,99)),FIND(":",TRIM(MID(SUBSTITUTE(F291,";",REPT(" ",99)),1,99)))-1),_Lookup!$A:$B,2,FALSE),"?")&amp;"×"&amp;MID(TRIM(MID(SUBSTITUTE(F291,";",REPT(" ",99)),1,99)),FIND(":",TRIM(MID(SUBSTITUTE(F291,";",REPT(" ",99)),1,99)))+1,99)),IF(TRIM(MID(SUBSTITUTE(F291,";",REPT(" ",99)),100,99))="","",IFERROR(VLOOKUP(--LEFT(TRIM(MID(SUBSTITUTE(F291,";",REPT(" ",99)),100,99)),FIND(":",TRIM(MID(SUBSTITUTE(F291,";",REPT(" ",99)),100,99)))-1),_Lookup!$A:$B,2,FALSE),"?")&amp;"×"&amp;MID(TRIM(MID(SUBSTITUTE(F291,";",REPT(" ",99)),100,99)),FIND(":",TRIM(MID(SUBSTITUTE(F291,";",REPT(" ",99)),100,99)))+1,99)),IF(TRIM(MID(SUBSTITUTE(F291,";",REPT(" ",99)),199,99))="","",IFERROR(VLOOKUP(--LEFT(TRIM(MID(SUBSTITUTE(F291,";",REPT(" ",99)),199,99)),FIND(":",TRIM(MID(SUBSTITUTE(F291,";",REPT(" ",99)),199,99)))-1),_Lookup!$A:$B,2,FALSE),"?")&amp;"×"&amp;MID(TRIM(MID(SUBSTITUTE(F291,";",REPT(" ",99)),199,99)),FIND(":",TRIM(MID(SUBSTITUTE(F291,";",REPT(" ",99)),199,99)))+1,99)),IF(TRIM(MID(SUBSTITUTE(F291,";",REPT(" ",99)),298,99))="","",IFERROR(VLOOKUP(--LEFT(TRIM(MID(SUBSTITUTE(F291,";",REPT(" ",99)),298,99)),FIND(":",TRIM(MID(SUBSTITUTE(F291,";",REPT(" ",99)),298,99)))-1),_Lookup!$A:$B,2,FALSE),"?")&amp;"×"&amp;MID(TRIM(MID(SUBSTITUTE(F291,";",REPT(" ",99)),298,99)),FIND(":",TRIM(MID(SUBSTITUTE(F291,";",REPT(" ",99)),298,99)))+1,99)),IF(TRIM(MID(SUBSTITUTE(F291,";",REPT(" ",99)),397,99))="","",IFERROR(VLOOKUP(--LEFT(TRIM(MID(SUBSTITUTE(F291,";",REPT(" ",99)),397,99)),FIND(":",TRIM(MID(SUBSTITUTE(F291,";",REPT(" ",99)),397,99)))-1),_Lookup!$A:$B,2,FALSE),"?")&amp;"×"&amp;MID(TRIM(MID(SUBSTITUTE(F291,";",REPT(" ",99)),397,99)),FIND(":",TRIM(MID(SUBSTITUTE(F291,";",REPT(" ",99)),397,99)))+1,99))))</f>
        <v/>
      </c>
    </row>
    <row r="292">
      <c r="C292" s="11">
        <f>IFERROR(VLOOKUP(B292,StageData!$A:$B,2,FALSE),"")</f>
        <v/>
      </c>
      <c r="G292" s="11">
        <f>IF(F292="","",TEXTJOIN("; ",TRUE,IF(TRIM(MID(SUBSTITUTE(F292,";",REPT(" ",99)),1,99))="","",IFERROR(VLOOKUP(--LEFT(TRIM(MID(SUBSTITUTE(F292,";",REPT(" ",99)),1,99)),FIND(":",TRIM(MID(SUBSTITUTE(F292,";",REPT(" ",99)),1,99)))-1),_Lookup!$A:$B,2,FALSE),"?")&amp;"×"&amp;MID(TRIM(MID(SUBSTITUTE(F292,";",REPT(" ",99)),1,99)),FIND(":",TRIM(MID(SUBSTITUTE(F292,";",REPT(" ",99)),1,99)))+1,99)),IF(TRIM(MID(SUBSTITUTE(F292,";",REPT(" ",99)),100,99))="","",IFERROR(VLOOKUP(--LEFT(TRIM(MID(SUBSTITUTE(F292,";",REPT(" ",99)),100,99)),FIND(":",TRIM(MID(SUBSTITUTE(F292,";",REPT(" ",99)),100,99)))-1),_Lookup!$A:$B,2,FALSE),"?")&amp;"×"&amp;MID(TRIM(MID(SUBSTITUTE(F292,";",REPT(" ",99)),100,99)),FIND(":",TRIM(MID(SUBSTITUTE(F292,";",REPT(" ",99)),100,99)))+1,99)),IF(TRIM(MID(SUBSTITUTE(F292,";",REPT(" ",99)),199,99))="","",IFERROR(VLOOKUP(--LEFT(TRIM(MID(SUBSTITUTE(F292,";",REPT(" ",99)),199,99)),FIND(":",TRIM(MID(SUBSTITUTE(F292,";",REPT(" ",99)),199,99)))-1),_Lookup!$A:$B,2,FALSE),"?")&amp;"×"&amp;MID(TRIM(MID(SUBSTITUTE(F292,";",REPT(" ",99)),199,99)),FIND(":",TRIM(MID(SUBSTITUTE(F292,";",REPT(" ",99)),199,99)))+1,99)),IF(TRIM(MID(SUBSTITUTE(F292,";",REPT(" ",99)),298,99))="","",IFERROR(VLOOKUP(--LEFT(TRIM(MID(SUBSTITUTE(F292,";",REPT(" ",99)),298,99)),FIND(":",TRIM(MID(SUBSTITUTE(F292,";",REPT(" ",99)),298,99)))-1),_Lookup!$A:$B,2,FALSE),"?")&amp;"×"&amp;MID(TRIM(MID(SUBSTITUTE(F292,";",REPT(" ",99)),298,99)),FIND(":",TRIM(MID(SUBSTITUTE(F292,";",REPT(" ",99)),298,99)))+1,99)),IF(TRIM(MID(SUBSTITUTE(F292,";",REPT(" ",99)),397,99))="","",IFERROR(VLOOKUP(--LEFT(TRIM(MID(SUBSTITUTE(F292,";",REPT(" ",99)),397,99)),FIND(":",TRIM(MID(SUBSTITUTE(F292,";",REPT(" ",99)),397,99)))-1),_Lookup!$A:$B,2,FALSE),"?")&amp;"×"&amp;MID(TRIM(MID(SUBSTITUTE(F292,";",REPT(" ",99)),397,99)),FIND(":",TRIM(MID(SUBSTITUTE(F292,";",REPT(" ",99)),397,99)))+1,99))))</f>
        <v/>
      </c>
    </row>
    <row r="293">
      <c r="C293" s="11">
        <f>IFERROR(VLOOKUP(B293,StageData!$A:$B,2,FALSE),"")</f>
        <v/>
      </c>
      <c r="G293" s="11">
        <f>IF(F293="","",TEXTJOIN("; ",TRUE,IF(TRIM(MID(SUBSTITUTE(F293,";",REPT(" ",99)),1,99))="","",IFERROR(VLOOKUP(--LEFT(TRIM(MID(SUBSTITUTE(F293,";",REPT(" ",99)),1,99)),FIND(":",TRIM(MID(SUBSTITUTE(F293,";",REPT(" ",99)),1,99)))-1),_Lookup!$A:$B,2,FALSE),"?")&amp;"×"&amp;MID(TRIM(MID(SUBSTITUTE(F293,";",REPT(" ",99)),1,99)),FIND(":",TRIM(MID(SUBSTITUTE(F293,";",REPT(" ",99)),1,99)))+1,99)),IF(TRIM(MID(SUBSTITUTE(F293,";",REPT(" ",99)),100,99))="","",IFERROR(VLOOKUP(--LEFT(TRIM(MID(SUBSTITUTE(F293,";",REPT(" ",99)),100,99)),FIND(":",TRIM(MID(SUBSTITUTE(F293,";",REPT(" ",99)),100,99)))-1),_Lookup!$A:$B,2,FALSE),"?")&amp;"×"&amp;MID(TRIM(MID(SUBSTITUTE(F293,";",REPT(" ",99)),100,99)),FIND(":",TRIM(MID(SUBSTITUTE(F293,";",REPT(" ",99)),100,99)))+1,99)),IF(TRIM(MID(SUBSTITUTE(F293,";",REPT(" ",99)),199,99))="","",IFERROR(VLOOKUP(--LEFT(TRIM(MID(SUBSTITUTE(F293,";",REPT(" ",99)),199,99)),FIND(":",TRIM(MID(SUBSTITUTE(F293,";",REPT(" ",99)),199,99)))-1),_Lookup!$A:$B,2,FALSE),"?")&amp;"×"&amp;MID(TRIM(MID(SUBSTITUTE(F293,";",REPT(" ",99)),199,99)),FIND(":",TRIM(MID(SUBSTITUTE(F293,";",REPT(" ",99)),199,99)))+1,99)),IF(TRIM(MID(SUBSTITUTE(F293,";",REPT(" ",99)),298,99))="","",IFERROR(VLOOKUP(--LEFT(TRIM(MID(SUBSTITUTE(F293,";",REPT(" ",99)),298,99)),FIND(":",TRIM(MID(SUBSTITUTE(F293,";",REPT(" ",99)),298,99)))-1),_Lookup!$A:$B,2,FALSE),"?")&amp;"×"&amp;MID(TRIM(MID(SUBSTITUTE(F293,";",REPT(" ",99)),298,99)),FIND(":",TRIM(MID(SUBSTITUTE(F293,";",REPT(" ",99)),298,99)))+1,99)),IF(TRIM(MID(SUBSTITUTE(F293,";",REPT(" ",99)),397,99))="","",IFERROR(VLOOKUP(--LEFT(TRIM(MID(SUBSTITUTE(F293,";",REPT(" ",99)),397,99)),FIND(":",TRIM(MID(SUBSTITUTE(F293,";",REPT(" ",99)),397,99)))-1),_Lookup!$A:$B,2,FALSE),"?")&amp;"×"&amp;MID(TRIM(MID(SUBSTITUTE(F293,";",REPT(" ",99)),397,99)),FIND(":",TRIM(MID(SUBSTITUTE(F293,";",REPT(" ",99)),397,99)))+1,99))))</f>
        <v/>
      </c>
    </row>
    <row r="294">
      <c r="C294" s="11">
        <f>IFERROR(VLOOKUP(B294,StageData!$A:$B,2,FALSE),"")</f>
        <v/>
      </c>
      <c r="G294" s="11">
        <f>IF(F294="","",TEXTJOIN("; ",TRUE,IF(TRIM(MID(SUBSTITUTE(F294,";",REPT(" ",99)),1,99))="","",IFERROR(VLOOKUP(--LEFT(TRIM(MID(SUBSTITUTE(F294,";",REPT(" ",99)),1,99)),FIND(":",TRIM(MID(SUBSTITUTE(F294,";",REPT(" ",99)),1,99)))-1),_Lookup!$A:$B,2,FALSE),"?")&amp;"×"&amp;MID(TRIM(MID(SUBSTITUTE(F294,";",REPT(" ",99)),1,99)),FIND(":",TRIM(MID(SUBSTITUTE(F294,";",REPT(" ",99)),1,99)))+1,99)),IF(TRIM(MID(SUBSTITUTE(F294,";",REPT(" ",99)),100,99))="","",IFERROR(VLOOKUP(--LEFT(TRIM(MID(SUBSTITUTE(F294,";",REPT(" ",99)),100,99)),FIND(":",TRIM(MID(SUBSTITUTE(F294,";",REPT(" ",99)),100,99)))-1),_Lookup!$A:$B,2,FALSE),"?")&amp;"×"&amp;MID(TRIM(MID(SUBSTITUTE(F294,";",REPT(" ",99)),100,99)),FIND(":",TRIM(MID(SUBSTITUTE(F294,";",REPT(" ",99)),100,99)))+1,99)),IF(TRIM(MID(SUBSTITUTE(F294,";",REPT(" ",99)),199,99))="","",IFERROR(VLOOKUP(--LEFT(TRIM(MID(SUBSTITUTE(F294,";",REPT(" ",99)),199,99)),FIND(":",TRIM(MID(SUBSTITUTE(F294,";",REPT(" ",99)),199,99)))-1),_Lookup!$A:$B,2,FALSE),"?")&amp;"×"&amp;MID(TRIM(MID(SUBSTITUTE(F294,";",REPT(" ",99)),199,99)),FIND(":",TRIM(MID(SUBSTITUTE(F294,";",REPT(" ",99)),199,99)))+1,99)),IF(TRIM(MID(SUBSTITUTE(F294,";",REPT(" ",99)),298,99))="","",IFERROR(VLOOKUP(--LEFT(TRIM(MID(SUBSTITUTE(F294,";",REPT(" ",99)),298,99)),FIND(":",TRIM(MID(SUBSTITUTE(F294,";",REPT(" ",99)),298,99)))-1),_Lookup!$A:$B,2,FALSE),"?")&amp;"×"&amp;MID(TRIM(MID(SUBSTITUTE(F294,";",REPT(" ",99)),298,99)),FIND(":",TRIM(MID(SUBSTITUTE(F294,";",REPT(" ",99)),298,99)))+1,99)),IF(TRIM(MID(SUBSTITUTE(F294,";",REPT(" ",99)),397,99))="","",IFERROR(VLOOKUP(--LEFT(TRIM(MID(SUBSTITUTE(F294,";",REPT(" ",99)),397,99)),FIND(":",TRIM(MID(SUBSTITUTE(F294,";",REPT(" ",99)),397,99)))-1),_Lookup!$A:$B,2,FALSE),"?")&amp;"×"&amp;MID(TRIM(MID(SUBSTITUTE(F294,";",REPT(" ",99)),397,99)),FIND(":",TRIM(MID(SUBSTITUTE(F294,";",REPT(" ",99)),397,99)))+1,99))))</f>
        <v/>
      </c>
    </row>
    <row r="295">
      <c r="C295" s="11">
        <f>IFERROR(VLOOKUP(B295,StageData!$A:$B,2,FALSE),"")</f>
        <v/>
      </c>
      <c r="G295" s="11">
        <f>IF(F295="","",TEXTJOIN("; ",TRUE,IF(TRIM(MID(SUBSTITUTE(F295,";",REPT(" ",99)),1,99))="","",IFERROR(VLOOKUP(--LEFT(TRIM(MID(SUBSTITUTE(F295,";",REPT(" ",99)),1,99)),FIND(":",TRIM(MID(SUBSTITUTE(F295,";",REPT(" ",99)),1,99)))-1),_Lookup!$A:$B,2,FALSE),"?")&amp;"×"&amp;MID(TRIM(MID(SUBSTITUTE(F295,";",REPT(" ",99)),1,99)),FIND(":",TRIM(MID(SUBSTITUTE(F295,";",REPT(" ",99)),1,99)))+1,99)),IF(TRIM(MID(SUBSTITUTE(F295,";",REPT(" ",99)),100,99))="","",IFERROR(VLOOKUP(--LEFT(TRIM(MID(SUBSTITUTE(F295,";",REPT(" ",99)),100,99)),FIND(":",TRIM(MID(SUBSTITUTE(F295,";",REPT(" ",99)),100,99)))-1),_Lookup!$A:$B,2,FALSE),"?")&amp;"×"&amp;MID(TRIM(MID(SUBSTITUTE(F295,";",REPT(" ",99)),100,99)),FIND(":",TRIM(MID(SUBSTITUTE(F295,";",REPT(" ",99)),100,99)))+1,99)),IF(TRIM(MID(SUBSTITUTE(F295,";",REPT(" ",99)),199,99))="","",IFERROR(VLOOKUP(--LEFT(TRIM(MID(SUBSTITUTE(F295,";",REPT(" ",99)),199,99)),FIND(":",TRIM(MID(SUBSTITUTE(F295,";",REPT(" ",99)),199,99)))-1),_Lookup!$A:$B,2,FALSE),"?")&amp;"×"&amp;MID(TRIM(MID(SUBSTITUTE(F295,";",REPT(" ",99)),199,99)),FIND(":",TRIM(MID(SUBSTITUTE(F295,";",REPT(" ",99)),199,99)))+1,99)),IF(TRIM(MID(SUBSTITUTE(F295,";",REPT(" ",99)),298,99))="","",IFERROR(VLOOKUP(--LEFT(TRIM(MID(SUBSTITUTE(F295,";",REPT(" ",99)),298,99)),FIND(":",TRIM(MID(SUBSTITUTE(F295,";",REPT(" ",99)),298,99)))-1),_Lookup!$A:$B,2,FALSE),"?")&amp;"×"&amp;MID(TRIM(MID(SUBSTITUTE(F295,";",REPT(" ",99)),298,99)),FIND(":",TRIM(MID(SUBSTITUTE(F295,";",REPT(" ",99)),298,99)))+1,99)),IF(TRIM(MID(SUBSTITUTE(F295,";",REPT(" ",99)),397,99))="","",IFERROR(VLOOKUP(--LEFT(TRIM(MID(SUBSTITUTE(F295,";",REPT(" ",99)),397,99)),FIND(":",TRIM(MID(SUBSTITUTE(F295,";",REPT(" ",99)),397,99)))-1),_Lookup!$A:$B,2,FALSE),"?")&amp;"×"&amp;MID(TRIM(MID(SUBSTITUTE(F295,";",REPT(" ",99)),397,99)),FIND(":",TRIM(MID(SUBSTITUTE(F295,";",REPT(" ",99)),397,99)))+1,99))))</f>
        <v/>
      </c>
    </row>
    <row r="296">
      <c r="C296" s="11">
        <f>IFERROR(VLOOKUP(B296,StageData!$A:$B,2,FALSE),"")</f>
        <v/>
      </c>
      <c r="G296" s="11">
        <f>IF(F296="","",TEXTJOIN("; ",TRUE,IF(TRIM(MID(SUBSTITUTE(F296,";",REPT(" ",99)),1,99))="","",IFERROR(VLOOKUP(--LEFT(TRIM(MID(SUBSTITUTE(F296,";",REPT(" ",99)),1,99)),FIND(":",TRIM(MID(SUBSTITUTE(F296,";",REPT(" ",99)),1,99)))-1),_Lookup!$A:$B,2,FALSE),"?")&amp;"×"&amp;MID(TRIM(MID(SUBSTITUTE(F296,";",REPT(" ",99)),1,99)),FIND(":",TRIM(MID(SUBSTITUTE(F296,";",REPT(" ",99)),1,99)))+1,99)),IF(TRIM(MID(SUBSTITUTE(F296,";",REPT(" ",99)),100,99))="","",IFERROR(VLOOKUP(--LEFT(TRIM(MID(SUBSTITUTE(F296,";",REPT(" ",99)),100,99)),FIND(":",TRIM(MID(SUBSTITUTE(F296,";",REPT(" ",99)),100,99)))-1),_Lookup!$A:$B,2,FALSE),"?")&amp;"×"&amp;MID(TRIM(MID(SUBSTITUTE(F296,";",REPT(" ",99)),100,99)),FIND(":",TRIM(MID(SUBSTITUTE(F296,";",REPT(" ",99)),100,99)))+1,99)),IF(TRIM(MID(SUBSTITUTE(F296,";",REPT(" ",99)),199,99))="","",IFERROR(VLOOKUP(--LEFT(TRIM(MID(SUBSTITUTE(F296,";",REPT(" ",99)),199,99)),FIND(":",TRIM(MID(SUBSTITUTE(F296,";",REPT(" ",99)),199,99)))-1),_Lookup!$A:$B,2,FALSE),"?")&amp;"×"&amp;MID(TRIM(MID(SUBSTITUTE(F296,";",REPT(" ",99)),199,99)),FIND(":",TRIM(MID(SUBSTITUTE(F296,";",REPT(" ",99)),199,99)))+1,99)),IF(TRIM(MID(SUBSTITUTE(F296,";",REPT(" ",99)),298,99))="","",IFERROR(VLOOKUP(--LEFT(TRIM(MID(SUBSTITUTE(F296,";",REPT(" ",99)),298,99)),FIND(":",TRIM(MID(SUBSTITUTE(F296,";",REPT(" ",99)),298,99)))-1),_Lookup!$A:$B,2,FALSE),"?")&amp;"×"&amp;MID(TRIM(MID(SUBSTITUTE(F296,";",REPT(" ",99)),298,99)),FIND(":",TRIM(MID(SUBSTITUTE(F296,";",REPT(" ",99)),298,99)))+1,99)),IF(TRIM(MID(SUBSTITUTE(F296,";",REPT(" ",99)),397,99))="","",IFERROR(VLOOKUP(--LEFT(TRIM(MID(SUBSTITUTE(F296,";",REPT(" ",99)),397,99)),FIND(":",TRIM(MID(SUBSTITUTE(F296,";",REPT(" ",99)),397,99)))-1),_Lookup!$A:$B,2,FALSE),"?")&amp;"×"&amp;MID(TRIM(MID(SUBSTITUTE(F296,";",REPT(" ",99)),397,99)),FIND(":",TRIM(MID(SUBSTITUTE(F296,";",REPT(" ",99)),397,99)))+1,99))))</f>
        <v/>
      </c>
    </row>
    <row r="297">
      <c r="C297" s="11">
        <f>IFERROR(VLOOKUP(B297,StageData!$A:$B,2,FALSE),"")</f>
        <v/>
      </c>
      <c r="G297" s="11">
        <f>IF(F297="","",TEXTJOIN("; ",TRUE,IF(TRIM(MID(SUBSTITUTE(F297,";",REPT(" ",99)),1,99))="","",IFERROR(VLOOKUP(--LEFT(TRIM(MID(SUBSTITUTE(F297,";",REPT(" ",99)),1,99)),FIND(":",TRIM(MID(SUBSTITUTE(F297,";",REPT(" ",99)),1,99)))-1),_Lookup!$A:$B,2,FALSE),"?")&amp;"×"&amp;MID(TRIM(MID(SUBSTITUTE(F297,";",REPT(" ",99)),1,99)),FIND(":",TRIM(MID(SUBSTITUTE(F297,";",REPT(" ",99)),1,99)))+1,99)),IF(TRIM(MID(SUBSTITUTE(F297,";",REPT(" ",99)),100,99))="","",IFERROR(VLOOKUP(--LEFT(TRIM(MID(SUBSTITUTE(F297,";",REPT(" ",99)),100,99)),FIND(":",TRIM(MID(SUBSTITUTE(F297,";",REPT(" ",99)),100,99)))-1),_Lookup!$A:$B,2,FALSE),"?")&amp;"×"&amp;MID(TRIM(MID(SUBSTITUTE(F297,";",REPT(" ",99)),100,99)),FIND(":",TRIM(MID(SUBSTITUTE(F297,";",REPT(" ",99)),100,99)))+1,99)),IF(TRIM(MID(SUBSTITUTE(F297,";",REPT(" ",99)),199,99))="","",IFERROR(VLOOKUP(--LEFT(TRIM(MID(SUBSTITUTE(F297,";",REPT(" ",99)),199,99)),FIND(":",TRIM(MID(SUBSTITUTE(F297,";",REPT(" ",99)),199,99)))-1),_Lookup!$A:$B,2,FALSE),"?")&amp;"×"&amp;MID(TRIM(MID(SUBSTITUTE(F297,";",REPT(" ",99)),199,99)),FIND(":",TRIM(MID(SUBSTITUTE(F297,";",REPT(" ",99)),199,99)))+1,99)),IF(TRIM(MID(SUBSTITUTE(F297,";",REPT(" ",99)),298,99))="","",IFERROR(VLOOKUP(--LEFT(TRIM(MID(SUBSTITUTE(F297,";",REPT(" ",99)),298,99)),FIND(":",TRIM(MID(SUBSTITUTE(F297,";",REPT(" ",99)),298,99)))-1),_Lookup!$A:$B,2,FALSE),"?")&amp;"×"&amp;MID(TRIM(MID(SUBSTITUTE(F297,";",REPT(" ",99)),298,99)),FIND(":",TRIM(MID(SUBSTITUTE(F297,";",REPT(" ",99)),298,99)))+1,99)),IF(TRIM(MID(SUBSTITUTE(F297,";",REPT(" ",99)),397,99))="","",IFERROR(VLOOKUP(--LEFT(TRIM(MID(SUBSTITUTE(F297,";",REPT(" ",99)),397,99)),FIND(":",TRIM(MID(SUBSTITUTE(F297,";",REPT(" ",99)),397,99)))-1),_Lookup!$A:$B,2,FALSE),"?")&amp;"×"&amp;MID(TRIM(MID(SUBSTITUTE(F297,";",REPT(" ",99)),397,99)),FIND(":",TRIM(MID(SUBSTITUTE(F297,";",REPT(" ",99)),397,99)))+1,99))))</f>
        <v/>
      </c>
    </row>
    <row r="298">
      <c r="C298" s="11">
        <f>IFERROR(VLOOKUP(B298,StageData!$A:$B,2,FALSE),"")</f>
        <v/>
      </c>
      <c r="G298" s="11">
        <f>IF(F298="","",TEXTJOIN("; ",TRUE,IF(TRIM(MID(SUBSTITUTE(F298,";",REPT(" ",99)),1,99))="","",IFERROR(VLOOKUP(--LEFT(TRIM(MID(SUBSTITUTE(F298,";",REPT(" ",99)),1,99)),FIND(":",TRIM(MID(SUBSTITUTE(F298,";",REPT(" ",99)),1,99)))-1),_Lookup!$A:$B,2,FALSE),"?")&amp;"×"&amp;MID(TRIM(MID(SUBSTITUTE(F298,";",REPT(" ",99)),1,99)),FIND(":",TRIM(MID(SUBSTITUTE(F298,";",REPT(" ",99)),1,99)))+1,99)),IF(TRIM(MID(SUBSTITUTE(F298,";",REPT(" ",99)),100,99))="","",IFERROR(VLOOKUP(--LEFT(TRIM(MID(SUBSTITUTE(F298,";",REPT(" ",99)),100,99)),FIND(":",TRIM(MID(SUBSTITUTE(F298,";",REPT(" ",99)),100,99)))-1),_Lookup!$A:$B,2,FALSE),"?")&amp;"×"&amp;MID(TRIM(MID(SUBSTITUTE(F298,";",REPT(" ",99)),100,99)),FIND(":",TRIM(MID(SUBSTITUTE(F298,";",REPT(" ",99)),100,99)))+1,99)),IF(TRIM(MID(SUBSTITUTE(F298,";",REPT(" ",99)),199,99))="","",IFERROR(VLOOKUP(--LEFT(TRIM(MID(SUBSTITUTE(F298,";",REPT(" ",99)),199,99)),FIND(":",TRIM(MID(SUBSTITUTE(F298,";",REPT(" ",99)),199,99)))-1),_Lookup!$A:$B,2,FALSE),"?")&amp;"×"&amp;MID(TRIM(MID(SUBSTITUTE(F298,";",REPT(" ",99)),199,99)),FIND(":",TRIM(MID(SUBSTITUTE(F298,";",REPT(" ",99)),199,99)))+1,99)),IF(TRIM(MID(SUBSTITUTE(F298,";",REPT(" ",99)),298,99))="","",IFERROR(VLOOKUP(--LEFT(TRIM(MID(SUBSTITUTE(F298,";",REPT(" ",99)),298,99)),FIND(":",TRIM(MID(SUBSTITUTE(F298,";",REPT(" ",99)),298,99)))-1),_Lookup!$A:$B,2,FALSE),"?")&amp;"×"&amp;MID(TRIM(MID(SUBSTITUTE(F298,";",REPT(" ",99)),298,99)),FIND(":",TRIM(MID(SUBSTITUTE(F298,";",REPT(" ",99)),298,99)))+1,99)),IF(TRIM(MID(SUBSTITUTE(F298,";",REPT(" ",99)),397,99))="","",IFERROR(VLOOKUP(--LEFT(TRIM(MID(SUBSTITUTE(F298,";",REPT(" ",99)),397,99)),FIND(":",TRIM(MID(SUBSTITUTE(F298,";",REPT(" ",99)),397,99)))-1),_Lookup!$A:$B,2,FALSE),"?")&amp;"×"&amp;MID(TRIM(MID(SUBSTITUTE(F298,";",REPT(" ",99)),397,99)),FIND(":",TRIM(MID(SUBSTITUTE(F298,";",REPT(" ",99)),397,99)))+1,99))))</f>
        <v/>
      </c>
    </row>
    <row r="299">
      <c r="C299" s="11">
        <f>IFERROR(VLOOKUP(B299,StageData!$A:$B,2,FALSE),"")</f>
        <v/>
      </c>
      <c r="G299" s="11">
        <f>IF(F299="","",TEXTJOIN("; ",TRUE,IF(TRIM(MID(SUBSTITUTE(F299,";",REPT(" ",99)),1,99))="","",IFERROR(VLOOKUP(--LEFT(TRIM(MID(SUBSTITUTE(F299,";",REPT(" ",99)),1,99)),FIND(":",TRIM(MID(SUBSTITUTE(F299,";",REPT(" ",99)),1,99)))-1),_Lookup!$A:$B,2,FALSE),"?")&amp;"×"&amp;MID(TRIM(MID(SUBSTITUTE(F299,";",REPT(" ",99)),1,99)),FIND(":",TRIM(MID(SUBSTITUTE(F299,";",REPT(" ",99)),1,99)))+1,99)),IF(TRIM(MID(SUBSTITUTE(F299,";",REPT(" ",99)),100,99))="","",IFERROR(VLOOKUP(--LEFT(TRIM(MID(SUBSTITUTE(F299,";",REPT(" ",99)),100,99)),FIND(":",TRIM(MID(SUBSTITUTE(F299,";",REPT(" ",99)),100,99)))-1),_Lookup!$A:$B,2,FALSE),"?")&amp;"×"&amp;MID(TRIM(MID(SUBSTITUTE(F299,";",REPT(" ",99)),100,99)),FIND(":",TRIM(MID(SUBSTITUTE(F299,";",REPT(" ",99)),100,99)))+1,99)),IF(TRIM(MID(SUBSTITUTE(F299,";",REPT(" ",99)),199,99))="","",IFERROR(VLOOKUP(--LEFT(TRIM(MID(SUBSTITUTE(F299,";",REPT(" ",99)),199,99)),FIND(":",TRIM(MID(SUBSTITUTE(F299,";",REPT(" ",99)),199,99)))-1),_Lookup!$A:$B,2,FALSE),"?")&amp;"×"&amp;MID(TRIM(MID(SUBSTITUTE(F299,";",REPT(" ",99)),199,99)),FIND(":",TRIM(MID(SUBSTITUTE(F299,";",REPT(" ",99)),199,99)))+1,99)),IF(TRIM(MID(SUBSTITUTE(F299,";",REPT(" ",99)),298,99))="","",IFERROR(VLOOKUP(--LEFT(TRIM(MID(SUBSTITUTE(F299,";",REPT(" ",99)),298,99)),FIND(":",TRIM(MID(SUBSTITUTE(F299,";",REPT(" ",99)),298,99)))-1),_Lookup!$A:$B,2,FALSE),"?")&amp;"×"&amp;MID(TRIM(MID(SUBSTITUTE(F299,";",REPT(" ",99)),298,99)),FIND(":",TRIM(MID(SUBSTITUTE(F299,";",REPT(" ",99)),298,99)))+1,99)),IF(TRIM(MID(SUBSTITUTE(F299,";",REPT(" ",99)),397,99))="","",IFERROR(VLOOKUP(--LEFT(TRIM(MID(SUBSTITUTE(F299,";",REPT(" ",99)),397,99)),FIND(":",TRIM(MID(SUBSTITUTE(F299,";",REPT(" ",99)),397,99)))-1),_Lookup!$A:$B,2,FALSE),"?")&amp;"×"&amp;MID(TRIM(MID(SUBSTITUTE(F299,";",REPT(" ",99)),397,99)),FIND(":",TRIM(MID(SUBSTITUTE(F299,";",REPT(" ",99)),397,99)))+1,99))))</f>
        <v/>
      </c>
    </row>
    <row r="300">
      <c r="C300" s="11">
        <f>IFERROR(VLOOKUP(B300,StageData!$A:$B,2,FALSE),"")</f>
        <v/>
      </c>
      <c r="G300" s="11">
        <f>IF(F300="","",TEXTJOIN("; ",TRUE,IF(TRIM(MID(SUBSTITUTE(F300,";",REPT(" ",99)),1,99))="","",IFERROR(VLOOKUP(--LEFT(TRIM(MID(SUBSTITUTE(F300,";",REPT(" ",99)),1,99)),FIND(":",TRIM(MID(SUBSTITUTE(F300,";",REPT(" ",99)),1,99)))-1),_Lookup!$A:$B,2,FALSE),"?")&amp;"×"&amp;MID(TRIM(MID(SUBSTITUTE(F300,";",REPT(" ",99)),1,99)),FIND(":",TRIM(MID(SUBSTITUTE(F300,";",REPT(" ",99)),1,99)))+1,99)),IF(TRIM(MID(SUBSTITUTE(F300,";",REPT(" ",99)),100,99))="","",IFERROR(VLOOKUP(--LEFT(TRIM(MID(SUBSTITUTE(F300,";",REPT(" ",99)),100,99)),FIND(":",TRIM(MID(SUBSTITUTE(F300,";",REPT(" ",99)),100,99)))-1),_Lookup!$A:$B,2,FALSE),"?")&amp;"×"&amp;MID(TRIM(MID(SUBSTITUTE(F300,";",REPT(" ",99)),100,99)),FIND(":",TRIM(MID(SUBSTITUTE(F300,";",REPT(" ",99)),100,99)))+1,99)),IF(TRIM(MID(SUBSTITUTE(F300,";",REPT(" ",99)),199,99))="","",IFERROR(VLOOKUP(--LEFT(TRIM(MID(SUBSTITUTE(F300,";",REPT(" ",99)),199,99)),FIND(":",TRIM(MID(SUBSTITUTE(F300,";",REPT(" ",99)),199,99)))-1),_Lookup!$A:$B,2,FALSE),"?")&amp;"×"&amp;MID(TRIM(MID(SUBSTITUTE(F300,";",REPT(" ",99)),199,99)),FIND(":",TRIM(MID(SUBSTITUTE(F300,";",REPT(" ",99)),199,99)))+1,99)),IF(TRIM(MID(SUBSTITUTE(F300,";",REPT(" ",99)),298,99))="","",IFERROR(VLOOKUP(--LEFT(TRIM(MID(SUBSTITUTE(F300,";",REPT(" ",99)),298,99)),FIND(":",TRIM(MID(SUBSTITUTE(F300,";",REPT(" ",99)),298,99)))-1),_Lookup!$A:$B,2,FALSE),"?")&amp;"×"&amp;MID(TRIM(MID(SUBSTITUTE(F300,";",REPT(" ",99)),298,99)),FIND(":",TRIM(MID(SUBSTITUTE(F300,";",REPT(" ",99)),298,99)))+1,99)),IF(TRIM(MID(SUBSTITUTE(F300,";",REPT(" ",99)),397,99))="","",IFERROR(VLOOKUP(--LEFT(TRIM(MID(SUBSTITUTE(F300,";",REPT(" ",99)),397,99)),FIND(":",TRIM(MID(SUBSTITUTE(F300,";",REPT(" ",99)),397,99)))-1),_Lookup!$A:$B,2,FALSE),"?")&amp;"×"&amp;MID(TRIM(MID(SUBSTITUTE(F300,";",REPT(" ",99)),397,99)),FIND(":",TRIM(MID(SUBSTITUTE(F300,";",REPT(" ",99)),397,99)))+1,99))))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F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8" customWidth="1" min="4" max="4"/>
    <col width="16" customWidth="1" min="5" max="5"/>
    <col width="18" customWidth="1" min="6" max="6"/>
  </cols>
  <sheetData>
    <row r="1">
      <c r="A1" s="6" t="inlineStr">
        <is>
          <t>m_id</t>
        </is>
      </c>
      <c r="B1" s="6" t="inlineStr">
        <is>
          <t>m_name</t>
        </is>
      </c>
      <c r="C1" s="6" t="inlineStr">
        <is>
          <t>m_grade</t>
        </is>
      </c>
      <c r="D1" s="6" t="inlineStr">
        <is>
          <t>m_upgradeGoldCost</t>
        </is>
      </c>
      <c r="E1" s="6" t="inlineStr">
        <is>
          <t>m_requiredBoss_id</t>
        </is>
      </c>
      <c r="F1" s="9" t="inlineStr">
        <is>
          <t>#requiredBoss_name</t>
        </is>
      </c>
    </row>
    <row r="2" ht="42" customHeight="1">
      <c r="A2" s="7" t="inlineStr">
        <is>
          <t>고유 ID (int)</t>
        </is>
      </c>
      <c r="B2" s="7" t="inlineStr">
        <is>
          <t>이름</t>
        </is>
      </c>
      <c r="C2" s="7" t="inlineStr">
        <is>
          <t>등급</t>
        </is>
      </c>
      <c r="D2" s="7" t="inlineStr">
        <is>
          <t>이 등급으로 올리는 골드 (밸런스 TODO)</t>
        </is>
      </c>
      <c r="E2" s="7" t="inlineStr">
        <is>
          <t>해금 조건① 처치할 보스 (BattleFishData m_id, 빈칸=조건 없음)</t>
        </is>
      </c>
      <c r="F2" s="10" t="inlineStr">
        <is>
          <t>표시 전용(#) — 자동(VLOOKUP), 입력 금지</t>
        </is>
      </c>
    </row>
    <row r="3">
      <c r="A3" s="8" t="n">
        <v>700001</v>
      </c>
      <c r="B3" s="8" t="inlineStr">
        <is>
          <t>초급 라이센스</t>
        </is>
      </c>
      <c r="C3" s="8" t="n">
        <v>1</v>
      </c>
      <c r="D3" s="8" t="n">
        <v>1000</v>
      </c>
      <c r="F3" s="11">
        <f>IFERROR(VLOOKUP(E3,BattleFishData!$A:$B,2,FALSE),"")</f>
        <v/>
      </c>
    </row>
    <row r="4">
      <c r="A4" s="8" t="n">
        <v>700002</v>
      </c>
      <c r="B4" s="8" t="inlineStr">
        <is>
          <t>중급 라이센스</t>
        </is>
      </c>
      <c r="C4" s="8" t="n">
        <v>2</v>
      </c>
      <c r="D4" s="8" t="n">
        <v>5000</v>
      </c>
      <c r="E4" s="12" t="n">
        <v>500002</v>
      </c>
      <c r="F4" s="11">
        <f>IFERROR(VLOOKUP(E4,BattleFishData!$A:$B,2,FALSE),"")</f>
        <v/>
      </c>
    </row>
    <row r="5">
      <c r="F5" s="11">
        <f>IFERROR(VLOOKUP(E5,BattleFishData!$A:$B,2,FALSE),"")</f>
        <v/>
      </c>
    </row>
    <row r="6">
      <c r="F6" s="11">
        <f>IFERROR(VLOOKUP(E6,BattleFishData!$A:$B,2,FALSE),"")</f>
        <v/>
      </c>
    </row>
    <row r="7">
      <c r="F7" s="11">
        <f>IFERROR(VLOOKUP(E7,BattleFishData!$A:$B,2,FALSE),"")</f>
        <v/>
      </c>
    </row>
    <row r="8">
      <c r="F8" s="11">
        <f>IFERROR(VLOOKUP(E8,BattleFishData!$A:$B,2,FALSE),"")</f>
        <v/>
      </c>
    </row>
    <row r="9">
      <c r="F9" s="11">
        <f>IFERROR(VLOOKUP(E9,BattleFishData!$A:$B,2,FALSE),"")</f>
        <v/>
      </c>
    </row>
    <row r="10">
      <c r="F10" s="11">
        <f>IFERROR(VLOOKUP(E10,BattleFishData!$A:$B,2,FALSE),"")</f>
        <v/>
      </c>
    </row>
    <row r="11">
      <c r="F11" s="11">
        <f>IFERROR(VLOOKUP(E11,BattleFishData!$A:$B,2,FALSE),"")</f>
        <v/>
      </c>
    </row>
    <row r="12">
      <c r="F12" s="11">
        <f>IFERROR(VLOOKUP(E12,BattleFishData!$A:$B,2,FALSE),"")</f>
        <v/>
      </c>
    </row>
    <row r="13">
      <c r="F13" s="11">
        <f>IFERROR(VLOOKUP(E13,BattleFishData!$A:$B,2,FALSE),"")</f>
        <v/>
      </c>
    </row>
    <row r="14">
      <c r="F14" s="11">
        <f>IFERROR(VLOOKUP(E14,BattleFishData!$A:$B,2,FALSE),"")</f>
        <v/>
      </c>
    </row>
    <row r="15">
      <c r="F15" s="11">
        <f>IFERROR(VLOOKUP(E15,BattleFishData!$A:$B,2,FALSE),"")</f>
        <v/>
      </c>
    </row>
    <row r="16">
      <c r="F16" s="11">
        <f>IFERROR(VLOOKUP(E16,BattleFishData!$A:$B,2,FALSE),"")</f>
        <v/>
      </c>
    </row>
    <row r="17">
      <c r="F17" s="11">
        <f>IFERROR(VLOOKUP(E17,BattleFishData!$A:$B,2,FALSE),"")</f>
        <v/>
      </c>
    </row>
    <row r="18">
      <c r="F18" s="11">
        <f>IFERROR(VLOOKUP(E18,BattleFishData!$A:$B,2,FALSE),"")</f>
        <v/>
      </c>
    </row>
    <row r="19">
      <c r="F19" s="11">
        <f>IFERROR(VLOOKUP(E19,BattleFishData!$A:$B,2,FALSE),"")</f>
        <v/>
      </c>
    </row>
    <row r="20">
      <c r="F20" s="11">
        <f>IFERROR(VLOOKUP(E20,BattleFishData!$A:$B,2,FALSE),"")</f>
        <v/>
      </c>
    </row>
    <row r="21">
      <c r="F21" s="11">
        <f>IFERROR(VLOOKUP(E21,BattleFishData!$A:$B,2,FALSE),"")</f>
        <v/>
      </c>
    </row>
    <row r="22">
      <c r="F22" s="11">
        <f>IFERROR(VLOOKUP(E22,BattleFishData!$A:$B,2,FALSE),"")</f>
        <v/>
      </c>
    </row>
    <row r="23">
      <c r="F23" s="11">
        <f>IFERROR(VLOOKUP(E23,BattleFishData!$A:$B,2,FALSE),"")</f>
        <v/>
      </c>
    </row>
    <row r="24">
      <c r="F24" s="11">
        <f>IFERROR(VLOOKUP(E24,BattleFishData!$A:$B,2,FALSE),"")</f>
        <v/>
      </c>
    </row>
    <row r="25">
      <c r="F25" s="11">
        <f>IFERROR(VLOOKUP(E25,BattleFishData!$A:$B,2,FALSE),"")</f>
        <v/>
      </c>
    </row>
    <row r="26">
      <c r="F26" s="11">
        <f>IFERROR(VLOOKUP(E26,BattleFishData!$A:$B,2,FALSE),"")</f>
        <v/>
      </c>
    </row>
    <row r="27">
      <c r="F27" s="11">
        <f>IFERROR(VLOOKUP(E27,BattleFishData!$A:$B,2,FALSE),"")</f>
        <v/>
      </c>
    </row>
    <row r="28">
      <c r="F28" s="11">
        <f>IFERROR(VLOOKUP(E28,BattleFishData!$A:$B,2,FALSE),"")</f>
        <v/>
      </c>
    </row>
    <row r="29">
      <c r="F29" s="11">
        <f>IFERROR(VLOOKUP(E29,BattleFishData!$A:$B,2,FALSE),"")</f>
        <v/>
      </c>
    </row>
    <row r="30">
      <c r="F30" s="11">
        <f>IFERROR(VLOOKUP(E30,BattleFishData!$A:$B,2,FALSE),"")</f>
        <v/>
      </c>
    </row>
    <row r="31">
      <c r="F31" s="11">
        <f>IFERROR(VLOOKUP(E31,BattleFishData!$A:$B,2,FALSE),"")</f>
        <v/>
      </c>
    </row>
    <row r="32">
      <c r="F32" s="11">
        <f>IFERROR(VLOOKUP(E32,BattleFishData!$A:$B,2,FALSE),"")</f>
        <v/>
      </c>
    </row>
    <row r="33">
      <c r="F33" s="11">
        <f>IFERROR(VLOOKUP(E33,BattleFishData!$A:$B,2,FALSE),"")</f>
        <v/>
      </c>
    </row>
    <row r="34">
      <c r="F34" s="11">
        <f>IFERROR(VLOOKUP(E34,BattleFishData!$A:$B,2,FALSE),"")</f>
        <v/>
      </c>
    </row>
    <row r="35">
      <c r="F35" s="11">
        <f>IFERROR(VLOOKUP(E35,BattleFishData!$A:$B,2,FALSE),"")</f>
        <v/>
      </c>
    </row>
    <row r="36">
      <c r="F36" s="11">
        <f>IFERROR(VLOOKUP(E36,BattleFishData!$A:$B,2,FALSE),"")</f>
        <v/>
      </c>
    </row>
    <row r="37">
      <c r="F37" s="11">
        <f>IFERROR(VLOOKUP(E37,BattleFishData!$A:$B,2,FALSE),"")</f>
        <v/>
      </c>
    </row>
    <row r="38">
      <c r="F38" s="11">
        <f>IFERROR(VLOOKUP(E38,BattleFishData!$A:$B,2,FALSE),"")</f>
        <v/>
      </c>
    </row>
    <row r="39">
      <c r="F39" s="11">
        <f>IFERROR(VLOOKUP(E39,BattleFishData!$A:$B,2,FALSE),"")</f>
        <v/>
      </c>
    </row>
    <row r="40">
      <c r="F40" s="11">
        <f>IFERROR(VLOOKUP(E40,BattleFishData!$A:$B,2,FALSE),"")</f>
        <v/>
      </c>
    </row>
    <row r="41">
      <c r="F41" s="11">
        <f>IFERROR(VLOOKUP(E41,BattleFishData!$A:$B,2,FALSE),"")</f>
        <v/>
      </c>
    </row>
    <row r="42">
      <c r="F42" s="11">
        <f>IFERROR(VLOOKUP(E42,BattleFishData!$A:$B,2,FALSE),"")</f>
        <v/>
      </c>
    </row>
    <row r="43">
      <c r="F43" s="11">
        <f>IFERROR(VLOOKUP(E43,BattleFishData!$A:$B,2,FALSE),"")</f>
        <v/>
      </c>
    </row>
    <row r="44">
      <c r="F44" s="11">
        <f>IFERROR(VLOOKUP(E44,BattleFishData!$A:$B,2,FALSE),"")</f>
        <v/>
      </c>
    </row>
    <row r="45">
      <c r="F45" s="11">
        <f>IFERROR(VLOOKUP(E45,BattleFishData!$A:$B,2,FALSE),"")</f>
        <v/>
      </c>
    </row>
    <row r="46">
      <c r="F46" s="11">
        <f>IFERROR(VLOOKUP(E46,BattleFishData!$A:$B,2,FALSE),"")</f>
        <v/>
      </c>
    </row>
    <row r="47">
      <c r="F47" s="11">
        <f>IFERROR(VLOOKUP(E47,BattleFishData!$A:$B,2,FALSE),"")</f>
        <v/>
      </c>
    </row>
    <row r="48">
      <c r="F48" s="11">
        <f>IFERROR(VLOOKUP(E48,BattleFishData!$A:$B,2,FALSE),"")</f>
        <v/>
      </c>
    </row>
    <row r="49">
      <c r="F49" s="11">
        <f>IFERROR(VLOOKUP(E49,BattleFishData!$A:$B,2,FALSE),"")</f>
        <v/>
      </c>
    </row>
    <row r="50">
      <c r="F50" s="11">
        <f>IFERROR(VLOOKUP(E50,BattleFishData!$A:$B,2,FALSE),"")</f>
        <v/>
      </c>
    </row>
    <row r="51">
      <c r="F51" s="11">
        <f>IFERROR(VLOOKUP(E51,BattleFishData!$A:$B,2,FALSE),"")</f>
        <v/>
      </c>
    </row>
    <row r="52">
      <c r="F52" s="11">
        <f>IFERROR(VLOOKUP(E52,BattleFishData!$A:$B,2,FALSE),"")</f>
        <v/>
      </c>
    </row>
    <row r="53">
      <c r="F53" s="11">
        <f>IFERROR(VLOOKUP(E53,BattleFishData!$A:$B,2,FALSE),"")</f>
        <v/>
      </c>
    </row>
    <row r="54">
      <c r="F54" s="11">
        <f>IFERROR(VLOOKUP(E54,BattleFishData!$A:$B,2,FALSE),"")</f>
        <v/>
      </c>
    </row>
    <row r="55">
      <c r="F55" s="11">
        <f>IFERROR(VLOOKUP(E55,BattleFishData!$A:$B,2,FALSE),"")</f>
        <v/>
      </c>
    </row>
    <row r="56">
      <c r="F56" s="11">
        <f>IFERROR(VLOOKUP(E56,BattleFishData!$A:$B,2,FALSE),"")</f>
        <v/>
      </c>
    </row>
    <row r="57">
      <c r="F57" s="11">
        <f>IFERROR(VLOOKUP(E57,BattleFishData!$A:$B,2,FALSE),"")</f>
        <v/>
      </c>
    </row>
    <row r="58">
      <c r="F58" s="11">
        <f>IFERROR(VLOOKUP(E58,BattleFishData!$A:$B,2,FALSE),"")</f>
        <v/>
      </c>
    </row>
    <row r="59">
      <c r="F59" s="11">
        <f>IFERROR(VLOOKUP(E59,BattleFishData!$A:$B,2,FALSE),"")</f>
        <v/>
      </c>
    </row>
    <row r="60">
      <c r="F60" s="11">
        <f>IFERROR(VLOOKUP(E60,BattleFishData!$A:$B,2,FALSE),"")</f>
        <v/>
      </c>
    </row>
    <row r="61">
      <c r="F61" s="11">
        <f>IFERROR(VLOOKUP(E61,BattleFishData!$A:$B,2,FALSE),"")</f>
        <v/>
      </c>
    </row>
    <row r="62">
      <c r="F62" s="11">
        <f>IFERROR(VLOOKUP(E62,BattleFishData!$A:$B,2,FALSE),"")</f>
        <v/>
      </c>
    </row>
    <row r="63">
      <c r="F63" s="11">
        <f>IFERROR(VLOOKUP(E63,BattleFishData!$A:$B,2,FALSE),"")</f>
        <v/>
      </c>
    </row>
    <row r="64">
      <c r="F64" s="11">
        <f>IFERROR(VLOOKUP(E64,BattleFishData!$A:$B,2,FALSE),"")</f>
        <v/>
      </c>
    </row>
    <row r="65">
      <c r="F65" s="11">
        <f>IFERROR(VLOOKUP(E65,BattleFishData!$A:$B,2,FALSE),"")</f>
        <v/>
      </c>
    </row>
    <row r="66">
      <c r="F66" s="11">
        <f>IFERROR(VLOOKUP(E66,BattleFishData!$A:$B,2,FALSE),"")</f>
        <v/>
      </c>
    </row>
    <row r="67">
      <c r="F67" s="11">
        <f>IFERROR(VLOOKUP(E67,BattleFishData!$A:$B,2,FALSE),"")</f>
        <v/>
      </c>
    </row>
    <row r="68">
      <c r="F68" s="11">
        <f>IFERROR(VLOOKUP(E68,BattleFishData!$A:$B,2,FALSE),"")</f>
        <v/>
      </c>
    </row>
    <row r="69">
      <c r="F69" s="11">
        <f>IFERROR(VLOOKUP(E69,BattleFishData!$A:$B,2,FALSE),"")</f>
        <v/>
      </c>
    </row>
    <row r="70">
      <c r="F70" s="11">
        <f>IFERROR(VLOOKUP(E70,BattleFishData!$A:$B,2,FALSE),"")</f>
        <v/>
      </c>
    </row>
    <row r="71">
      <c r="F71" s="11">
        <f>IFERROR(VLOOKUP(E71,BattleFishData!$A:$B,2,FALSE),"")</f>
        <v/>
      </c>
    </row>
    <row r="72">
      <c r="F72" s="11">
        <f>IFERROR(VLOOKUP(E72,BattleFishData!$A:$B,2,FALSE),"")</f>
        <v/>
      </c>
    </row>
    <row r="73">
      <c r="F73" s="11">
        <f>IFERROR(VLOOKUP(E73,BattleFishData!$A:$B,2,FALSE),"")</f>
        <v/>
      </c>
    </row>
    <row r="74">
      <c r="F74" s="11">
        <f>IFERROR(VLOOKUP(E74,BattleFishData!$A:$B,2,FALSE),"")</f>
        <v/>
      </c>
    </row>
    <row r="75">
      <c r="F75" s="11">
        <f>IFERROR(VLOOKUP(E75,BattleFishData!$A:$B,2,FALSE),"")</f>
        <v/>
      </c>
    </row>
    <row r="76">
      <c r="F76" s="11">
        <f>IFERROR(VLOOKUP(E76,BattleFishData!$A:$B,2,FALSE),"")</f>
        <v/>
      </c>
    </row>
    <row r="77">
      <c r="F77" s="11">
        <f>IFERROR(VLOOKUP(E77,BattleFishData!$A:$B,2,FALSE),"")</f>
        <v/>
      </c>
    </row>
    <row r="78">
      <c r="F78" s="11">
        <f>IFERROR(VLOOKUP(E78,BattleFishData!$A:$B,2,FALSE),"")</f>
        <v/>
      </c>
    </row>
    <row r="79">
      <c r="F79" s="11">
        <f>IFERROR(VLOOKUP(E79,BattleFishData!$A:$B,2,FALSE),"")</f>
        <v/>
      </c>
    </row>
    <row r="80">
      <c r="F80" s="11">
        <f>IFERROR(VLOOKUP(E80,BattleFishData!$A:$B,2,FALSE),"")</f>
        <v/>
      </c>
    </row>
    <row r="81">
      <c r="F81" s="11">
        <f>IFERROR(VLOOKUP(E81,BattleFishData!$A:$B,2,FALSE),"")</f>
        <v/>
      </c>
    </row>
    <row r="82">
      <c r="F82" s="11">
        <f>IFERROR(VLOOKUP(E82,BattleFishData!$A:$B,2,FALSE),"")</f>
        <v/>
      </c>
    </row>
    <row r="83">
      <c r="F83" s="11">
        <f>IFERROR(VLOOKUP(E83,BattleFishData!$A:$B,2,FALSE),"")</f>
        <v/>
      </c>
    </row>
    <row r="84">
      <c r="F84" s="11">
        <f>IFERROR(VLOOKUP(E84,BattleFishData!$A:$B,2,FALSE),"")</f>
        <v/>
      </c>
    </row>
    <row r="85">
      <c r="F85" s="11">
        <f>IFERROR(VLOOKUP(E85,BattleFishData!$A:$B,2,FALSE),"")</f>
        <v/>
      </c>
    </row>
    <row r="86">
      <c r="F86" s="11">
        <f>IFERROR(VLOOKUP(E86,BattleFishData!$A:$B,2,FALSE),"")</f>
        <v/>
      </c>
    </row>
    <row r="87">
      <c r="F87" s="11">
        <f>IFERROR(VLOOKUP(E87,BattleFishData!$A:$B,2,FALSE),"")</f>
        <v/>
      </c>
    </row>
    <row r="88">
      <c r="F88" s="11">
        <f>IFERROR(VLOOKUP(E88,BattleFishData!$A:$B,2,FALSE),"")</f>
        <v/>
      </c>
    </row>
    <row r="89">
      <c r="F89" s="11">
        <f>IFERROR(VLOOKUP(E89,BattleFishData!$A:$B,2,FALSE),"")</f>
        <v/>
      </c>
    </row>
    <row r="90">
      <c r="F90" s="11">
        <f>IFERROR(VLOOKUP(E90,BattleFishData!$A:$B,2,FALSE),"")</f>
        <v/>
      </c>
    </row>
    <row r="91">
      <c r="F91" s="11">
        <f>IFERROR(VLOOKUP(E91,BattleFishData!$A:$B,2,FALSE),"")</f>
        <v/>
      </c>
    </row>
    <row r="92">
      <c r="F92" s="11">
        <f>IFERROR(VLOOKUP(E92,BattleFishData!$A:$B,2,FALSE),"")</f>
        <v/>
      </c>
    </row>
    <row r="93">
      <c r="F93" s="11">
        <f>IFERROR(VLOOKUP(E93,BattleFishData!$A:$B,2,FALSE),"")</f>
        <v/>
      </c>
    </row>
    <row r="94">
      <c r="F94" s="11">
        <f>IFERROR(VLOOKUP(E94,BattleFishData!$A:$B,2,FALSE),"")</f>
        <v/>
      </c>
    </row>
    <row r="95">
      <c r="F95" s="11">
        <f>IFERROR(VLOOKUP(E95,BattleFishData!$A:$B,2,FALSE),"")</f>
        <v/>
      </c>
    </row>
    <row r="96">
      <c r="F96" s="11">
        <f>IFERROR(VLOOKUP(E96,BattleFishData!$A:$B,2,FALSE),"")</f>
        <v/>
      </c>
    </row>
    <row r="97">
      <c r="F97" s="11">
        <f>IFERROR(VLOOKUP(E97,BattleFishData!$A:$B,2,FALSE),"")</f>
        <v/>
      </c>
    </row>
    <row r="98">
      <c r="F98" s="11">
        <f>IFERROR(VLOOKUP(E98,BattleFishData!$A:$B,2,FALSE),"")</f>
        <v/>
      </c>
    </row>
    <row r="99">
      <c r="F99" s="11">
        <f>IFERROR(VLOOKUP(E99,BattleFishData!$A:$B,2,FALSE),"")</f>
        <v/>
      </c>
    </row>
    <row r="100">
      <c r="F100" s="11">
        <f>IFERROR(VLOOKUP(E100,BattleFishData!$A:$B,2,FALSE),"")</f>
        <v/>
      </c>
    </row>
    <row r="101">
      <c r="F101" s="11">
        <f>IFERROR(VLOOKUP(E101,BattleFishData!$A:$B,2,FALSE),"")</f>
        <v/>
      </c>
    </row>
    <row r="102">
      <c r="F102" s="11">
        <f>IFERROR(VLOOKUP(E102,BattleFishData!$A:$B,2,FALSE),"")</f>
        <v/>
      </c>
    </row>
    <row r="103">
      <c r="F103" s="11">
        <f>IFERROR(VLOOKUP(E103,BattleFishData!$A:$B,2,FALSE),"")</f>
        <v/>
      </c>
    </row>
    <row r="104">
      <c r="F104" s="11">
        <f>IFERROR(VLOOKUP(E104,BattleFishData!$A:$B,2,FALSE),"")</f>
        <v/>
      </c>
    </row>
    <row r="105">
      <c r="F105" s="11">
        <f>IFERROR(VLOOKUP(E105,BattleFishData!$A:$B,2,FALSE),"")</f>
        <v/>
      </c>
    </row>
    <row r="106">
      <c r="F106" s="11">
        <f>IFERROR(VLOOKUP(E106,BattleFishData!$A:$B,2,FALSE),"")</f>
        <v/>
      </c>
    </row>
    <row r="107">
      <c r="F107" s="11">
        <f>IFERROR(VLOOKUP(E107,BattleFishData!$A:$B,2,FALSE),"")</f>
        <v/>
      </c>
    </row>
    <row r="108">
      <c r="F108" s="11">
        <f>IFERROR(VLOOKUP(E108,BattleFishData!$A:$B,2,FALSE),"")</f>
        <v/>
      </c>
    </row>
    <row r="109">
      <c r="F109" s="11">
        <f>IFERROR(VLOOKUP(E109,BattleFishData!$A:$B,2,FALSE),"")</f>
        <v/>
      </c>
    </row>
    <row r="110">
      <c r="F110" s="11">
        <f>IFERROR(VLOOKUP(E110,BattleFishData!$A:$B,2,FALSE),"")</f>
        <v/>
      </c>
    </row>
    <row r="111">
      <c r="F111" s="11">
        <f>IFERROR(VLOOKUP(E111,BattleFishData!$A:$B,2,FALSE),"")</f>
        <v/>
      </c>
    </row>
    <row r="112">
      <c r="F112" s="11">
        <f>IFERROR(VLOOKUP(E112,BattleFishData!$A:$B,2,FALSE),"")</f>
        <v/>
      </c>
    </row>
    <row r="113">
      <c r="F113" s="11">
        <f>IFERROR(VLOOKUP(E113,BattleFishData!$A:$B,2,FALSE),"")</f>
        <v/>
      </c>
    </row>
    <row r="114">
      <c r="F114" s="11">
        <f>IFERROR(VLOOKUP(E114,BattleFishData!$A:$B,2,FALSE),"")</f>
        <v/>
      </c>
    </row>
    <row r="115">
      <c r="F115" s="11">
        <f>IFERROR(VLOOKUP(E115,BattleFishData!$A:$B,2,FALSE),"")</f>
        <v/>
      </c>
    </row>
    <row r="116">
      <c r="F116" s="11">
        <f>IFERROR(VLOOKUP(E116,BattleFishData!$A:$B,2,FALSE),"")</f>
        <v/>
      </c>
    </row>
    <row r="117">
      <c r="F117" s="11">
        <f>IFERROR(VLOOKUP(E117,BattleFishData!$A:$B,2,FALSE),"")</f>
        <v/>
      </c>
    </row>
    <row r="118">
      <c r="F118" s="11">
        <f>IFERROR(VLOOKUP(E118,BattleFishData!$A:$B,2,FALSE),"")</f>
        <v/>
      </c>
    </row>
    <row r="119">
      <c r="F119" s="11">
        <f>IFERROR(VLOOKUP(E119,BattleFishData!$A:$B,2,FALSE),"")</f>
        <v/>
      </c>
    </row>
    <row r="120">
      <c r="F120" s="11">
        <f>IFERROR(VLOOKUP(E120,BattleFishData!$A:$B,2,FALSE),"")</f>
        <v/>
      </c>
    </row>
    <row r="121">
      <c r="F121" s="11">
        <f>IFERROR(VLOOKUP(E121,BattleFishData!$A:$B,2,FALSE),"")</f>
        <v/>
      </c>
    </row>
    <row r="122">
      <c r="F122" s="11">
        <f>IFERROR(VLOOKUP(E122,BattleFishData!$A:$B,2,FALSE),"")</f>
        <v/>
      </c>
    </row>
    <row r="123">
      <c r="F123" s="11">
        <f>IFERROR(VLOOKUP(E123,BattleFishData!$A:$B,2,FALSE),"")</f>
        <v/>
      </c>
    </row>
    <row r="124">
      <c r="F124" s="11">
        <f>IFERROR(VLOOKUP(E124,BattleFishData!$A:$B,2,FALSE),"")</f>
        <v/>
      </c>
    </row>
    <row r="125">
      <c r="F125" s="11">
        <f>IFERROR(VLOOKUP(E125,BattleFishData!$A:$B,2,FALSE),"")</f>
        <v/>
      </c>
    </row>
    <row r="126">
      <c r="F126" s="11">
        <f>IFERROR(VLOOKUP(E126,BattleFishData!$A:$B,2,FALSE),"")</f>
        <v/>
      </c>
    </row>
    <row r="127">
      <c r="F127" s="11">
        <f>IFERROR(VLOOKUP(E127,BattleFishData!$A:$B,2,FALSE),"")</f>
        <v/>
      </c>
    </row>
    <row r="128">
      <c r="F128" s="11">
        <f>IFERROR(VLOOKUP(E128,BattleFishData!$A:$B,2,FALSE),"")</f>
        <v/>
      </c>
    </row>
    <row r="129">
      <c r="F129" s="11">
        <f>IFERROR(VLOOKUP(E129,BattleFishData!$A:$B,2,FALSE),"")</f>
        <v/>
      </c>
    </row>
    <row r="130">
      <c r="F130" s="11">
        <f>IFERROR(VLOOKUP(E130,BattleFishData!$A:$B,2,FALSE),"")</f>
        <v/>
      </c>
    </row>
    <row r="131">
      <c r="F131" s="11">
        <f>IFERROR(VLOOKUP(E131,BattleFishData!$A:$B,2,FALSE),"")</f>
        <v/>
      </c>
    </row>
    <row r="132">
      <c r="F132" s="11">
        <f>IFERROR(VLOOKUP(E132,BattleFishData!$A:$B,2,FALSE),"")</f>
        <v/>
      </c>
    </row>
    <row r="133">
      <c r="F133" s="11">
        <f>IFERROR(VLOOKUP(E133,BattleFishData!$A:$B,2,FALSE),"")</f>
        <v/>
      </c>
    </row>
    <row r="134">
      <c r="F134" s="11">
        <f>IFERROR(VLOOKUP(E134,BattleFishData!$A:$B,2,FALSE),"")</f>
        <v/>
      </c>
    </row>
    <row r="135">
      <c r="F135" s="11">
        <f>IFERROR(VLOOKUP(E135,BattleFishData!$A:$B,2,FALSE),"")</f>
        <v/>
      </c>
    </row>
    <row r="136">
      <c r="F136" s="11">
        <f>IFERROR(VLOOKUP(E136,BattleFishData!$A:$B,2,FALSE),"")</f>
        <v/>
      </c>
    </row>
    <row r="137">
      <c r="F137" s="11">
        <f>IFERROR(VLOOKUP(E137,BattleFishData!$A:$B,2,FALSE),"")</f>
        <v/>
      </c>
    </row>
    <row r="138">
      <c r="F138" s="11">
        <f>IFERROR(VLOOKUP(E138,BattleFishData!$A:$B,2,FALSE),"")</f>
        <v/>
      </c>
    </row>
    <row r="139">
      <c r="F139" s="11">
        <f>IFERROR(VLOOKUP(E139,BattleFishData!$A:$B,2,FALSE),"")</f>
        <v/>
      </c>
    </row>
    <row r="140">
      <c r="F140" s="11">
        <f>IFERROR(VLOOKUP(E140,BattleFishData!$A:$B,2,FALSE),"")</f>
        <v/>
      </c>
    </row>
    <row r="141">
      <c r="F141" s="11">
        <f>IFERROR(VLOOKUP(E141,BattleFishData!$A:$B,2,FALSE),"")</f>
        <v/>
      </c>
    </row>
    <row r="142">
      <c r="F142" s="11">
        <f>IFERROR(VLOOKUP(E142,BattleFishData!$A:$B,2,FALSE),"")</f>
        <v/>
      </c>
    </row>
    <row r="143">
      <c r="F143" s="11">
        <f>IFERROR(VLOOKUP(E143,BattleFishData!$A:$B,2,FALSE),"")</f>
        <v/>
      </c>
    </row>
    <row r="144">
      <c r="F144" s="11">
        <f>IFERROR(VLOOKUP(E144,BattleFishData!$A:$B,2,FALSE),"")</f>
        <v/>
      </c>
    </row>
    <row r="145">
      <c r="F145" s="11">
        <f>IFERROR(VLOOKUP(E145,BattleFishData!$A:$B,2,FALSE),"")</f>
        <v/>
      </c>
    </row>
    <row r="146">
      <c r="F146" s="11">
        <f>IFERROR(VLOOKUP(E146,BattleFishData!$A:$B,2,FALSE),"")</f>
        <v/>
      </c>
    </row>
    <row r="147">
      <c r="F147" s="11">
        <f>IFERROR(VLOOKUP(E147,BattleFishData!$A:$B,2,FALSE),"")</f>
        <v/>
      </c>
    </row>
    <row r="148">
      <c r="F148" s="11">
        <f>IFERROR(VLOOKUP(E148,BattleFishData!$A:$B,2,FALSE),"")</f>
        <v/>
      </c>
    </row>
    <row r="149">
      <c r="F149" s="11">
        <f>IFERROR(VLOOKUP(E149,BattleFishData!$A:$B,2,FALSE),"")</f>
        <v/>
      </c>
    </row>
    <row r="150">
      <c r="F150" s="11">
        <f>IFERROR(VLOOKUP(E150,BattleFishData!$A:$B,2,FALSE),"")</f>
        <v/>
      </c>
    </row>
    <row r="151">
      <c r="F151" s="11">
        <f>IFERROR(VLOOKUP(E151,BattleFishData!$A:$B,2,FALSE),"")</f>
        <v/>
      </c>
    </row>
    <row r="152">
      <c r="F152" s="11">
        <f>IFERROR(VLOOKUP(E152,BattleFishData!$A:$B,2,FALSE),"")</f>
        <v/>
      </c>
    </row>
    <row r="153">
      <c r="F153" s="11">
        <f>IFERROR(VLOOKUP(E153,BattleFishData!$A:$B,2,FALSE),"")</f>
        <v/>
      </c>
    </row>
    <row r="154">
      <c r="F154" s="11">
        <f>IFERROR(VLOOKUP(E154,BattleFishData!$A:$B,2,FALSE),"")</f>
        <v/>
      </c>
    </row>
    <row r="155">
      <c r="F155" s="11">
        <f>IFERROR(VLOOKUP(E155,BattleFishData!$A:$B,2,FALSE),"")</f>
        <v/>
      </c>
    </row>
    <row r="156">
      <c r="F156" s="11">
        <f>IFERROR(VLOOKUP(E156,BattleFishData!$A:$B,2,FALSE),"")</f>
        <v/>
      </c>
    </row>
    <row r="157">
      <c r="F157" s="11">
        <f>IFERROR(VLOOKUP(E157,BattleFishData!$A:$B,2,FALSE),"")</f>
        <v/>
      </c>
    </row>
    <row r="158">
      <c r="F158" s="11">
        <f>IFERROR(VLOOKUP(E158,BattleFishData!$A:$B,2,FALSE),"")</f>
        <v/>
      </c>
    </row>
    <row r="159">
      <c r="F159" s="11">
        <f>IFERROR(VLOOKUP(E159,BattleFishData!$A:$B,2,FALSE),"")</f>
        <v/>
      </c>
    </row>
    <row r="160">
      <c r="F160" s="11">
        <f>IFERROR(VLOOKUP(E160,BattleFishData!$A:$B,2,FALSE),"")</f>
        <v/>
      </c>
    </row>
    <row r="161">
      <c r="F161" s="11">
        <f>IFERROR(VLOOKUP(E161,BattleFishData!$A:$B,2,FALSE),"")</f>
        <v/>
      </c>
    </row>
    <row r="162">
      <c r="F162" s="11">
        <f>IFERROR(VLOOKUP(E162,BattleFishData!$A:$B,2,FALSE),"")</f>
        <v/>
      </c>
    </row>
    <row r="163">
      <c r="F163" s="11">
        <f>IFERROR(VLOOKUP(E163,BattleFishData!$A:$B,2,FALSE),"")</f>
        <v/>
      </c>
    </row>
    <row r="164">
      <c r="F164" s="11">
        <f>IFERROR(VLOOKUP(E164,BattleFishData!$A:$B,2,FALSE),"")</f>
        <v/>
      </c>
    </row>
    <row r="165">
      <c r="F165" s="11">
        <f>IFERROR(VLOOKUP(E165,BattleFishData!$A:$B,2,FALSE),"")</f>
        <v/>
      </c>
    </row>
    <row r="166">
      <c r="F166" s="11">
        <f>IFERROR(VLOOKUP(E166,BattleFishData!$A:$B,2,FALSE),"")</f>
        <v/>
      </c>
    </row>
    <row r="167">
      <c r="F167" s="11">
        <f>IFERROR(VLOOKUP(E167,BattleFishData!$A:$B,2,FALSE),"")</f>
        <v/>
      </c>
    </row>
    <row r="168">
      <c r="F168" s="11">
        <f>IFERROR(VLOOKUP(E168,BattleFishData!$A:$B,2,FALSE),"")</f>
        <v/>
      </c>
    </row>
    <row r="169">
      <c r="F169" s="11">
        <f>IFERROR(VLOOKUP(E169,BattleFishData!$A:$B,2,FALSE),"")</f>
        <v/>
      </c>
    </row>
    <row r="170">
      <c r="F170" s="11">
        <f>IFERROR(VLOOKUP(E170,BattleFishData!$A:$B,2,FALSE),"")</f>
        <v/>
      </c>
    </row>
    <row r="171">
      <c r="F171" s="11">
        <f>IFERROR(VLOOKUP(E171,BattleFishData!$A:$B,2,FALSE),"")</f>
        <v/>
      </c>
    </row>
    <row r="172">
      <c r="F172" s="11">
        <f>IFERROR(VLOOKUP(E172,BattleFishData!$A:$B,2,FALSE),"")</f>
        <v/>
      </c>
    </row>
    <row r="173">
      <c r="F173" s="11">
        <f>IFERROR(VLOOKUP(E173,BattleFishData!$A:$B,2,FALSE),"")</f>
        <v/>
      </c>
    </row>
    <row r="174">
      <c r="F174" s="11">
        <f>IFERROR(VLOOKUP(E174,BattleFishData!$A:$B,2,FALSE),"")</f>
        <v/>
      </c>
    </row>
    <row r="175">
      <c r="F175" s="11">
        <f>IFERROR(VLOOKUP(E175,BattleFishData!$A:$B,2,FALSE),"")</f>
        <v/>
      </c>
    </row>
    <row r="176">
      <c r="F176" s="11">
        <f>IFERROR(VLOOKUP(E176,BattleFishData!$A:$B,2,FALSE),"")</f>
        <v/>
      </c>
    </row>
    <row r="177">
      <c r="F177" s="11">
        <f>IFERROR(VLOOKUP(E177,BattleFishData!$A:$B,2,FALSE),"")</f>
        <v/>
      </c>
    </row>
    <row r="178">
      <c r="F178" s="11">
        <f>IFERROR(VLOOKUP(E178,BattleFishData!$A:$B,2,FALSE),"")</f>
        <v/>
      </c>
    </row>
    <row r="179">
      <c r="F179" s="11">
        <f>IFERROR(VLOOKUP(E179,BattleFishData!$A:$B,2,FALSE),"")</f>
        <v/>
      </c>
    </row>
    <row r="180">
      <c r="F180" s="11">
        <f>IFERROR(VLOOKUP(E180,BattleFishData!$A:$B,2,FALSE),"")</f>
        <v/>
      </c>
    </row>
    <row r="181">
      <c r="F181" s="11">
        <f>IFERROR(VLOOKUP(E181,BattleFishData!$A:$B,2,FALSE),"")</f>
        <v/>
      </c>
    </row>
    <row r="182">
      <c r="F182" s="11">
        <f>IFERROR(VLOOKUP(E182,BattleFishData!$A:$B,2,FALSE),"")</f>
        <v/>
      </c>
    </row>
    <row r="183">
      <c r="F183" s="11">
        <f>IFERROR(VLOOKUP(E183,BattleFishData!$A:$B,2,FALSE),"")</f>
        <v/>
      </c>
    </row>
    <row r="184">
      <c r="F184" s="11">
        <f>IFERROR(VLOOKUP(E184,BattleFishData!$A:$B,2,FALSE),"")</f>
        <v/>
      </c>
    </row>
    <row r="185">
      <c r="F185" s="11">
        <f>IFERROR(VLOOKUP(E185,BattleFishData!$A:$B,2,FALSE),"")</f>
        <v/>
      </c>
    </row>
    <row r="186">
      <c r="F186" s="11">
        <f>IFERROR(VLOOKUP(E186,BattleFishData!$A:$B,2,FALSE),"")</f>
        <v/>
      </c>
    </row>
    <row r="187">
      <c r="F187" s="11">
        <f>IFERROR(VLOOKUP(E187,BattleFishData!$A:$B,2,FALSE),"")</f>
        <v/>
      </c>
    </row>
    <row r="188">
      <c r="F188" s="11">
        <f>IFERROR(VLOOKUP(E188,BattleFishData!$A:$B,2,FALSE),"")</f>
        <v/>
      </c>
    </row>
    <row r="189">
      <c r="F189" s="11">
        <f>IFERROR(VLOOKUP(E189,BattleFishData!$A:$B,2,FALSE),"")</f>
        <v/>
      </c>
    </row>
    <row r="190">
      <c r="F190" s="11">
        <f>IFERROR(VLOOKUP(E190,BattleFishData!$A:$B,2,FALSE),"")</f>
        <v/>
      </c>
    </row>
    <row r="191">
      <c r="F191" s="11">
        <f>IFERROR(VLOOKUP(E191,BattleFishData!$A:$B,2,FALSE),"")</f>
        <v/>
      </c>
    </row>
    <row r="192">
      <c r="F192" s="11">
        <f>IFERROR(VLOOKUP(E192,BattleFishData!$A:$B,2,FALSE),"")</f>
        <v/>
      </c>
    </row>
    <row r="193">
      <c r="F193" s="11">
        <f>IFERROR(VLOOKUP(E193,BattleFishData!$A:$B,2,FALSE),"")</f>
        <v/>
      </c>
    </row>
    <row r="194">
      <c r="F194" s="11">
        <f>IFERROR(VLOOKUP(E194,BattleFishData!$A:$B,2,FALSE),"")</f>
        <v/>
      </c>
    </row>
    <row r="195">
      <c r="F195" s="11">
        <f>IFERROR(VLOOKUP(E195,BattleFishData!$A:$B,2,FALSE),"")</f>
        <v/>
      </c>
    </row>
    <row r="196">
      <c r="F196" s="11">
        <f>IFERROR(VLOOKUP(E196,BattleFishData!$A:$B,2,FALSE),"")</f>
        <v/>
      </c>
    </row>
    <row r="197">
      <c r="F197" s="11">
        <f>IFERROR(VLOOKUP(E197,BattleFishData!$A:$B,2,FALSE),"")</f>
        <v/>
      </c>
    </row>
    <row r="198">
      <c r="F198" s="11">
        <f>IFERROR(VLOOKUP(E198,BattleFishData!$A:$B,2,FALSE),"")</f>
        <v/>
      </c>
    </row>
    <row r="199">
      <c r="F199" s="11">
        <f>IFERROR(VLOOKUP(E199,BattleFishData!$A:$B,2,FALSE),"")</f>
        <v/>
      </c>
    </row>
    <row r="200">
      <c r="F200" s="11">
        <f>IFERROR(VLOOKUP(E200,BattleFishData!$A:$B,2,FALSE),"")</f>
        <v/>
      </c>
    </row>
    <row r="201">
      <c r="F201" s="11">
        <f>IFERROR(VLOOKUP(E201,BattleFishData!$A:$B,2,FALSE),"")</f>
        <v/>
      </c>
    </row>
    <row r="202">
      <c r="F202" s="11">
        <f>IFERROR(VLOOKUP(E202,BattleFishData!$A:$B,2,FALSE),"")</f>
        <v/>
      </c>
    </row>
    <row r="203">
      <c r="F203" s="11">
        <f>IFERROR(VLOOKUP(E203,BattleFishData!$A:$B,2,FALSE),"")</f>
        <v/>
      </c>
    </row>
    <row r="204">
      <c r="F204" s="11">
        <f>IFERROR(VLOOKUP(E204,BattleFishData!$A:$B,2,FALSE),"")</f>
        <v/>
      </c>
    </row>
    <row r="205">
      <c r="F205" s="11">
        <f>IFERROR(VLOOKUP(E205,BattleFishData!$A:$B,2,FALSE),"")</f>
        <v/>
      </c>
    </row>
    <row r="206">
      <c r="F206" s="11">
        <f>IFERROR(VLOOKUP(E206,BattleFishData!$A:$B,2,FALSE),"")</f>
        <v/>
      </c>
    </row>
    <row r="207">
      <c r="F207" s="11">
        <f>IFERROR(VLOOKUP(E207,BattleFishData!$A:$B,2,FALSE),"")</f>
        <v/>
      </c>
    </row>
    <row r="208">
      <c r="F208" s="11">
        <f>IFERROR(VLOOKUP(E208,BattleFishData!$A:$B,2,FALSE),"")</f>
        <v/>
      </c>
    </row>
    <row r="209">
      <c r="F209" s="11">
        <f>IFERROR(VLOOKUP(E209,BattleFishData!$A:$B,2,FALSE),"")</f>
        <v/>
      </c>
    </row>
    <row r="210">
      <c r="F210" s="11">
        <f>IFERROR(VLOOKUP(E210,BattleFishData!$A:$B,2,FALSE),"")</f>
        <v/>
      </c>
    </row>
    <row r="211">
      <c r="F211" s="11">
        <f>IFERROR(VLOOKUP(E211,BattleFishData!$A:$B,2,FALSE),"")</f>
        <v/>
      </c>
    </row>
    <row r="212">
      <c r="F212" s="11">
        <f>IFERROR(VLOOKUP(E212,BattleFishData!$A:$B,2,FALSE),"")</f>
        <v/>
      </c>
    </row>
    <row r="213">
      <c r="F213" s="11">
        <f>IFERROR(VLOOKUP(E213,BattleFishData!$A:$B,2,FALSE),"")</f>
        <v/>
      </c>
    </row>
    <row r="214">
      <c r="F214" s="11">
        <f>IFERROR(VLOOKUP(E214,BattleFishData!$A:$B,2,FALSE),"")</f>
        <v/>
      </c>
    </row>
    <row r="215">
      <c r="F215" s="11">
        <f>IFERROR(VLOOKUP(E215,BattleFishData!$A:$B,2,FALSE),"")</f>
        <v/>
      </c>
    </row>
    <row r="216">
      <c r="F216" s="11">
        <f>IFERROR(VLOOKUP(E216,BattleFishData!$A:$B,2,FALSE),"")</f>
        <v/>
      </c>
    </row>
    <row r="217">
      <c r="F217" s="11">
        <f>IFERROR(VLOOKUP(E217,BattleFishData!$A:$B,2,FALSE),"")</f>
        <v/>
      </c>
    </row>
    <row r="218">
      <c r="F218" s="11">
        <f>IFERROR(VLOOKUP(E218,BattleFishData!$A:$B,2,FALSE),"")</f>
        <v/>
      </c>
    </row>
    <row r="219">
      <c r="F219" s="11">
        <f>IFERROR(VLOOKUP(E219,BattleFishData!$A:$B,2,FALSE),"")</f>
        <v/>
      </c>
    </row>
    <row r="220">
      <c r="F220" s="11">
        <f>IFERROR(VLOOKUP(E220,BattleFishData!$A:$B,2,FALSE),"")</f>
        <v/>
      </c>
    </row>
    <row r="221">
      <c r="F221" s="11">
        <f>IFERROR(VLOOKUP(E221,BattleFishData!$A:$B,2,FALSE),"")</f>
        <v/>
      </c>
    </row>
    <row r="222">
      <c r="F222" s="11">
        <f>IFERROR(VLOOKUP(E222,BattleFishData!$A:$B,2,FALSE),"")</f>
        <v/>
      </c>
    </row>
    <row r="223">
      <c r="F223" s="11">
        <f>IFERROR(VLOOKUP(E223,BattleFishData!$A:$B,2,FALSE),"")</f>
        <v/>
      </c>
    </row>
    <row r="224">
      <c r="F224" s="11">
        <f>IFERROR(VLOOKUP(E224,BattleFishData!$A:$B,2,FALSE),"")</f>
        <v/>
      </c>
    </row>
    <row r="225">
      <c r="F225" s="11">
        <f>IFERROR(VLOOKUP(E225,BattleFishData!$A:$B,2,FALSE),"")</f>
        <v/>
      </c>
    </row>
    <row r="226">
      <c r="F226" s="11">
        <f>IFERROR(VLOOKUP(E226,BattleFishData!$A:$B,2,FALSE),"")</f>
        <v/>
      </c>
    </row>
    <row r="227">
      <c r="F227" s="11">
        <f>IFERROR(VLOOKUP(E227,BattleFishData!$A:$B,2,FALSE),"")</f>
        <v/>
      </c>
    </row>
    <row r="228">
      <c r="F228" s="11">
        <f>IFERROR(VLOOKUP(E228,BattleFishData!$A:$B,2,FALSE),"")</f>
        <v/>
      </c>
    </row>
    <row r="229">
      <c r="F229" s="11">
        <f>IFERROR(VLOOKUP(E229,BattleFishData!$A:$B,2,FALSE),"")</f>
        <v/>
      </c>
    </row>
    <row r="230">
      <c r="F230" s="11">
        <f>IFERROR(VLOOKUP(E230,BattleFishData!$A:$B,2,FALSE),"")</f>
        <v/>
      </c>
    </row>
    <row r="231">
      <c r="F231" s="11">
        <f>IFERROR(VLOOKUP(E231,BattleFishData!$A:$B,2,FALSE),"")</f>
        <v/>
      </c>
    </row>
    <row r="232">
      <c r="F232" s="11">
        <f>IFERROR(VLOOKUP(E232,BattleFishData!$A:$B,2,FALSE),"")</f>
        <v/>
      </c>
    </row>
    <row r="233">
      <c r="F233" s="11">
        <f>IFERROR(VLOOKUP(E233,BattleFishData!$A:$B,2,FALSE),"")</f>
        <v/>
      </c>
    </row>
    <row r="234">
      <c r="F234" s="11">
        <f>IFERROR(VLOOKUP(E234,BattleFishData!$A:$B,2,FALSE),"")</f>
        <v/>
      </c>
    </row>
    <row r="235">
      <c r="F235" s="11">
        <f>IFERROR(VLOOKUP(E235,BattleFishData!$A:$B,2,FALSE),"")</f>
        <v/>
      </c>
    </row>
    <row r="236">
      <c r="F236" s="11">
        <f>IFERROR(VLOOKUP(E236,BattleFishData!$A:$B,2,FALSE),"")</f>
        <v/>
      </c>
    </row>
    <row r="237">
      <c r="F237" s="11">
        <f>IFERROR(VLOOKUP(E237,BattleFishData!$A:$B,2,FALSE),"")</f>
        <v/>
      </c>
    </row>
    <row r="238">
      <c r="F238" s="11">
        <f>IFERROR(VLOOKUP(E238,BattleFishData!$A:$B,2,FALSE),"")</f>
        <v/>
      </c>
    </row>
    <row r="239">
      <c r="F239" s="11">
        <f>IFERROR(VLOOKUP(E239,BattleFishData!$A:$B,2,FALSE),"")</f>
        <v/>
      </c>
    </row>
    <row r="240">
      <c r="F240" s="11">
        <f>IFERROR(VLOOKUP(E240,BattleFishData!$A:$B,2,FALSE),"")</f>
        <v/>
      </c>
    </row>
    <row r="241">
      <c r="F241" s="11">
        <f>IFERROR(VLOOKUP(E241,BattleFishData!$A:$B,2,FALSE),"")</f>
        <v/>
      </c>
    </row>
    <row r="242">
      <c r="F242" s="11">
        <f>IFERROR(VLOOKUP(E242,BattleFishData!$A:$B,2,FALSE),"")</f>
        <v/>
      </c>
    </row>
    <row r="243">
      <c r="F243" s="11">
        <f>IFERROR(VLOOKUP(E243,BattleFishData!$A:$B,2,FALSE),"")</f>
        <v/>
      </c>
    </row>
    <row r="244">
      <c r="F244" s="11">
        <f>IFERROR(VLOOKUP(E244,BattleFishData!$A:$B,2,FALSE),"")</f>
        <v/>
      </c>
    </row>
    <row r="245">
      <c r="F245" s="11">
        <f>IFERROR(VLOOKUP(E245,BattleFishData!$A:$B,2,FALSE),"")</f>
        <v/>
      </c>
    </row>
    <row r="246">
      <c r="F246" s="11">
        <f>IFERROR(VLOOKUP(E246,BattleFishData!$A:$B,2,FALSE),"")</f>
        <v/>
      </c>
    </row>
    <row r="247">
      <c r="F247" s="11">
        <f>IFERROR(VLOOKUP(E247,BattleFishData!$A:$B,2,FALSE),"")</f>
        <v/>
      </c>
    </row>
    <row r="248">
      <c r="F248" s="11">
        <f>IFERROR(VLOOKUP(E248,BattleFishData!$A:$B,2,FALSE),"")</f>
        <v/>
      </c>
    </row>
    <row r="249">
      <c r="F249" s="11">
        <f>IFERROR(VLOOKUP(E249,BattleFishData!$A:$B,2,FALSE),"")</f>
        <v/>
      </c>
    </row>
    <row r="250">
      <c r="F250" s="11">
        <f>IFERROR(VLOOKUP(E250,BattleFishData!$A:$B,2,FALSE),"")</f>
        <v/>
      </c>
    </row>
    <row r="251">
      <c r="F251" s="11">
        <f>IFERROR(VLOOKUP(E251,BattleFishData!$A:$B,2,FALSE),"")</f>
        <v/>
      </c>
    </row>
    <row r="252">
      <c r="F252" s="11">
        <f>IFERROR(VLOOKUP(E252,BattleFishData!$A:$B,2,FALSE),"")</f>
        <v/>
      </c>
    </row>
    <row r="253">
      <c r="F253" s="11">
        <f>IFERROR(VLOOKUP(E253,BattleFishData!$A:$B,2,FALSE),"")</f>
        <v/>
      </c>
    </row>
    <row r="254">
      <c r="F254" s="11">
        <f>IFERROR(VLOOKUP(E254,BattleFishData!$A:$B,2,FALSE),"")</f>
        <v/>
      </c>
    </row>
    <row r="255">
      <c r="F255" s="11">
        <f>IFERROR(VLOOKUP(E255,BattleFishData!$A:$B,2,FALSE),"")</f>
        <v/>
      </c>
    </row>
    <row r="256">
      <c r="F256" s="11">
        <f>IFERROR(VLOOKUP(E256,BattleFishData!$A:$B,2,FALSE),"")</f>
        <v/>
      </c>
    </row>
    <row r="257">
      <c r="F257" s="11">
        <f>IFERROR(VLOOKUP(E257,BattleFishData!$A:$B,2,FALSE),"")</f>
        <v/>
      </c>
    </row>
    <row r="258">
      <c r="F258" s="11">
        <f>IFERROR(VLOOKUP(E258,BattleFishData!$A:$B,2,FALSE),"")</f>
        <v/>
      </c>
    </row>
    <row r="259">
      <c r="F259" s="11">
        <f>IFERROR(VLOOKUP(E259,BattleFishData!$A:$B,2,FALSE),"")</f>
        <v/>
      </c>
    </row>
    <row r="260">
      <c r="F260" s="11">
        <f>IFERROR(VLOOKUP(E260,BattleFishData!$A:$B,2,FALSE),"")</f>
        <v/>
      </c>
    </row>
    <row r="261">
      <c r="F261" s="11">
        <f>IFERROR(VLOOKUP(E261,BattleFishData!$A:$B,2,FALSE),"")</f>
        <v/>
      </c>
    </row>
    <row r="262">
      <c r="F262" s="11">
        <f>IFERROR(VLOOKUP(E262,BattleFishData!$A:$B,2,FALSE),"")</f>
        <v/>
      </c>
    </row>
    <row r="263">
      <c r="F263" s="11">
        <f>IFERROR(VLOOKUP(E263,BattleFishData!$A:$B,2,FALSE),"")</f>
        <v/>
      </c>
    </row>
    <row r="264">
      <c r="F264" s="11">
        <f>IFERROR(VLOOKUP(E264,BattleFishData!$A:$B,2,FALSE),"")</f>
        <v/>
      </c>
    </row>
    <row r="265">
      <c r="F265" s="11">
        <f>IFERROR(VLOOKUP(E265,BattleFishData!$A:$B,2,FALSE),"")</f>
        <v/>
      </c>
    </row>
    <row r="266">
      <c r="F266" s="11">
        <f>IFERROR(VLOOKUP(E266,BattleFishData!$A:$B,2,FALSE),"")</f>
        <v/>
      </c>
    </row>
    <row r="267">
      <c r="F267" s="11">
        <f>IFERROR(VLOOKUP(E267,BattleFishData!$A:$B,2,FALSE),"")</f>
        <v/>
      </c>
    </row>
    <row r="268">
      <c r="F268" s="11">
        <f>IFERROR(VLOOKUP(E268,BattleFishData!$A:$B,2,FALSE),"")</f>
        <v/>
      </c>
    </row>
    <row r="269">
      <c r="F269" s="11">
        <f>IFERROR(VLOOKUP(E269,BattleFishData!$A:$B,2,FALSE),"")</f>
        <v/>
      </c>
    </row>
    <row r="270">
      <c r="F270" s="11">
        <f>IFERROR(VLOOKUP(E270,BattleFishData!$A:$B,2,FALSE),"")</f>
        <v/>
      </c>
    </row>
    <row r="271">
      <c r="F271" s="11">
        <f>IFERROR(VLOOKUP(E271,BattleFishData!$A:$B,2,FALSE),"")</f>
        <v/>
      </c>
    </row>
    <row r="272">
      <c r="F272" s="11">
        <f>IFERROR(VLOOKUP(E272,BattleFishData!$A:$B,2,FALSE),"")</f>
        <v/>
      </c>
    </row>
    <row r="273">
      <c r="F273" s="11">
        <f>IFERROR(VLOOKUP(E273,BattleFishData!$A:$B,2,FALSE),"")</f>
        <v/>
      </c>
    </row>
    <row r="274">
      <c r="F274" s="11">
        <f>IFERROR(VLOOKUP(E274,BattleFishData!$A:$B,2,FALSE),"")</f>
        <v/>
      </c>
    </row>
    <row r="275">
      <c r="F275" s="11">
        <f>IFERROR(VLOOKUP(E275,BattleFishData!$A:$B,2,FALSE),"")</f>
        <v/>
      </c>
    </row>
    <row r="276">
      <c r="F276" s="11">
        <f>IFERROR(VLOOKUP(E276,BattleFishData!$A:$B,2,FALSE),"")</f>
        <v/>
      </c>
    </row>
    <row r="277">
      <c r="F277" s="11">
        <f>IFERROR(VLOOKUP(E277,BattleFishData!$A:$B,2,FALSE),"")</f>
        <v/>
      </c>
    </row>
    <row r="278">
      <c r="F278" s="11">
        <f>IFERROR(VLOOKUP(E278,BattleFishData!$A:$B,2,FALSE),"")</f>
        <v/>
      </c>
    </row>
    <row r="279">
      <c r="F279" s="11">
        <f>IFERROR(VLOOKUP(E279,BattleFishData!$A:$B,2,FALSE),"")</f>
        <v/>
      </c>
    </row>
    <row r="280">
      <c r="F280" s="11">
        <f>IFERROR(VLOOKUP(E280,BattleFishData!$A:$B,2,FALSE),"")</f>
        <v/>
      </c>
    </row>
    <row r="281">
      <c r="F281" s="11">
        <f>IFERROR(VLOOKUP(E281,BattleFishData!$A:$B,2,FALSE),"")</f>
        <v/>
      </c>
    </row>
    <row r="282">
      <c r="F282" s="11">
        <f>IFERROR(VLOOKUP(E282,BattleFishData!$A:$B,2,FALSE),"")</f>
        <v/>
      </c>
    </row>
    <row r="283">
      <c r="F283" s="11">
        <f>IFERROR(VLOOKUP(E283,BattleFishData!$A:$B,2,FALSE),"")</f>
        <v/>
      </c>
    </row>
    <row r="284">
      <c r="F284" s="11">
        <f>IFERROR(VLOOKUP(E284,BattleFishData!$A:$B,2,FALSE),"")</f>
        <v/>
      </c>
    </row>
    <row r="285">
      <c r="F285" s="11">
        <f>IFERROR(VLOOKUP(E285,BattleFishData!$A:$B,2,FALSE),"")</f>
        <v/>
      </c>
    </row>
    <row r="286">
      <c r="F286" s="11">
        <f>IFERROR(VLOOKUP(E286,BattleFishData!$A:$B,2,FALSE),"")</f>
        <v/>
      </c>
    </row>
    <row r="287">
      <c r="F287" s="11">
        <f>IFERROR(VLOOKUP(E287,BattleFishData!$A:$B,2,FALSE),"")</f>
        <v/>
      </c>
    </row>
    <row r="288">
      <c r="F288" s="11">
        <f>IFERROR(VLOOKUP(E288,BattleFishData!$A:$B,2,FALSE),"")</f>
        <v/>
      </c>
    </row>
    <row r="289">
      <c r="F289" s="11">
        <f>IFERROR(VLOOKUP(E289,BattleFishData!$A:$B,2,FALSE),"")</f>
        <v/>
      </c>
    </row>
    <row r="290">
      <c r="F290" s="11">
        <f>IFERROR(VLOOKUP(E290,BattleFishData!$A:$B,2,FALSE),"")</f>
        <v/>
      </c>
    </row>
    <row r="291">
      <c r="F291" s="11">
        <f>IFERROR(VLOOKUP(E291,BattleFishData!$A:$B,2,FALSE),"")</f>
        <v/>
      </c>
    </row>
    <row r="292">
      <c r="F292" s="11">
        <f>IFERROR(VLOOKUP(E292,BattleFishData!$A:$B,2,FALSE),"")</f>
        <v/>
      </c>
    </row>
    <row r="293">
      <c r="F293" s="11">
        <f>IFERROR(VLOOKUP(E293,BattleFishData!$A:$B,2,FALSE),"")</f>
        <v/>
      </c>
    </row>
    <row r="294">
      <c r="F294" s="11">
        <f>IFERROR(VLOOKUP(E294,BattleFishData!$A:$B,2,FALSE),"")</f>
        <v/>
      </c>
    </row>
    <row r="295">
      <c r="F295" s="11">
        <f>IFERROR(VLOOKUP(E295,BattleFishData!$A:$B,2,FALSE),"")</f>
        <v/>
      </c>
    </row>
    <row r="296">
      <c r="F296" s="11">
        <f>IFERROR(VLOOKUP(E296,BattleFishData!$A:$B,2,FALSE),"")</f>
        <v/>
      </c>
    </row>
    <row r="297">
      <c r="F297" s="11">
        <f>IFERROR(VLOOKUP(E297,BattleFishData!$A:$B,2,FALSE),"")</f>
        <v/>
      </c>
    </row>
    <row r="298">
      <c r="F298" s="11">
        <f>IFERROR(VLOOKUP(E298,BattleFishData!$A:$B,2,FALSE),"")</f>
        <v/>
      </c>
    </row>
    <row r="299">
      <c r="F299" s="11">
        <f>IFERROR(VLOOKUP(E299,BattleFishData!$A:$B,2,FALSE),"")</f>
        <v/>
      </c>
    </row>
    <row r="300">
      <c r="F300" s="11">
        <f>IFERROR(VLOOKUP(E300,BattleFishData!$A:$B,2,FALSE),"")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C208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>
      <c r="A1" s="4" t="inlineStr">
        <is>
          <t>m_id</t>
        </is>
      </c>
      <c r="B1" s="4" t="inlineStr">
        <is>
          <t>m_name</t>
        </is>
      </c>
      <c r="C1" s="4" t="inlineStr">
        <is>
          <t>(출처 시트)</t>
        </is>
      </c>
    </row>
    <row r="2">
      <c r="A2" s="13" t="inlineStr">
        <is>
          <t>※ 자동 생성 조회표 — 수정 금지. 변환 대상 아님(화이트리스트 밖).</t>
        </is>
      </c>
    </row>
    <row r="3">
      <c r="A3">
        <f>IF(ItemData_Fish!A3="","",ItemData_Fish!A3)</f>
        <v/>
      </c>
      <c r="B3">
        <f>IF(ItemData_Fish!A3="","",ItemData_Fish!B3)</f>
        <v/>
      </c>
      <c r="C3" t="inlineStr">
        <is>
          <t>ItemData_Fish</t>
        </is>
      </c>
    </row>
    <row r="4">
      <c r="A4">
        <f>IF(ItemData_Fish!A4="","",ItemData_Fish!A4)</f>
        <v/>
      </c>
      <c r="B4">
        <f>IF(ItemData_Fish!A4="","",ItemData_Fish!B4)</f>
        <v/>
      </c>
    </row>
    <row r="5">
      <c r="A5">
        <f>IF(ItemData_Fish!A5="","",ItemData_Fish!A5)</f>
        <v/>
      </c>
      <c r="B5">
        <f>IF(ItemData_Fish!A5="","",ItemData_Fish!B5)</f>
        <v/>
      </c>
    </row>
    <row r="6">
      <c r="A6">
        <f>IF(ItemData_Fish!A6="","",ItemData_Fish!A6)</f>
        <v/>
      </c>
      <c r="B6">
        <f>IF(ItemData_Fish!A6="","",ItemData_Fish!B6)</f>
        <v/>
      </c>
    </row>
    <row r="7">
      <c r="A7">
        <f>IF(ItemData_Fish!A7="","",ItemData_Fish!A7)</f>
        <v/>
      </c>
      <c r="B7">
        <f>IF(ItemData_Fish!A7="","",ItemData_Fish!B7)</f>
        <v/>
      </c>
    </row>
    <row r="8">
      <c r="A8">
        <f>IF(ItemData_Fish!A8="","",ItemData_Fish!A8)</f>
        <v/>
      </c>
      <c r="B8">
        <f>IF(ItemData_Fish!A8="","",ItemData_Fish!B8)</f>
        <v/>
      </c>
    </row>
    <row r="9">
      <c r="A9">
        <f>IF(ItemData_Fish!A9="","",ItemData_Fish!A9)</f>
        <v/>
      </c>
      <c r="B9">
        <f>IF(ItemData_Fish!A9="","",ItemData_Fish!B9)</f>
        <v/>
      </c>
    </row>
    <row r="10">
      <c r="A10">
        <f>IF(ItemData_Fish!A10="","",ItemData_Fish!A10)</f>
        <v/>
      </c>
      <c r="B10">
        <f>IF(ItemData_Fish!A10="","",ItemData_Fish!B10)</f>
        <v/>
      </c>
    </row>
    <row r="11">
      <c r="A11">
        <f>IF(ItemData_Fish!A11="","",ItemData_Fish!A11)</f>
        <v/>
      </c>
      <c r="B11">
        <f>IF(ItemData_Fish!A11="","",ItemData_Fish!B11)</f>
        <v/>
      </c>
    </row>
    <row r="12">
      <c r="A12">
        <f>IF(ItemData_Fish!A12="","",ItemData_Fish!A12)</f>
        <v/>
      </c>
      <c r="B12">
        <f>IF(ItemData_Fish!A12="","",ItemData_Fish!B12)</f>
        <v/>
      </c>
    </row>
    <row r="13">
      <c r="A13">
        <f>IF(ItemData_Fish!A13="","",ItemData_Fish!A13)</f>
        <v/>
      </c>
      <c r="B13">
        <f>IF(ItemData_Fish!A13="","",ItemData_Fish!B13)</f>
        <v/>
      </c>
    </row>
    <row r="14">
      <c r="A14">
        <f>IF(ItemData_Fish!A14="","",ItemData_Fish!A14)</f>
        <v/>
      </c>
      <c r="B14">
        <f>IF(ItemData_Fish!A14="","",ItemData_Fish!B14)</f>
        <v/>
      </c>
    </row>
    <row r="15">
      <c r="A15">
        <f>IF(ItemData_Fish!A15="","",ItemData_Fish!A15)</f>
        <v/>
      </c>
      <c r="B15">
        <f>IF(ItemData_Fish!A15="","",ItemData_Fish!B15)</f>
        <v/>
      </c>
    </row>
    <row r="16">
      <c r="A16">
        <f>IF(ItemData_Fish!A16="","",ItemData_Fish!A16)</f>
        <v/>
      </c>
      <c r="B16">
        <f>IF(ItemData_Fish!A16="","",ItemData_Fish!B16)</f>
        <v/>
      </c>
    </row>
    <row r="17">
      <c r="A17">
        <f>IF(ItemData_Fish!A17="","",ItemData_Fish!A17)</f>
        <v/>
      </c>
      <c r="B17">
        <f>IF(ItemData_Fish!A17="","",ItemData_Fish!B17)</f>
        <v/>
      </c>
    </row>
    <row r="18">
      <c r="A18">
        <f>IF(ItemData_Fish!A18="","",ItemData_Fish!A18)</f>
        <v/>
      </c>
      <c r="B18">
        <f>IF(ItemData_Fish!A18="","",ItemData_Fish!B18)</f>
        <v/>
      </c>
    </row>
    <row r="19">
      <c r="A19">
        <f>IF(ItemData_Fish!A19="","",ItemData_Fish!A19)</f>
        <v/>
      </c>
      <c r="B19">
        <f>IF(ItemData_Fish!A19="","",ItemData_Fish!B19)</f>
        <v/>
      </c>
    </row>
    <row r="20">
      <c r="A20">
        <f>IF(ItemData_Fish!A20="","",ItemData_Fish!A20)</f>
        <v/>
      </c>
      <c r="B20">
        <f>IF(ItemData_Fish!A20="","",ItemData_Fish!B20)</f>
        <v/>
      </c>
    </row>
    <row r="21">
      <c r="A21">
        <f>IF(ItemData_Fish!A21="","",ItemData_Fish!A21)</f>
        <v/>
      </c>
      <c r="B21">
        <f>IF(ItemData_Fish!A21="","",ItemData_Fish!B21)</f>
        <v/>
      </c>
    </row>
    <row r="22">
      <c r="A22">
        <f>IF(ItemData_Fish!A22="","",ItemData_Fish!A22)</f>
        <v/>
      </c>
      <c r="B22">
        <f>IF(ItemData_Fish!A22="","",ItemData_Fish!B22)</f>
        <v/>
      </c>
    </row>
    <row r="23">
      <c r="A23">
        <f>IF(ItemData_Fish!A23="","",ItemData_Fish!A23)</f>
        <v/>
      </c>
      <c r="B23">
        <f>IF(ItemData_Fish!A23="","",ItemData_Fish!B23)</f>
        <v/>
      </c>
    </row>
    <row r="24">
      <c r="A24">
        <f>IF(ItemData_Fish!A24="","",ItemData_Fish!A24)</f>
        <v/>
      </c>
      <c r="B24">
        <f>IF(ItemData_Fish!A24="","",ItemData_Fish!B24)</f>
        <v/>
      </c>
    </row>
    <row r="25">
      <c r="A25">
        <f>IF(ItemData_Fish!A25="","",ItemData_Fish!A25)</f>
        <v/>
      </c>
      <c r="B25">
        <f>IF(ItemData_Fish!A25="","",ItemData_Fish!B25)</f>
        <v/>
      </c>
    </row>
    <row r="26">
      <c r="A26">
        <f>IF(ItemData_Fish!A26="","",ItemData_Fish!A26)</f>
        <v/>
      </c>
      <c r="B26">
        <f>IF(ItemData_Fish!A26="","",ItemData_Fish!B26)</f>
        <v/>
      </c>
    </row>
    <row r="27">
      <c r="A27">
        <f>IF(ItemData_Fish!A27="","",ItemData_Fish!A27)</f>
        <v/>
      </c>
      <c r="B27">
        <f>IF(ItemData_Fish!A27="","",ItemData_Fish!B27)</f>
        <v/>
      </c>
    </row>
    <row r="28">
      <c r="A28">
        <f>IF(ItemData_Fish!A28="","",ItemData_Fish!A28)</f>
        <v/>
      </c>
      <c r="B28">
        <f>IF(ItemData_Fish!A28="","",ItemData_Fish!B28)</f>
        <v/>
      </c>
    </row>
    <row r="29">
      <c r="A29">
        <f>IF(ItemData_Fish!A29="","",ItemData_Fish!A29)</f>
        <v/>
      </c>
      <c r="B29">
        <f>IF(ItemData_Fish!A29="","",ItemData_Fish!B29)</f>
        <v/>
      </c>
    </row>
    <row r="30">
      <c r="A30">
        <f>IF(ItemData_Fish!A30="","",ItemData_Fish!A30)</f>
        <v/>
      </c>
      <c r="B30">
        <f>IF(ItemData_Fish!A30="","",ItemData_Fish!B30)</f>
        <v/>
      </c>
    </row>
    <row r="31">
      <c r="A31">
        <f>IF(ItemData_Fish!A31="","",ItemData_Fish!A31)</f>
        <v/>
      </c>
      <c r="B31">
        <f>IF(ItemData_Fish!A31="","",ItemData_Fish!B31)</f>
        <v/>
      </c>
    </row>
    <row r="32">
      <c r="A32">
        <f>IF(ItemData_Fish!A32="","",ItemData_Fish!A32)</f>
        <v/>
      </c>
      <c r="B32">
        <f>IF(ItemData_Fish!A32="","",ItemData_Fish!B32)</f>
        <v/>
      </c>
    </row>
    <row r="33">
      <c r="A33">
        <f>IF(ItemData_Fish!A33="","",ItemData_Fish!A33)</f>
        <v/>
      </c>
      <c r="B33">
        <f>IF(ItemData_Fish!A33="","",ItemData_Fish!B33)</f>
        <v/>
      </c>
    </row>
    <row r="34">
      <c r="A34">
        <f>IF(ItemData_Fish!A34="","",ItemData_Fish!A34)</f>
        <v/>
      </c>
      <c r="B34">
        <f>IF(ItemData_Fish!A34="","",ItemData_Fish!B34)</f>
        <v/>
      </c>
    </row>
    <row r="35">
      <c r="A35">
        <f>IF(ItemData_Fish!A35="","",ItemData_Fish!A35)</f>
        <v/>
      </c>
      <c r="B35">
        <f>IF(ItemData_Fish!A35="","",ItemData_Fish!B35)</f>
        <v/>
      </c>
    </row>
    <row r="36">
      <c r="A36">
        <f>IF(ItemData_Fish!A36="","",ItemData_Fish!A36)</f>
        <v/>
      </c>
      <c r="B36">
        <f>IF(ItemData_Fish!A36="","",ItemData_Fish!B36)</f>
        <v/>
      </c>
    </row>
    <row r="37">
      <c r="A37">
        <f>IF(ItemData_Fish!A37="","",ItemData_Fish!A37)</f>
        <v/>
      </c>
      <c r="B37">
        <f>IF(ItemData_Fish!A37="","",ItemData_Fish!B37)</f>
        <v/>
      </c>
    </row>
    <row r="38">
      <c r="A38">
        <f>IF(ItemData_Fish!A38="","",ItemData_Fish!A38)</f>
        <v/>
      </c>
      <c r="B38">
        <f>IF(ItemData_Fish!A38="","",ItemData_Fish!B38)</f>
        <v/>
      </c>
    </row>
    <row r="39">
      <c r="A39">
        <f>IF(ItemData_Fish!A39="","",ItemData_Fish!A39)</f>
        <v/>
      </c>
      <c r="B39">
        <f>IF(ItemData_Fish!A39="","",ItemData_Fish!B39)</f>
        <v/>
      </c>
    </row>
    <row r="40">
      <c r="A40">
        <f>IF(ItemData_Fish!A40="","",ItemData_Fish!A40)</f>
        <v/>
      </c>
      <c r="B40">
        <f>IF(ItemData_Fish!A40="","",ItemData_Fish!B40)</f>
        <v/>
      </c>
    </row>
    <row r="41">
      <c r="A41">
        <f>IF(ItemData_Fish!A41="","",ItemData_Fish!A41)</f>
        <v/>
      </c>
      <c r="B41">
        <f>IF(ItemData_Fish!A41="","",ItemData_Fish!B41)</f>
        <v/>
      </c>
    </row>
    <row r="42">
      <c r="A42">
        <f>IF(ItemData_Fish!A42="","",ItemData_Fish!A42)</f>
        <v/>
      </c>
      <c r="B42">
        <f>IF(ItemData_Fish!A42="","",ItemData_Fish!B42)</f>
        <v/>
      </c>
    </row>
    <row r="43">
      <c r="A43">
        <f>IF(ItemData_Fish!A43="","",ItemData_Fish!A43)</f>
        <v/>
      </c>
      <c r="B43">
        <f>IF(ItemData_Fish!A43="","",ItemData_Fish!B43)</f>
        <v/>
      </c>
    </row>
    <row r="44">
      <c r="A44">
        <f>IF(ItemData_Fish!A44="","",ItemData_Fish!A44)</f>
        <v/>
      </c>
      <c r="B44">
        <f>IF(ItemData_Fish!A44="","",ItemData_Fish!B44)</f>
        <v/>
      </c>
    </row>
    <row r="45">
      <c r="A45">
        <f>IF(ItemData_Fish!A45="","",ItemData_Fish!A45)</f>
        <v/>
      </c>
      <c r="B45">
        <f>IF(ItemData_Fish!A45="","",ItemData_Fish!B45)</f>
        <v/>
      </c>
    </row>
    <row r="46">
      <c r="A46">
        <f>IF(ItemData_Fish!A46="","",ItemData_Fish!A46)</f>
        <v/>
      </c>
      <c r="B46">
        <f>IF(ItemData_Fish!A46="","",ItemData_Fish!B46)</f>
        <v/>
      </c>
    </row>
    <row r="47">
      <c r="A47">
        <f>IF(ItemData_Fish!A47="","",ItemData_Fish!A47)</f>
        <v/>
      </c>
      <c r="B47">
        <f>IF(ItemData_Fish!A47="","",ItemData_Fish!B47)</f>
        <v/>
      </c>
    </row>
    <row r="48">
      <c r="A48">
        <f>IF(ItemData_Fish!A48="","",ItemData_Fish!A48)</f>
        <v/>
      </c>
      <c r="B48">
        <f>IF(ItemData_Fish!A48="","",ItemData_Fish!B48)</f>
        <v/>
      </c>
    </row>
    <row r="49">
      <c r="A49">
        <f>IF(ItemData_Fish!A49="","",ItemData_Fish!A49)</f>
        <v/>
      </c>
      <c r="B49">
        <f>IF(ItemData_Fish!A49="","",ItemData_Fish!B49)</f>
        <v/>
      </c>
    </row>
    <row r="50">
      <c r="A50">
        <f>IF(ItemData_Fish!A50="","",ItemData_Fish!A50)</f>
        <v/>
      </c>
      <c r="B50">
        <f>IF(ItemData_Fish!A50="","",ItemData_Fish!B50)</f>
        <v/>
      </c>
    </row>
    <row r="51">
      <c r="A51">
        <f>IF(ItemData_Fish!A51="","",ItemData_Fish!A51)</f>
        <v/>
      </c>
      <c r="B51">
        <f>IF(ItemData_Fish!A51="","",ItemData_Fish!B51)</f>
        <v/>
      </c>
    </row>
    <row r="52">
      <c r="A52">
        <f>IF(ItemData_Fish!A52="","",ItemData_Fish!A52)</f>
        <v/>
      </c>
      <c r="B52">
        <f>IF(ItemData_Fish!A52="","",ItemData_Fish!B52)</f>
        <v/>
      </c>
    </row>
    <row r="53">
      <c r="A53">
        <f>IF(ItemData_Fish!A53="","",ItemData_Fish!A53)</f>
        <v/>
      </c>
      <c r="B53">
        <f>IF(ItemData_Fish!A53="","",ItemData_Fish!B53)</f>
        <v/>
      </c>
    </row>
    <row r="54">
      <c r="A54">
        <f>IF(ItemData_Fish!A54="","",ItemData_Fish!A54)</f>
        <v/>
      </c>
      <c r="B54">
        <f>IF(ItemData_Fish!A54="","",ItemData_Fish!B54)</f>
        <v/>
      </c>
    </row>
    <row r="55">
      <c r="A55">
        <f>IF(ItemData_Fish!A55="","",ItemData_Fish!A55)</f>
        <v/>
      </c>
      <c r="B55">
        <f>IF(ItemData_Fish!A55="","",ItemData_Fish!B55)</f>
        <v/>
      </c>
    </row>
    <row r="56">
      <c r="A56">
        <f>IF(ItemData_Fish!A56="","",ItemData_Fish!A56)</f>
        <v/>
      </c>
      <c r="B56">
        <f>IF(ItemData_Fish!A56="","",ItemData_Fish!B56)</f>
        <v/>
      </c>
    </row>
    <row r="57">
      <c r="A57">
        <f>IF(ItemData_Fish!A57="","",ItemData_Fish!A57)</f>
        <v/>
      </c>
      <c r="B57">
        <f>IF(ItemData_Fish!A57="","",ItemData_Fish!B57)</f>
        <v/>
      </c>
    </row>
    <row r="58">
      <c r="A58">
        <f>IF(ItemData_Fish!A58="","",ItemData_Fish!A58)</f>
        <v/>
      </c>
      <c r="B58">
        <f>IF(ItemData_Fish!A58="","",ItemData_Fish!B58)</f>
        <v/>
      </c>
    </row>
    <row r="59">
      <c r="A59">
        <f>IF(ItemData_Fish!A59="","",ItemData_Fish!A59)</f>
        <v/>
      </c>
      <c r="B59">
        <f>IF(ItemData_Fish!A59="","",ItemData_Fish!B59)</f>
        <v/>
      </c>
    </row>
    <row r="60">
      <c r="A60">
        <f>IF(ItemData_Fish!A60="","",ItemData_Fish!A60)</f>
        <v/>
      </c>
      <c r="B60">
        <f>IF(ItemData_Fish!A60="","",ItemData_Fish!B60)</f>
        <v/>
      </c>
    </row>
    <row r="61">
      <c r="A61">
        <f>IF(ItemData_Fish!A61="","",ItemData_Fish!A61)</f>
        <v/>
      </c>
      <c r="B61">
        <f>IF(ItemData_Fish!A61="","",ItemData_Fish!B61)</f>
        <v/>
      </c>
    </row>
    <row r="62">
      <c r="A62">
        <f>IF(ItemData_Fish!A62="","",ItemData_Fish!A62)</f>
        <v/>
      </c>
      <c r="B62">
        <f>IF(ItemData_Fish!A62="","",ItemData_Fish!B62)</f>
        <v/>
      </c>
    </row>
    <row r="63">
      <c r="A63">
        <f>IF(ItemData_Fish!A63="","",ItemData_Fish!A63)</f>
        <v/>
      </c>
      <c r="B63">
        <f>IF(ItemData_Fish!A63="","",ItemData_Fish!B63)</f>
        <v/>
      </c>
    </row>
    <row r="64">
      <c r="A64">
        <f>IF(ItemData_Fish!A64="","",ItemData_Fish!A64)</f>
        <v/>
      </c>
      <c r="B64">
        <f>IF(ItemData_Fish!A64="","",ItemData_Fish!B64)</f>
        <v/>
      </c>
    </row>
    <row r="65">
      <c r="A65">
        <f>IF(ItemData_Fish!A65="","",ItemData_Fish!A65)</f>
        <v/>
      </c>
      <c r="B65">
        <f>IF(ItemData_Fish!A65="","",ItemData_Fish!B65)</f>
        <v/>
      </c>
    </row>
    <row r="66">
      <c r="A66">
        <f>IF(ItemData_Fish!A66="","",ItemData_Fish!A66)</f>
        <v/>
      </c>
      <c r="B66">
        <f>IF(ItemData_Fish!A66="","",ItemData_Fish!B66)</f>
        <v/>
      </c>
    </row>
    <row r="67">
      <c r="A67">
        <f>IF(ItemData_Fish!A67="","",ItemData_Fish!A67)</f>
        <v/>
      </c>
      <c r="B67">
        <f>IF(ItemData_Fish!A67="","",ItemData_Fish!B67)</f>
        <v/>
      </c>
    </row>
    <row r="68">
      <c r="A68">
        <f>IF(ItemData_Fish!A68="","",ItemData_Fish!A68)</f>
        <v/>
      </c>
      <c r="B68">
        <f>IF(ItemData_Fish!A68="","",ItemData_Fish!B68)</f>
        <v/>
      </c>
    </row>
    <row r="69">
      <c r="A69">
        <f>IF(ItemData_Fish!A69="","",ItemData_Fish!A69)</f>
        <v/>
      </c>
      <c r="B69">
        <f>IF(ItemData_Fish!A69="","",ItemData_Fish!B69)</f>
        <v/>
      </c>
    </row>
    <row r="70">
      <c r="A70">
        <f>IF(ItemData_Fish!A70="","",ItemData_Fish!A70)</f>
        <v/>
      </c>
      <c r="B70">
        <f>IF(ItemData_Fish!A70="","",ItemData_Fish!B70)</f>
        <v/>
      </c>
    </row>
    <row r="71">
      <c r="A71">
        <f>IF(ItemData_Fish!A71="","",ItemData_Fish!A71)</f>
        <v/>
      </c>
      <c r="B71">
        <f>IF(ItemData_Fish!A71="","",ItemData_Fish!B71)</f>
        <v/>
      </c>
    </row>
    <row r="72">
      <c r="A72">
        <f>IF(ItemData_Fish!A72="","",ItemData_Fish!A72)</f>
        <v/>
      </c>
      <c r="B72">
        <f>IF(ItemData_Fish!A72="","",ItemData_Fish!B72)</f>
        <v/>
      </c>
    </row>
    <row r="73">
      <c r="A73">
        <f>IF(ItemData_Fish!A73="","",ItemData_Fish!A73)</f>
        <v/>
      </c>
      <c r="B73">
        <f>IF(ItemData_Fish!A73="","",ItemData_Fish!B73)</f>
        <v/>
      </c>
    </row>
    <row r="74">
      <c r="A74">
        <f>IF(ItemData_Fish!A74="","",ItemData_Fish!A74)</f>
        <v/>
      </c>
      <c r="B74">
        <f>IF(ItemData_Fish!A74="","",ItemData_Fish!B74)</f>
        <v/>
      </c>
    </row>
    <row r="75">
      <c r="A75">
        <f>IF(ItemData_Fish!A75="","",ItemData_Fish!A75)</f>
        <v/>
      </c>
      <c r="B75">
        <f>IF(ItemData_Fish!A75="","",ItemData_Fish!B75)</f>
        <v/>
      </c>
    </row>
    <row r="76">
      <c r="A76">
        <f>IF(ItemData_Fish!A76="","",ItemData_Fish!A76)</f>
        <v/>
      </c>
      <c r="B76">
        <f>IF(ItemData_Fish!A76="","",ItemData_Fish!B76)</f>
        <v/>
      </c>
    </row>
    <row r="77">
      <c r="A77">
        <f>IF(ItemData_Fish!A77="","",ItemData_Fish!A77)</f>
        <v/>
      </c>
      <c r="B77">
        <f>IF(ItemData_Fish!A77="","",ItemData_Fish!B77)</f>
        <v/>
      </c>
    </row>
    <row r="78">
      <c r="A78">
        <f>IF(ItemData_Fish!A78="","",ItemData_Fish!A78)</f>
        <v/>
      </c>
      <c r="B78">
        <f>IF(ItemData_Fish!A78="","",ItemData_Fish!B78)</f>
        <v/>
      </c>
    </row>
    <row r="79">
      <c r="A79">
        <f>IF(ItemData_Fish!A79="","",ItemData_Fish!A79)</f>
        <v/>
      </c>
      <c r="B79">
        <f>IF(ItemData_Fish!A79="","",ItemData_Fish!B79)</f>
        <v/>
      </c>
    </row>
    <row r="80">
      <c r="A80">
        <f>IF(ItemData_Fish!A80="","",ItemData_Fish!A80)</f>
        <v/>
      </c>
      <c r="B80">
        <f>IF(ItemData_Fish!A80="","",ItemData_Fish!B80)</f>
        <v/>
      </c>
    </row>
    <row r="81">
      <c r="A81">
        <f>IF(ItemData_Fish!A81="","",ItemData_Fish!A81)</f>
        <v/>
      </c>
      <c r="B81">
        <f>IF(ItemData_Fish!A81="","",ItemData_Fish!B81)</f>
        <v/>
      </c>
    </row>
    <row r="82">
      <c r="A82">
        <f>IF(ItemData_Fish!A82="","",ItemData_Fish!A82)</f>
        <v/>
      </c>
      <c r="B82">
        <f>IF(ItemData_Fish!A82="","",ItemData_Fish!B82)</f>
        <v/>
      </c>
    </row>
    <row r="83">
      <c r="A83">
        <f>IF(ItemData_Fish!A83="","",ItemData_Fish!A83)</f>
        <v/>
      </c>
      <c r="B83">
        <f>IF(ItemData_Fish!A83="","",ItemData_Fish!B83)</f>
        <v/>
      </c>
    </row>
    <row r="84">
      <c r="A84">
        <f>IF(ItemData_Fish!A84="","",ItemData_Fish!A84)</f>
        <v/>
      </c>
      <c r="B84">
        <f>IF(ItemData_Fish!A84="","",ItemData_Fish!B84)</f>
        <v/>
      </c>
    </row>
    <row r="85">
      <c r="A85">
        <f>IF(ItemData_Fish!A85="","",ItemData_Fish!A85)</f>
        <v/>
      </c>
      <c r="B85">
        <f>IF(ItemData_Fish!A85="","",ItemData_Fish!B85)</f>
        <v/>
      </c>
    </row>
    <row r="86">
      <c r="A86">
        <f>IF(ItemData_Fish!A86="","",ItemData_Fish!A86)</f>
        <v/>
      </c>
      <c r="B86">
        <f>IF(ItemData_Fish!A86="","",ItemData_Fish!B86)</f>
        <v/>
      </c>
    </row>
    <row r="87">
      <c r="A87">
        <f>IF(ItemData_Fish!A87="","",ItemData_Fish!A87)</f>
        <v/>
      </c>
      <c r="B87">
        <f>IF(ItemData_Fish!A87="","",ItemData_Fish!B87)</f>
        <v/>
      </c>
    </row>
    <row r="88">
      <c r="A88">
        <f>IF(ItemData_Fish!A88="","",ItemData_Fish!A88)</f>
        <v/>
      </c>
      <c r="B88">
        <f>IF(ItemData_Fish!A88="","",ItemData_Fish!B88)</f>
        <v/>
      </c>
    </row>
    <row r="89">
      <c r="A89">
        <f>IF(ItemData_Fish!A89="","",ItemData_Fish!A89)</f>
        <v/>
      </c>
      <c r="B89">
        <f>IF(ItemData_Fish!A89="","",ItemData_Fish!B89)</f>
        <v/>
      </c>
    </row>
    <row r="90">
      <c r="A90">
        <f>IF(ItemData_Fish!A90="","",ItemData_Fish!A90)</f>
        <v/>
      </c>
      <c r="B90">
        <f>IF(ItemData_Fish!A90="","",ItemData_Fish!B90)</f>
        <v/>
      </c>
    </row>
    <row r="91">
      <c r="A91">
        <f>IF(ItemData_Fish!A91="","",ItemData_Fish!A91)</f>
        <v/>
      </c>
      <c r="B91">
        <f>IF(ItemData_Fish!A91="","",ItemData_Fish!B91)</f>
        <v/>
      </c>
    </row>
    <row r="92">
      <c r="A92">
        <f>IF(ItemData_Fish!A92="","",ItemData_Fish!A92)</f>
        <v/>
      </c>
      <c r="B92">
        <f>IF(ItemData_Fish!A92="","",ItemData_Fish!B92)</f>
        <v/>
      </c>
    </row>
    <row r="93">
      <c r="A93">
        <f>IF(ItemData_Fish!A93="","",ItemData_Fish!A93)</f>
        <v/>
      </c>
      <c r="B93">
        <f>IF(ItemData_Fish!A93="","",ItemData_Fish!B93)</f>
        <v/>
      </c>
    </row>
    <row r="94">
      <c r="A94">
        <f>IF(ItemData_Fish!A94="","",ItemData_Fish!A94)</f>
        <v/>
      </c>
      <c r="B94">
        <f>IF(ItemData_Fish!A94="","",ItemData_Fish!B94)</f>
        <v/>
      </c>
    </row>
    <row r="95">
      <c r="A95">
        <f>IF(ItemData_Fish!A95="","",ItemData_Fish!A95)</f>
        <v/>
      </c>
      <c r="B95">
        <f>IF(ItemData_Fish!A95="","",ItemData_Fish!B95)</f>
        <v/>
      </c>
    </row>
    <row r="96">
      <c r="A96">
        <f>IF(ItemData_Fish!A96="","",ItemData_Fish!A96)</f>
        <v/>
      </c>
      <c r="B96">
        <f>IF(ItemData_Fish!A96="","",ItemData_Fish!B96)</f>
        <v/>
      </c>
    </row>
    <row r="97">
      <c r="A97">
        <f>IF(ItemData_Fish!A97="","",ItemData_Fish!A97)</f>
        <v/>
      </c>
      <c r="B97">
        <f>IF(ItemData_Fish!A97="","",ItemData_Fish!B97)</f>
        <v/>
      </c>
    </row>
    <row r="98">
      <c r="A98">
        <f>IF(ItemData_Fish!A98="","",ItemData_Fish!A98)</f>
        <v/>
      </c>
      <c r="B98">
        <f>IF(ItemData_Fish!A98="","",ItemData_Fish!B98)</f>
        <v/>
      </c>
    </row>
    <row r="99">
      <c r="A99">
        <f>IF(ItemData_Fish!A99="","",ItemData_Fish!A99)</f>
        <v/>
      </c>
      <c r="B99">
        <f>IF(ItemData_Fish!A99="","",ItemData_Fish!B99)</f>
        <v/>
      </c>
    </row>
    <row r="100">
      <c r="A100">
        <f>IF(ItemData_Fish!A100="","",ItemData_Fish!A100)</f>
        <v/>
      </c>
      <c r="B100">
        <f>IF(ItemData_Fish!A100="","",ItemData_Fish!B100)</f>
        <v/>
      </c>
    </row>
    <row r="101">
      <c r="A101">
        <f>IF(ItemData_Fish!A101="","",ItemData_Fish!A101)</f>
        <v/>
      </c>
      <c r="B101">
        <f>IF(ItemData_Fish!A101="","",ItemData_Fish!B101)</f>
        <v/>
      </c>
    </row>
    <row r="102">
      <c r="A102">
        <f>IF(ItemData_Fish!A102="","",ItemData_Fish!A102)</f>
        <v/>
      </c>
      <c r="B102">
        <f>IF(ItemData_Fish!A102="","",ItemData_Fish!B102)</f>
        <v/>
      </c>
    </row>
    <row r="103">
      <c r="A103">
        <f>IF(ItemData_Fish!A103="","",ItemData_Fish!A103)</f>
        <v/>
      </c>
      <c r="B103">
        <f>IF(ItemData_Fish!A103="","",ItemData_Fish!B103)</f>
        <v/>
      </c>
    </row>
    <row r="104">
      <c r="A104">
        <f>IF(ItemData_Fish!A104="","",ItemData_Fish!A104)</f>
        <v/>
      </c>
      <c r="B104">
        <f>IF(ItemData_Fish!A104="","",ItemData_Fish!B104)</f>
        <v/>
      </c>
    </row>
    <row r="105">
      <c r="A105">
        <f>IF(ItemData_Fish!A105="","",ItemData_Fish!A105)</f>
        <v/>
      </c>
      <c r="B105">
        <f>IF(ItemData_Fish!A105="","",ItemData_Fish!B105)</f>
        <v/>
      </c>
    </row>
    <row r="106">
      <c r="A106">
        <f>IF(ItemData_Fish!A106="","",ItemData_Fish!A106)</f>
        <v/>
      </c>
      <c r="B106">
        <f>IF(ItemData_Fish!A106="","",ItemData_Fish!B106)</f>
        <v/>
      </c>
    </row>
    <row r="107">
      <c r="A107">
        <f>IF(ItemData_Fish!A107="","",ItemData_Fish!A107)</f>
        <v/>
      </c>
      <c r="B107">
        <f>IF(ItemData_Fish!A107="","",ItemData_Fish!B107)</f>
        <v/>
      </c>
    </row>
    <row r="108">
      <c r="A108">
        <f>IF(ItemData_Fish!A108="","",ItemData_Fish!A108)</f>
        <v/>
      </c>
      <c r="B108">
        <f>IF(ItemData_Fish!A108="","",ItemData_Fish!B108)</f>
        <v/>
      </c>
    </row>
    <row r="109">
      <c r="A109">
        <f>IF(ItemData_Fish!A109="","",ItemData_Fish!A109)</f>
        <v/>
      </c>
      <c r="B109">
        <f>IF(ItemData_Fish!A109="","",ItemData_Fish!B109)</f>
        <v/>
      </c>
    </row>
    <row r="110">
      <c r="A110">
        <f>IF(ItemData_Fish!A110="","",ItemData_Fish!A110)</f>
        <v/>
      </c>
      <c r="B110">
        <f>IF(ItemData_Fish!A110="","",ItemData_Fish!B110)</f>
        <v/>
      </c>
    </row>
    <row r="111">
      <c r="A111">
        <f>IF(ItemData_Fish!A111="","",ItemData_Fish!A111)</f>
        <v/>
      </c>
      <c r="B111">
        <f>IF(ItemData_Fish!A111="","",ItemData_Fish!B111)</f>
        <v/>
      </c>
    </row>
    <row r="112">
      <c r="A112">
        <f>IF(ItemData_Fish!A112="","",ItemData_Fish!A112)</f>
        <v/>
      </c>
      <c r="B112">
        <f>IF(ItemData_Fish!A112="","",ItemData_Fish!B112)</f>
        <v/>
      </c>
    </row>
    <row r="113">
      <c r="A113">
        <f>IF(ItemData_Fish!A113="","",ItemData_Fish!A113)</f>
        <v/>
      </c>
      <c r="B113">
        <f>IF(ItemData_Fish!A113="","",ItemData_Fish!B113)</f>
        <v/>
      </c>
    </row>
    <row r="114">
      <c r="A114">
        <f>IF(ItemData_Fish!A114="","",ItemData_Fish!A114)</f>
        <v/>
      </c>
      <c r="B114">
        <f>IF(ItemData_Fish!A114="","",ItemData_Fish!B114)</f>
        <v/>
      </c>
    </row>
    <row r="115">
      <c r="A115">
        <f>IF(ItemData_Fish!A115="","",ItemData_Fish!A115)</f>
        <v/>
      </c>
      <c r="B115">
        <f>IF(ItemData_Fish!A115="","",ItemData_Fish!B115)</f>
        <v/>
      </c>
    </row>
    <row r="116">
      <c r="A116">
        <f>IF(ItemData_Fish!A116="","",ItemData_Fish!A116)</f>
        <v/>
      </c>
      <c r="B116">
        <f>IF(ItemData_Fish!A116="","",ItemData_Fish!B116)</f>
        <v/>
      </c>
    </row>
    <row r="117">
      <c r="A117">
        <f>IF(ItemData_Fish!A117="","",ItemData_Fish!A117)</f>
        <v/>
      </c>
      <c r="B117">
        <f>IF(ItemData_Fish!A117="","",ItemData_Fish!B117)</f>
        <v/>
      </c>
    </row>
    <row r="118">
      <c r="A118">
        <f>IF(ItemData_Fish!A118="","",ItemData_Fish!A118)</f>
        <v/>
      </c>
      <c r="B118">
        <f>IF(ItemData_Fish!A118="","",ItemData_Fish!B118)</f>
        <v/>
      </c>
    </row>
    <row r="119">
      <c r="A119">
        <f>IF(ItemData_Fish!A119="","",ItemData_Fish!A119)</f>
        <v/>
      </c>
      <c r="B119">
        <f>IF(ItemData_Fish!A119="","",ItemData_Fish!B119)</f>
        <v/>
      </c>
    </row>
    <row r="120">
      <c r="A120">
        <f>IF(ItemData_Fish!A120="","",ItemData_Fish!A120)</f>
        <v/>
      </c>
      <c r="B120">
        <f>IF(ItemData_Fish!A120="","",ItemData_Fish!B120)</f>
        <v/>
      </c>
    </row>
    <row r="121">
      <c r="A121">
        <f>IF(ItemData_Fish!A121="","",ItemData_Fish!A121)</f>
        <v/>
      </c>
      <c r="B121">
        <f>IF(ItemData_Fish!A121="","",ItemData_Fish!B121)</f>
        <v/>
      </c>
    </row>
    <row r="122">
      <c r="A122">
        <f>IF(ItemData_Fish!A122="","",ItemData_Fish!A122)</f>
        <v/>
      </c>
      <c r="B122">
        <f>IF(ItemData_Fish!A122="","",ItemData_Fish!B122)</f>
        <v/>
      </c>
    </row>
    <row r="123">
      <c r="A123">
        <f>IF(ItemData_Fish!A123="","",ItemData_Fish!A123)</f>
        <v/>
      </c>
      <c r="B123">
        <f>IF(ItemData_Fish!A123="","",ItemData_Fish!B123)</f>
        <v/>
      </c>
    </row>
    <row r="124">
      <c r="A124">
        <f>IF(ItemData_Fish!A124="","",ItemData_Fish!A124)</f>
        <v/>
      </c>
      <c r="B124">
        <f>IF(ItemData_Fish!A124="","",ItemData_Fish!B124)</f>
        <v/>
      </c>
    </row>
    <row r="125">
      <c r="A125">
        <f>IF(ItemData_Fish!A125="","",ItemData_Fish!A125)</f>
        <v/>
      </c>
      <c r="B125">
        <f>IF(ItemData_Fish!A125="","",ItemData_Fish!B125)</f>
        <v/>
      </c>
    </row>
    <row r="126">
      <c r="A126">
        <f>IF(ItemData_Fish!A126="","",ItemData_Fish!A126)</f>
        <v/>
      </c>
      <c r="B126">
        <f>IF(ItemData_Fish!A126="","",ItemData_Fish!B126)</f>
        <v/>
      </c>
    </row>
    <row r="127">
      <c r="A127">
        <f>IF(ItemData_Fish!A127="","",ItemData_Fish!A127)</f>
        <v/>
      </c>
      <c r="B127">
        <f>IF(ItemData_Fish!A127="","",ItemData_Fish!B127)</f>
        <v/>
      </c>
    </row>
    <row r="128">
      <c r="A128">
        <f>IF(ItemData_Fish!A128="","",ItemData_Fish!A128)</f>
        <v/>
      </c>
      <c r="B128">
        <f>IF(ItemData_Fish!A128="","",ItemData_Fish!B128)</f>
        <v/>
      </c>
    </row>
    <row r="129">
      <c r="A129">
        <f>IF(ItemData_Fish!A129="","",ItemData_Fish!A129)</f>
        <v/>
      </c>
      <c r="B129">
        <f>IF(ItemData_Fish!A129="","",ItemData_Fish!B129)</f>
        <v/>
      </c>
    </row>
    <row r="130">
      <c r="A130">
        <f>IF(ItemData_Fish!A130="","",ItemData_Fish!A130)</f>
        <v/>
      </c>
      <c r="B130">
        <f>IF(ItemData_Fish!A130="","",ItemData_Fish!B130)</f>
        <v/>
      </c>
    </row>
    <row r="131">
      <c r="A131">
        <f>IF(ItemData_Fish!A131="","",ItemData_Fish!A131)</f>
        <v/>
      </c>
      <c r="B131">
        <f>IF(ItemData_Fish!A131="","",ItemData_Fish!B131)</f>
        <v/>
      </c>
    </row>
    <row r="132">
      <c r="A132">
        <f>IF(ItemData_Fish!A132="","",ItemData_Fish!A132)</f>
        <v/>
      </c>
      <c r="B132">
        <f>IF(ItemData_Fish!A132="","",ItemData_Fish!B132)</f>
        <v/>
      </c>
    </row>
    <row r="133">
      <c r="A133">
        <f>IF(ItemData_Fish!A133="","",ItemData_Fish!A133)</f>
        <v/>
      </c>
      <c r="B133">
        <f>IF(ItemData_Fish!A133="","",ItemData_Fish!B133)</f>
        <v/>
      </c>
    </row>
    <row r="134">
      <c r="A134">
        <f>IF(ItemData_Fish!A134="","",ItemData_Fish!A134)</f>
        <v/>
      </c>
      <c r="B134">
        <f>IF(ItemData_Fish!A134="","",ItemData_Fish!B134)</f>
        <v/>
      </c>
    </row>
    <row r="135">
      <c r="A135">
        <f>IF(ItemData_Fish!A135="","",ItemData_Fish!A135)</f>
        <v/>
      </c>
      <c r="B135">
        <f>IF(ItemData_Fish!A135="","",ItemData_Fish!B135)</f>
        <v/>
      </c>
    </row>
    <row r="136">
      <c r="A136">
        <f>IF(ItemData_Fish!A136="","",ItemData_Fish!A136)</f>
        <v/>
      </c>
      <c r="B136">
        <f>IF(ItemData_Fish!A136="","",ItemData_Fish!B136)</f>
        <v/>
      </c>
    </row>
    <row r="137">
      <c r="A137">
        <f>IF(ItemData_Fish!A137="","",ItemData_Fish!A137)</f>
        <v/>
      </c>
      <c r="B137">
        <f>IF(ItemData_Fish!A137="","",ItemData_Fish!B137)</f>
        <v/>
      </c>
    </row>
    <row r="138">
      <c r="A138">
        <f>IF(ItemData_Fish!A138="","",ItemData_Fish!A138)</f>
        <v/>
      </c>
      <c r="B138">
        <f>IF(ItemData_Fish!A138="","",ItemData_Fish!B138)</f>
        <v/>
      </c>
    </row>
    <row r="139">
      <c r="A139">
        <f>IF(ItemData_Fish!A139="","",ItemData_Fish!A139)</f>
        <v/>
      </c>
      <c r="B139">
        <f>IF(ItemData_Fish!A139="","",ItemData_Fish!B139)</f>
        <v/>
      </c>
    </row>
    <row r="140">
      <c r="A140">
        <f>IF(ItemData_Fish!A140="","",ItemData_Fish!A140)</f>
        <v/>
      </c>
      <c r="B140">
        <f>IF(ItemData_Fish!A140="","",ItemData_Fish!B140)</f>
        <v/>
      </c>
    </row>
    <row r="141">
      <c r="A141">
        <f>IF(ItemData_Fish!A141="","",ItemData_Fish!A141)</f>
        <v/>
      </c>
      <c r="B141">
        <f>IF(ItemData_Fish!A141="","",ItemData_Fish!B141)</f>
        <v/>
      </c>
    </row>
    <row r="142">
      <c r="A142">
        <f>IF(ItemData_Fish!A142="","",ItemData_Fish!A142)</f>
        <v/>
      </c>
      <c r="B142">
        <f>IF(ItemData_Fish!A142="","",ItemData_Fish!B142)</f>
        <v/>
      </c>
    </row>
    <row r="143">
      <c r="A143">
        <f>IF(ItemData_Fish!A143="","",ItemData_Fish!A143)</f>
        <v/>
      </c>
      <c r="B143">
        <f>IF(ItemData_Fish!A143="","",ItemData_Fish!B143)</f>
        <v/>
      </c>
    </row>
    <row r="144">
      <c r="A144">
        <f>IF(ItemData_Fish!A144="","",ItemData_Fish!A144)</f>
        <v/>
      </c>
      <c r="B144">
        <f>IF(ItemData_Fish!A144="","",ItemData_Fish!B144)</f>
        <v/>
      </c>
    </row>
    <row r="145">
      <c r="A145">
        <f>IF(ItemData_Fish!A145="","",ItemData_Fish!A145)</f>
        <v/>
      </c>
      <c r="B145">
        <f>IF(ItemData_Fish!A145="","",ItemData_Fish!B145)</f>
        <v/>
      </c>
    </row>
    <row r="146">
      <c r="A146">
        <f>IF(ItemData_Fish!A146="","",ItemData_Fish!A146)</f>
        <v/>
      </c>
      <c r="B146">
        <f>IF(ItemData_Fish!A146="","",ItemData_Fish!B146)</f>
        <v/>
      </c>
    </row>
    <row r="147">
      <c r="A147">
        <f>IF(ItemData_Fish!A147="","",ItemData_Fish!A147)</f>
        <v/>
      </c>
      <c r="B147">
        <f>IF(ItemData_Fish!A147="","",ItemData_Fish!B147)</f>
        <v/>
      </c>
    </row>
    <row r="148">
      <c r="A148">
        <f>IF(ItemData_Fish!A148="","",ItemData_Fish!A148)</f>
        <v/>
      </c>
      <c r="B148">
        <f>IF(ItemData_Fish!A148="","",ItemData_Fish!B148)</f>
        <v/>
      </c>
    </row>
    <row r="149">
      <c r="A149">
        <f>IF(ItemData_Fish!A149="","",ItemData_Fish!A149)</f>
        <v/>
      </c>
      <c r="B149">
        <f>IF(ItemData_Fish!A149="","",ItemData_Fish!B149)</f>
        <v/>
      </c>
    </row>
    <row r="150">
      <c r="A150">
        <f>IF(ItemData_Fish!A150="","",ItemData_Fish!A150)</f>
        <v/>
      </c>
      <c r="B150">
        <f>IF(ItemData_Fish!A150="","",ItemData_Fish!B150)</f>
        <v/>
      </c>
    </row>
    <row r="151">
      <c r="A151">
        <f>IF(ItemData_Fish!A151="","",ItemData_Fish!A151)</f>
        <v/>
      </c>
      <c r="B151">
        <f>IF(ItemData_Fish!A151="","",ItemData_Fish!B151)</f>
        <v/>
      </c>
    </row>
    <row r="152">
      <c r="A152">
        <f>IF(ItemData_Fish!A152="","",ItemData_Fish!A152)</f>
        <v/>
      </c>
      <c r="B152">
        <f>IF(ItemData_Fish!A152="","",ItemData_Fish!B152)</f>
        <v/>
      </c>
    </row>
    <row r="153">
      <c r="A153">
        <f>IF(ItemData_Fish!A153="","",ItemData_Fish!A153)</f>
        <v/>
      </c>
      <c r="B153">
        <f>IF(ItemData_Fish!A153="","",ItemData_Fish!B153)</f>
        <v/>
      </c>
    </row>
    <row r="154">
      <c r="A154">
        <f>IF(ItemData_Fish!A154="","",ItemData_Fish!A154)</f>
        <v/>
      </c>
      <c r="B154">
        <f>IF(ItemData_Fish!A154="","",ItemData_Fish!B154)</f>
        <v/>
      </c>
    </row>
    <row r="155">
      <c r="A155">
        <f>IF(ItemData_Fish!A155="","",ItemData_Fish!A155)</f>
        <v/>
      </c>
      <c r="B155">
        <f>IF(ItemData_Fish!A155="","",ItemData_Fish!B155)</f>
        <v/>
      </c>
    </row>
    <row r="156">
      <c r="A156">
        <f>IF(ItemData_Fish!A156="","",ItemData_Fish!A156)</f>
        <v/>
      </c>
      <c r="B156">
        <f>IF(ItemData_Fish!A156="","",ItemData_Fish!B156)</f>
        <v/>
      </c>
    </row>
    <row r="157">
      <c r="A157">
        <f>IF(ItemData_Fish!A157="","",ItemData_Fish!A157)</f>
        <v/>
      </c>
      <c r="B157">
        <f>IF(ItemData_Fish!A157="","",ItemData_Fish!B157)</f>
        <v/>
      </c>
    </row>
    <row r="158">
      <c r="A158">
        <f>IF(ItemData_Fish!A158="","",ItemData_Fish!A158)</f>
        <v/>
      </c>
      <c r="B158">
        <f>IF(ItemData_Fish!A158="","",ItemData_Fish!B158)</f>
        <v/>
      </c>
    </row>
    <row r="159">
      <c r="A159">
        <f>IF(ItemData_Fish!A159="","",ItemData_Fish!A159)</f>
        <v/>
      </c>
      <c r="B159">
        <f>IF(ItemData_Fish!A159="","",ItemData_Fish!B159)</f>
        <v/>
      </c>
    </row>
    <row r="160">
      <c r="A160">
        <f>IF(ItemData_Fish!A160="","",ItemData_Fish!A160)</f>
        <v/>
      </c>
      <c r="B160">
        <f>IF(ItemData_Fish!A160="","",ItemData_Fish!B160)</f>
        <v/>
      </c>
    </row>
    <row r="161">
      <c r="A161">
        <f>IF(ItemData_Fish!A161="","",ItemData_Fish!A161)</f>
        <v/>
      </c>
      <c r="B161">
        <f>IF(ItemData_Fish!A161="","",ItemData_Fish!B161)</f>
        <v/>
      </c>
    </row>
    <row r="162">
      <c r="A162">
        <f>IF(ItemData_Fish!A162="","",ItemData_Fish!A162)</f>
        <v/>
      </c>
      <c r="B162">
        <f>IF(ItemData_Fish!A162="","",ItemData_Fish!B162)</f>
        <v/>
      </c>
    </row>
    <row r="163">
      <c r="A163">
        <f>IF(ItemData_Fish!A163="","",ItemData_Fish!A163)</f>
        <v/>
      </c>
      <c r="B163">
        <f>IF(ItemData_Fish!A163="","",ItemData_Fish!B163)</f>
        <v/>
      </c>
    </row>
    <row r="164">
      <c r="A164">
        <f>IF(ItemData_Fish!A164="","",ItemData_Fish!A164)</f>
        <v/>
      </c>
      <c r="B164">
        <f>IF(ItemData_Fish!A164="","",ItemData_Fish!B164)</f>
        <v/>
      </c>
    </row>
    <row r="165">
      <c r="A165">
        <f>IF(ItemData_Fish!A165="","",ItemData_Fish!A165)</f>
        <v/>
      </c>
      <c r="B165">
        <f>IF(ItemData_Fish!A165="","",ItemData_Fish!B165)</f>
        <v/>
      </c>
    </row>
    <row r="166">
      <c r="A166">
        <f>IF(ItemData_Fish!A166="","",ItemData_Fish!A166)</f>
        <v/>
      </c>
      <c r="B166">
        <f>IF(ItemData_Fish!A166="","",ItemData_Fish!B166)</f>
        <v/>
      </c>
    </row>
    <row r="167">
      <c r="A167">
        <f>IF(ItemData_Fish!A167="","",ItemData_Fish!A167)</f>
        <v/>
      </c>
      <c r="B167">
        <f>IF(ItemData_Fish!A167="","",ItemData_Fish!B167)</f>
        <v/>
      </c>
    </row>
    <row r="168">
      <c r="A168">
        <f>IF(ItemData_Fish!A168="","",ItemData_Fish!A168)</f>
        <v/>
      </c>
      <c r="B168">
        <f>IF(ItemData_Fish!A168="","",ItemData_Fish!B168)</f>
        <v/>
      </c>
    </row>
    <row r="169">
      <c r="A169">
        <f>IF(ItemData_Fish!A169="","",ItemData_Fish!A169)</f>
        <v/>
      </c>
      <c r="B169">
        <f>IF(ItemData_Fish!A169="","",ItemData_Fish!B169)</f>
        <v/>
      </c>
    </row>
    <row r="170">
      <c r="A170">
        <f>IF(ItemData_Fish!A170="","",ItemData_Fish!A170)</f>
        <v/>
      </c>
      <c r="B170">
        <f>IF(ItemData_Fish!A170="","",ItemData_Fish!B170)</f>
        <v/>
      </c>
    </row>
    <row r="171">
      <c r="A171">
        <f>IF(ItemData_Fish!A171="","",ItemData_Fish!A171)</f>
        <v/>
      </c>
      <c r="B171">
        <f>IF(ItemData_Fish!A171="","",ItemData_Fish!B171)</f>
        <v/>
      </c>
    </row>
    <row r="172">
      <c r="A172">
        <f>IF(ItemData_Fish!A172="","",ItemData_Fish!A172)</f>
        <v/>
      </c>
      <c r="B172">
        <f>IF(ItemData_Fish!A172="","",ItemData_Fish!B172)</f>
        <v/>
      </c>
    </row>
    <row r="173">
      <c r="A173">
        <f>IF(ItemData_Fish!A173="","",ItemData_Fish!A173)</f>
        <v/>
      </c>
      <c r="B173">
        <f>IF(ItemData_Fish!A173="","",ItemData_Fish!B173)</f>
        <v/>
      </c>
    </row>
    <row r="174">
      <c r="A174">
        <f>IF(ItemData_Fish!A174="","",ItemData_Fish!A174)</f>
        <v/>
      </c>
      <c r="B174">
        <f>IF(ItemData_Fish!A174="","",ItemData_Fish!B174)</f>
        <v/>
      </c>
    </row>
    <row r="175">
      <c r="A175">
        <f>IF(ItemData_Fish!A175="","",ItemData_Fish!A175)</f>
        <v/>
      </c>
      <c r="B175">
        <f>IF(ItemData_Fish!A175="","",ItemData_Fish!B175)</f>
        <v/>
      </c>
    </row>
    <row r="176">
      <c r="A176">
        <f>IF(ItemData_Fish!A176="","",ItemData_Fish!A176)</f>
        <v/>
      </c>
      <c r="B176">
        <f>IF(ItemData_Fish!A176="","",ItemData_Fish!B176)</f>
        <v/>
      </c>
    </row>
    <row r="177">
      <c r="A177">
        <f>IF(ItemData_Fish!A177="","",ItemData_Fish!A177)</f>
        <v/>
      </c>
      <c r="B177">
        <f>IF(ItemData_Fish!A177="","",ItemData_Fish!B177)</f>
        <v/>
      </c>
    </row>
    <row r="178">
      <c r="A178">
        <f>IF(ItemData_Fish!A178="","",ItemData_Fish!A178)</f>
        <v/>
      </c>
      <c r="B178">
        <f>IF(ItemData_Fish!A178="","",ItemData_Fish!B178)</f>
        <v/>
      </c>
    </row>
    <row r="179">
      <c r="A179">
        <f>IF(ItemData_Fish!A179="","",ItemData_Fish!A179)</f>
        <v/>
      </c>
      <c r="B179">
        <f>IF(ItemData_Fish!A179="","",ItemData_Fish!B179)</f>
        <v/>
      </c>
    </row>
    <row r="180">
      <c r="A180">
        <f>IF(ItemData_Fish!A180="","",ItemData_Fish!A180)</f>
        <v/>
      </c>
      <c r="B180">
        <f>IF(ItemData_Fish!A180="","",ItemData_Fish!B180)</f>
        <v/>
      </c>
    </row>
    <row r="181">
      <c r="A181">
        <f>IF(ItemData_Fish!A181="","",ItemData_Fish!A181)</f>
        <v/>
      </c>
      <c r="B181">
        <f>IF(ItemData_Fish!A181="","",ItemData_Fish!B181)</f>
        <v/>
      </c>
    </row>
    <row r="182">
      <c r="A182">
        <f>IF(ItemData_Fish!A182="","",ItemData_Fish!A182)</f>
        <v/>
      </c>
      <c r="B182">
        <f>IF(ItemData_Fish!A182="","",ItemData_Fish!B182)</f>
        <v/>
      </c>
    </row>
    <row r="183">
      <c r="A183">
        <f>IF(ItemData_Fish!A183="","",ItemData_Fish!A183)</f>
        <v/>
      </c>
      <c r="B183">
        <f>IF(ItemData_Fish!A183="","",ItemData_Fish!B183)</f>
        <v/>
      </c>
    </row>
    <row r="184">
      <c r="A184">
        <f>IF(ItemData_Fish!A184="","",ItemData_Fish!A184)</f>
        <v/>
      </c>
      <c r="B184">
        <f>IF(ItemData_Fish!A184="","",ItemData_Fish!B184)</f>
        <v/>
      </c>
    </row>
    <row r="185">
      <c r="A185">
        <f>IF(ItemData_Fish!A185="","",ItemData_Fish!A185)</f>
        <v/>
      </c>
      <c r="B185">
        <f>IF(ItemData_Fish!A185="","",ItemData_Fish!B185)</f>
        <v/>
      </c>
    </row>
    <row r="186">
      <c r="A186">
        <f>IF(ItemData_Fish!A186="","",ItemData_Fish!A186)</f>
        <v/>
      </c>
      <c r="B186">
        <f>IF(ItemData_Fish!A186="","",ItemData_Fish!B186)</f>
        <v/>
      </c>
    </row>
    <row r="187">
      <c r="A187">
        <f>IF(ItemData_Fish!A187="","",ItemData_Fish!A187)</f>
        <v/>
      </c>
      <c r="B187">
        <f>IF(ItemData_Fish!A187="","",ItemData_Fish!B187)</f>
        <v/>
      </c>
    </row>
    <row r="188">
      <c r="A188">
        <f>IF(ItemData_Fish!A188="","",ItemData_Fish!A188)</f>
        <v/>
      </c>
      <c r="B188">
        <f>IF(ItemData_Fish!A188="","",ItemData_Fish!B188)</f>
        <v/>
      </c>
    </row>
    <row r="189">
      <c r="A189">
        <f>IF(ItemData_Fish!A189="","",ItemData_Fish!A189)</f>
        <v/>
      </c>
      <c r="B189">
        <f>IF(ItemData_Fish!A189="","",ItemData_Fish!B189)</f>
        <v/>
      </c>
    </row>
    <row r="190">
      <c r="A190">
        <f>IF(ItemData_Fish!A190="","",ItemData_Fish!A190)</f>
        <v/>
      </c>
      <c r="B190">
        <f>IF(ItemData_Fish!A190="","",ItemData_Fish!B190)</f>
        <v/>
      </c>
    </row>
    <row r="191">
      <c r="A191">
        <f>IF(ItemData_Fish!A191="","",ItemData_Fish!A191)</f>
        <v/>
      </c>
      <c r="B191">
        <f>IF(ItemData_Fish!A191="","",ItemData_Fish!B191)</f>
        <v/>
      </c>
    </row>
    <row r="192">
      <c r="A192">
        <f>IF(ItemData_Fish!A192="","",ItemData_Fish!A192)</f>
        <v/>
      </c>
      <c r="B192">
        <f>IF(ItemData_Fish!A192="","",ItemData_Fish!B192)</f>
        <v/>
      </c>
    </row>
    <row r="193">
      <c r="A193">
        <f>IF(ItemData_Fish!A193="","",ItemData_Fish!A193)</f>
        <v/>
      </c>
      <c r="B193">
        <f>IF(ItemData_Fish!A193="","",ItemData_Fish!B193)</f>
        <v/>
      </c>
    </row>
    <row r="194">
      <c r="A194">
        <f>IF(ItemData_Fish!A194="","",ItemData_Fish!A194)</f>
        <v/>
      </c>
      <c r="B194">
        <f>IF(ItemData_Fish!A194="","",ItemData_Fish!B194)</f>
        <v/>
      </c>
    </row>
    <row r="195">
      <c r="A195">
        <f>IF(ItemData_Fish!A195="","",ItemData_Fish!A195)</f>
        <v/>
      </c>
      <c r="B195">
        <f>IF(ItemData_Fish!A195="","",ItemData_Fish!B195)</f>
        <v/>
      </c>
    </row>
    <row r="196">
      <c r="A196">
        <f>IF(ItemData_Fish!A196="","",ItemData_Fish!A196)</f>
        <v/>
      </c>
      <c r="B196">
        <f>IF(ItemData_Fish!A196="","",ItemData_Fish!B196)</f>
        <v/>
      </c>
    </row>
    <row r="197">
      <c r="A197">
        <f>IF(ItemData_Fish!A197="","",ItemData_Fish!A197)</f>
        <v/>
      </c>
      <c r="B197">
        <f>IF(ItemData_Fish!A197="","",ItemData_Fish!B197)</f>
        <v/>
      </c>
    </row>
    <row r="198">
      <c r="A198">
        <f>IF(ItemData_Fish!A198="","",ItemData_Fish!A198)</f>
        <v/>
      </c>
      <c r="B198">
        <f>IF(ItemData_Fish!A198="","",ItemData_Fish!B198)</f>
        <v/>
      </c>
    </row>
    <row r="199">
      <c r="A199">
        <f>IF(ItemData_Fish!A199="","",ItemData_Fish!A199)</f>
        <v/>
      </c>
      <c r="B199">
        <f>IF(ItemData_Fish!A199="","",ItemData_Fish!B199)</f>
        <v/>
      </c>
    </row>
    <row r="200">
      <c r="A200">
        <f>IF(ItemData_Fish!A200="","",ItemData_Fish!A200)</f>
        <v/>
      </c>
      <c r="B200">
        <f>IF(ItemData_Fish!A200="","",ItemData_Fish!B200)</f>
        <v/>
      </c>
    </row>
    <row r="201">
      <c r="A201">
        <f>IF(ItemData_Fish!A201="","",ItemData_Fish!A201)</f>
        <v/>
      </c>
      <c r="B201">
        <f>IF(ItemData_Fish!A201="","",ItemData_Fish!B201)</f>
        <v/>
      </c>
    </row>
    <row r="202">
      <c r="A202">
        <f>IF(ItemData_Fish!A202="","",ItemData_Fish!A202)</f>
        <v/>
      </c>
      <c r="B202">
        <f>IF(ItemData_Fish!A202="","",ItemData_Fish!B202)</f>
        <v/>
      </c>
    </row>
    <row r="203">
      <c r="A203">
        <f>IF(ItemData_Fish!A203="","",ItemData_Fish!A203)</f>
        <v/>
      </c>
      <c r="B203">
        <f>IF(ItemData_Fish!A203="","",ItemData_Fish!B203)</f>
        <v/>
      </c>
    </row>
    <row r="204">
      <c r="A204">
        <f>IF(ItemData_Fish!A204="","",ItemData_Fish!A204)</f>
        <v/>
      </c>
      <c r="B204">
        <f>IF(ItemData_Fish!A204="","",ItemData_Fish!B204)</f>
        <v/>
      </c>
    </row>
    <row r="205">
      <c r="A205">
        <f>IF(ItemData_Fish!A205="","",ItemData_Fish!A205)</f>
        <v/>
      </c>
      <c r="B205">
        <f>IF(ItemData_Fish!A205="","",ItemData_Fish!B205)</f>
        <v/>
      </c>
    </row>
    <row r="206">
      <c r="A206">
        <f>IF(ItemData_Fish!A206="","",ItemData_Fish!A206)</f>
        <v/>
      </c>
      <c r="B206">
        <f>IF(ItemData_Fish!A206="","",ItemData_Fish!B206)</f>
        <v/>
      </c>
    </row>
    <row r="207">
      <c r="A207">
        <f>IF(ItemData_Fish!A207="","",ItemData_Fish!A207)</f>
        <v/>
      </c>
      <c r="B207">
        <f>IF(ItemData_Fish!A207="","",ItemData_Fish!B207)</f>
        <v/>
      </c>
    </row>
    <row r="208">
      <c r="A208">
        <f>IF(ItemData_Fish!A208="","",ItemData_Fish!A208)</f>
        <v/>
      </c>
      <c r="B208">
        <f>IF(ItemData_Fish!A208="","",ItemData_Fish!B208)</f>
        <v/>
      </c>
    </row>
    <row r="209">
      <c r="A209">
        <f>IF(ItemData_Fish!A209="","",ItemData_Fish!A209)</f>
        <v/>
      </c>
      <c r="B209">
        <f>IF(ItemData_Fish!A209="","",ItemData_Fish!B209)</f>
        <v/>
      </c>
    </row>
    <row r="210">
      <c r="A210">
        <f>IF(ItemData_Fish!A210="","",ItemData_Fish!A210)</f>
        <v/>
      </c>
      <c r="B210">
        <f>IF(ItemData_Fish!A210="","",ItemData_Fish!B210)</f>
        <v/>
      </c>
    </row>
    <row r="211">
      <c r="A211">
        <f>IF(ItemData_Fish!A211="","",ItemData_Fish!A211)</f>
        <v/>
      </c>
      <c r="B211">
        <f>IF(ItemData_Fish!A211="","",ItemData_Fish!B211)</f>
        <v/>
      </c>
    </row>
    <row r="212">
      <c r="A212">
        <f>IF(ItemData_Fish!A212="","",ItemData_Fish!A212)</f>
        <v/>
      </c>
      <c r="B212">
        <f>IF(ItemData_Fish!A212="","",ItemData_Fish!B212)</f>
        <v/>
      </c>
    </row>
    <row r="213">
      <c r="A213">
        <f>IF(ItemData_Fish!A213="","",ItemData_Fish!A213)</f>
        <v/>
      </c>
      <c r="B213">
        <f>IF(ItemData_Fish!A213="","",ItemData_Fish!B213)</f>
        <v/>
      </c>
    </row>
    <row r="214">
      <c r="A214">
        <f>IF(ItemData_Fish!A214="","",ItemData_Fish!A214)</f>
        <v/>
      </c>
      <c r="B214">
        <f>IF(ItemData_Fish!A214="","",ItemData_Fish!B214)</f>
        <v/>
      </c>
    </row>
    <row r="215">
      <c r="A215">
        <f>IF(ItemData_Fish!A215="","",ItemData_Fish!A215)</f>
        <v/>
      </c>
      <c r="B215">
        <f>IF(ItemData_Fish!A215="","",ItemData_Fish!B215)</f>
        <v/>
      </c>
    </row>
    <row r="216">
      <c r="A216">
        <f>IF(ItemData_Fish!A216="","",ItemData_Fish!A216)</f>
        <v/>
      </c>
      <c r="B216">
        <f>IF(ItemData_Fish!A216="","",ItemData_Fish!B216)</f>
        <v/>
      </c>
    </row>
    <row r="217">
      <c r="A217">
        <f>IF(ItemData_Fish!A217="","",ItemData_Fish!A217)</f>
        <v/>
      </c>
      <c r="B217">
        <f>IF(ItemData_Fish!A217="","",ItemData_Fish!B217)</f>
        <v/>
      </c>
    </row>
    <row r="218">
      <c r="A218">
        <f>IF(ItemData_Fish!A218="","",ItemData_Fish!A218)</f>
        <v/>
      </c>
      <c r="B218">
        <f>IF(ItemData_Fish!A218="","",ItemData_Fish!B218)</f>
        <v/>
      </c>
    </row>
    <row r="219">
      <c r="A219">
        <f>IF(ItemData_Fish!A219="","",ItemData_Fish!A219)</f>
        <v/>
      </c>
      <c r="B219">
        <f>IF(ItemData_Fish!A219="","",ItemData_Fish!B219)</f>
        <v/>
      </c>
    </row>
    <row r="220">
      <c r="A220">
        <f>IF(ItemData_Fish!A220="","",ItemData_Fish!A220)</f>
        <v/>
      </c>
      <c r="B220">
        <f>IF(ItemData_Fish!A220="","",ItemData_Fish!B220)</f>
        <v/>
      </c>
    </row>
    <row r="221">
      <c r="A221">
        <f>IF(ItemData_Fish!A221="","",ItemData_Fish!A221)</f>
        <v/>
      </c>
      <c r="B221">
        <f>IF(ItemData_Fish!A221="","",ItemData_Fish!B221)</f>
        <v/>
      </c>
    </row>
    <row r="222">
      <c r="A222">
        <f>IF(ItemData_Fish!A222="","",ItemData_Fish!A222)</f>
        <v/>
      </c>
      <c r="B222">
        <f>IF(ItemData_Fish!A222="","",ItemData_Fish!B222)</f>
        <v/>
      </c>
    </row>
    <row r="223">
      <c r="A223">
        <f>IF(ItemData_Fish!A223="","",ItemData_Fish!A223)</f>
        <v/>
      </c>
      <c r="B223">
        <f>IF(ItemData_Fish!A223="","",ItemData_Fish!B223)</f>
        <v/>
      </c>
    </row>
    <row r="224">
      <c r="A224">
        <f>IF(ItemData_Fish!A224="","",ItemData_Fish!A224)</f>
        <v/>
      </c>
      <c r="B224">
        <f>IF(ItemData_Fish!A224="","",ItemData_Fish!B224)</f>
        <v/>
      </c>
    </row>
    <row r="225">
      <c r="A225">
        <f>IF(ItemData_Fish!A225="","",ItemData_Fish!A225)</f>
        <v/>
      </c>
      <c r="B225">
        <f>IF(ItemData_Fish!A225="","",ItemData_Fish!B225)</f>
        <v/>
      </c>
    </row>
    <row r="226">
      <c r="A226">
        <f>IF(ItemData_Fish!A226="","",ItemData_Fish!A226)</f>
        <v/>
      </c>
      <c r="B226">
        <f>IF(ItemData_Fish!A226="","",ItemData_Fish!B226)</f>
        <v/>
      </c>
    </row>
    <row r="227">
      <c r="A227">
        <f>IF(ItemData_Fish!A227="","",ItemData_Fish!A227)</f>
        <v/>
      </c>
      <c r="B227">
        <f>IF(ItemData_Fish!A227="","",ItemData_Fish!B227)</f>
        <v/>
      </c>
    </row>
    <row r="228">
      <c r="A228">
        <f>IF(ItemData_Fish!A228="","",ItemData_Fish!A228)</f>
        <v/>
      </c>
      <c r="B228">
        <f>IF(ItemData_Fish!A228="","",ItemData_Fish!B228)</f>
        <v/>
      </c>
    </row>
    <row r="229">
      <c r="A229">
        <f>IF(ItemData_Fish!A229="","",ItemData_Fish!A229)</f>
        <v/>
      </c>
      <c r="B229">
        <f>IF(ItemData_Fish!A229="","",ItemData_Fish!B229)</f>
        <v/>
      </c>
    </row>
    <row r="230">
      <c r="A230">
        <f>IF(ItemData_Fish!A230="","",ItemData_Fish!A230)</f>
        <v/>
      </c>
      <c r="B230">
        <f>IF(ItemData_Fish!A230="","",ItemData_Fish!B230)</f>
        <v/>
      </c>
    </row>
    <row r="231">
      <c r="A231">
        <f>IF(ItemData_Fish!A231="","",ItemData_Fish!A231)</f>
        <v/>
      </c>
      <c r="B231">
        <f>IF(ItemData_Fish!A231="","",ItemData_Fish!B231)</f>
        <v/>
      </c>
    </row>
    <row r="232">
      <c r="A232">
        <f>IF(ItemData_Fish!A232="","",ItemData_Fish!A232)</f>
        <v/>
      </c>
      <c r="B232">
        <f>IF(ItemData_Fish!A232="","",ItemData_Fish!B232)</f>
        <v/>
      </c>
    </row>
    <row r="233">
      <c r="A233">
        <f>IF(ItemData_Fish!A233="","",ItemData_Fish!A233)</f>
        <v/>
      </c>
      <c r="B233">
        <f>IF(ItemData_Fish!A233="","",ItemData_Fish!B233)</f>
        <v/>
      </c>
    </row>
    <row r="234">
      <c r="A234">
        <f>IF(ItemData_Fish!A234="","",ItemData_Fish!A234)</f>
        <v/>
      </c>
      <c r="B234">
        <f>IF(ItemData_Fish!A234="","",ItemData_Fish!B234)</f>
        <v/>
      </c>
    </row>
    <row r="235">
      <c r="A235">
        <f>IF(ItemData_Fish!A235="","",ItemData_Fish!A235)</f>
        <v/>
      </c>
      <c r="B235">
        <f>IF(ItemData_Fish!A235="","",ItemData_Fish!B235)</f>
        <v/>
      </c>
    </row>
    <row r="236">
      <c r="A236">
        <f>IF(ItemData_Fish!A236="","",ItemData_Fish!A236)</f>
        <v/>
      </c>
      <c r="B236">
        <f>IF(ItemData_Fish!A236="","",ItemData_Fish!B236)</f>
        <v/>
      </c>
    </row>
    <row r="237">
      <c r="A237">
        <f>IF(ItemData_Fish!A237="","",ItemData_Fish!A237)</f>
        <v/>
      </c>
      <c r="B237">
        <f>IF(ItemData_Fish!A237="","",ItemData_Fish!B237)</f>
        <v/>
      </c>
    </row>
    <row r="238">
      <c r="A238">
        <f>IF(ItemData_Fish!A238="","",ItemData_Fish!A238)</f>
        <v/>
      </c>
      <c r="B238">
        <f>IF(ItemData_Fish!A238="","",ItemData_Fish!B238)</f>
        <v/>
      </c>
    </row>
    <row r="239">
      <c r="A239">
        <f>IF(ItemData_Fish!A239="","",ItemData_Fish!A239)</f>
        <v/>
      </c>
      <c r="B239">
        <f>IF(ItemData_Fish!A239="","",ItemData_Fish!B239)</f>
        <v/>
      </c>
    </row>
    <row r="240">
      <c r="A240">
        <f>IF(ItemData_Fish!A240="","",ItemData_Fish!A240)</f>
        <v/>
      </c>
      <c r="B240">
        <f>IF(ItemData_Fish!A240="","",ItemData_Fish!B240)</f>
        <v/>
      </c>
    </row>
    <row r="241">
      <c r="A241">
        <f>IF(ItemData_Fish!A241="","",ItemData_Fish!A241)</f>
        <v/>
      </c>
      <c r="B241">
        <f>IF(ItemData_Fish!A241="","",ItemData_Fish!B241)</f>
        <v/>
      </c>
    </row>
    <row r="242">
      <c r="A242">
        <f>IF(ItemData_Fish!A242="","",ItemData_Fish!A242)</f>
        <v/>
      </c>
      <c r="B242">
        <f>IF(ItemData_Fish!A242="","",ItemData_Fish!B242)</f>
        <v/>
      </c>
    </row>
    <row r="243">
      <c r="A243">
        <f>IF(ItemData_Fish!A243="","",ItemData_Fish!A243)</f>
        <v/>
      </c>
      <c r="B243">
        <f>IF(ItemData_Fish!A243="","",ItemData_Fish!B243)</f>
        <v/>
      </c>
    </row>
    <row r="244">
      <c r="A244">
        <f>IF(ItemData_Fish!A244="","",ItemData_Fish!A244)</f>
        <v/>
      </c>
      <c r="B244">
        <f>IF(ItemData_Fish!A244="","",ItemData_Fish!B244)</f>
        <v/>
      </c>
    </row>
    <row r="245">
      <c r="A245">
        <f>IF(ItemData_Fish!A245="","",ItemData_Fish!A245)</f>
        <v/>
      </c>
      <c r="B245">
        <f>IF(ItemData_Fish!A245="","",ItemData_Fish!B245)</f>
        <v/>
      </c>
    </row>
    <row r="246">
      <c r="A246">
        <f>IF(ItemData_Fish!A246="","",ItemData_Fish!A246)</f>
        <v/>
      </c>
      <c r="B246">
        <f>IF(ItemData_Fish!A246="","",ItemData_Fish!B246)</f>
        <v/>
      </c>
    </row>
    <row r="247">
      <c r="A247">
        <f>IF(ItemData_Fish!A247="","",ItemData_Fish!A247)</f>
        <v/>
      </c>
      <c r="B247">
        <f>IF(ItemData_Fish!A247="","",ItemData_Fish!B247)</f>
        <v/>
      </c>
    </row>
    <row r="248">
      <c r="A248">
        <f>IF(ItemData_Fish!A248="","",ItemData_Fish!A248)</f>
        <v/>
      </c>
      <c r="B248">
        <f>IF(ItemData_Fish!A248="","",ItemData_Fish!B248)</f>
        <v/>
      </c>
    </row>
    <row r="249">
      <c r="A249">
        <f>IF(ItemData_Fish!A249="","",ItemData_Fish!A249)</f>
        <v/>
      </c>
      <c r="B249">
        <f>IF(ItemData_Fish!A249="","",ItemData_Fish!B249)</f>
        <v/>
      </c>
    </row>
    <row r="250">
      <c r="A250">
        <f>IF(ItemData_Fish!A250="","",ItemData_Fish!A250)</f>
        <v/>
      </c>
      <c r="B250">
        <f>IF(ItemData_Fish!A250="","",ItemData_Fish!B250)</f>
        <v/>
      </c>
    </row>
    <row r="251">
      <c r="A251">
        <f>IF(ItemData_Fish!A251="","",ItemData_Fish!A251)</f>
        <v/>
      </c>
      <c r="B251">
        <f>IF(ItemData_Fish!A251="","",ItemData_Fish!B251)</f>
        <v/>
      </c>
    </row>
    <row r="252">
      <c r="A252">
        <f>IF(ItemData_Fish!A252="","",ItemData_Fish!A252)</f>
        <v/>
      </c>
      <c r="B252">
        <f>IF(ItemData_Fish!A252="","",ItemData_Fish!B252)</f>
        <v/>
      </c>
    </row>
    <row r="253">
      <c r="A253">
        <f>IF(ItemData_Fish!A253="","",ItemData_Fish!A253)</f>
        <v/>
      </c>
      <c r="B253">
        <f>IF(ItemData_Fish!A253="","",ItemData_Fish!B253)</f>
        <v/>
      </c>
    </row>
    <row r="254">
      <c r="A254">
        <f>IF(ItemData_Fish!A254="","",ItemData_Fish!A254)</f>
        <v/>
      </c>
      <c r="B254">
        <f>IF(ItemData_Fish!A254="","",ItemData_Fish!B254)</f>
        <v/>
      </c>
    </row>
    <row r="255">
      <c r="A255">
        <f>IF(ItemData_Fish!A255="","",ItemData_Fish!A255)</f>
        <v/>
      </c>
      <c r="B255">
        <f>IF(ItemData_Fish!A255="","",ItemData_Fish!B255)</f>
        <v/>
      </c>
    </row>
    <row r="256">
      <c r="A256">
        <f>IF(ItemData_Fish!A256="","",ItemData_Fish!A256)</f>
        <v/>
      </c>
      <c r="B256">
        <f>IF(ItemData_Fish!A256="","",ItemData_Fish!B256)</f>
        <v/>
      </c>
    </row>
    <row r="257">
      <c r="A257">
        <f>IF(ItemData_Fish!A257="","",ItemData_Fish!A257)</f>
        <v/>
      </c>
      <c r="B257">
        <f>IF(ItemData_Fish!A257="","",ItemData_Fish!B257)</f>
        <v/>
      </c>
    </row>
    <row r="258">
      <c r="A258">
        <f>IF(ItemData_Fish!A258="","",ItemData_Fish!A258)</f>
        <v/>
      </c>
      <c r="B258">
        <f>IF(ItemData_Fish!A258="","",ItemData_Fish!B258)</f>
        <v/>
      </c>
    </row>
    <row r="259">
      <c r="A259">
        <f>IF(ItemData_Fish!A259="","",ItemData_Fish!A259)</f>
        <v/>
      </c>
      <c r="B259">
        <f>IF(ItemData_Fish!A259="","",ItemData_Fish!B259)</f>
        <v/>
      </c>
    </row>
    <row r="260">
      <c r="A260">
        <f>IF(ItemData_Fish!A260="","",ItemData_Fish!A260)</f>
        <v/>
      </c>
      <c r="B260">
        <f>IF(ItemData_Fish!A260="","",ItemData_Fish!B260)</f>
        <v/>
      </c>
    </row>
    <row r="261">
      <c r="A261">
        <f>IF(ItemData_Fish!A261="","",ItemData_Fish!A261)</f>
        <v/>
      </c>
      <c r="B261">
        <f>IF(ItemData_Fish!A261="","",ItemData_Fish!B261)</f>
        <v/>
      </c>
    </row>
    <row r="262">
      <c r="A262">
        <f>IF(ItemData_Fish!A262="","",ItemData_Fish!A262)</f>
        <v/>
      </c>
      <c r="B262">
        <f>IF(ItemData_Fish!A262="","",ItemData_Fish!B262)</f>
        <v/>
      </c>
    </row>
    <row r="263">
      <c r="A263">
        <f>IF(ItemData_Fish!A263="","",ItemData_Fish!A263)</f>
        <v/>
      </c>
      <c r="B263">
        <f>IF(ItemData_Fish!A263="","",ItemData_Fish!B263)</f>
        <v/>
      </c>
    </row>
    <row r="264">
      <c r="A264">
        <f>IF(ItemData_Fish!A264="","",ItemData_Fish!A264)</f>
        <v/>
      </c>
      <c r="B264">
        <f>IF(ItemData_Fish!A264="","",ItemData_Fish!B264)</f>
        <v/>
      </c>
    </row>
    <row r="265">
      <c r="A265">
        <f>IF(ItemData_Fish!A265="","",ItemData_Fish!A265)</f>
        <v/>
      </c>
      <c r="B265">
        <f>IF(ItemData_Fish!A265="","",ItemData_Fish!B265)</f>
        <v/>
      </c>
    </row>
    <row r="266">
      <c r="A266">
        <f>IF(ItemData_Fish!A266="","",ItemData_Fish!A266)</f>
        <v/>
      </c>
      <c r="B266">
        <f>IF(ItemData_Fish!A266="","",ItemData_Fish!B266)</f>
        <v/>
      </c>
    </row>
    <row r="267">
      <c r="A267">
        <f>IF(ItemData_Fish!A267="","",ItemData_Fish!A267)</f>
        <v/>
      </c>
      <c r="B267">
        <f>IF(ItemData_Fish!A267="","",ItemData_Fish!B267)</f>
        <v/>
      </c>
    </row>
    <row r="268">
      <c r="A268">
        <f>IF(ItemData_Fish!A268="","",ItemData_Fish!A268)</f>
        <v/>
      </c>
      <c r="B268">
        <f>IF(ItemData_Fish!A268="","",ItemData_Fish!B268)</f>
        <v/>
      </c>
    </row>
    <row r="269">
      <c r="A269">
        <f>IF(ItemData_Fish!A269="","",ItemData_Fish!A269)</f>
        <v/>
      </c>
      <c r="B269">
        <f>IF(ItemData_Fish!A269="","",ItemData_Fish!B269)</f>
        <v/>
      </c>
    </row>
    <row r="270">
      <c r="A270">
        <f>IF(ItemData_Fish!A270="","",ItemData_Fish!A270)</f>
        <v/>
      </c>
      <c r="B270">
        <f>IF(ItemData_Fish!A270="","",ItemData_Fish!B270)</f>
        <v/>
      </c>
    </row>
    <row r="271">
      <c r="A271">
        <f>IF(ItemData_Fish!A271="","",ItemData_Fish!A271)</f>
        <v/>
      </c>
      <c r="B271">
        <f>IF(ItemData_Fish!A271="","",ItemData_Fish!B271)</f>
        <v/>
      </c>
    </row>
    <row r="272">
      <c r="A272">
        <f>IF(ItemData_Fish!A272="","",ItemData_Fish!A272)</f>
        <v/>
      </c>
      <c r="B272">
        <f>IF(ItemData_Fish!A272="","",ItemData_Fish!B272)</f>
        <v/>
      </c>
    </row>
    <row r="273">
      <c r="A273">
        <f>IF(ItemData_Fish!A273="","",ItemData_Fish!A273)</f>
        <v/>
      </c>
      <c r="B273">
        <f>IF(ItemData_Fish!A273="","",ItemData_Fish!B273)</f>
        <v/>
      </c>
    </row>
    <row r="274">
      <c r="A274">
        <f>IF(ItemData_Fish!A274="","",ItemData_Fish!A274)</f>
        <v/>
      </c>
      <c r="B274">
        <f>IF(ItemData_Fish!A274="","",ItemData_Fish!B274)</f>
        <v/>
      </c>
    </row>
    <row r="275">
      <c r="A275">
        <f>IF(ItemData_Fish!A275="","",ItemData_Fish!A275)</f>
        <v/>
      </c>
      <c r="B275">
        <f>IF(ItemData_Fish!A275="","",ItemData_Fish!B275)</f>
        <v/>
      </c>
    </row>
    <row r="276">
      <c r="A276">
        <f>IF(ItemData_Fish!A276="","",ItemData_Fish!A276)</f>
        <v/>
      </c>
      <c r="B276">
        <f>IF(ItemData_Fish!A276="","",ItemData_Fish!B276)</f>
        <v/>
      </c>
    </row>
    <row r="277">
      <c r="A277">
        <f>IF(ItemData_Fish!A277="","",ItemData_Fish!A277)</f>
        <v/>
      </c>
      <c r="B277">
        <f>IF(ItemData_Fish!A277="","",ItemData_Fish!B277)</f>
        <v/>
      </c>
    </row>
    <row r="278">
      <c r="A278">
        <f>IF(ItemData_Fish!A278="","",ItemData_Fish!A278)</f>
        <v/>
      </c>
      <c r="B278">
        <f>IF(ItemData_Fish!A278="","",ItemData_Fish!B278)</f>
        <v/>
      </c>
    </row>
    <row r="279">
      <c r="A279">
        <f>IF(ItemData_Fish!A279="","",ItemData_Fish!A279)</f>
        <v/>
      </c>
      <c r="B279">
        <f>IF(ItemData_Fish!A279="","",ItemData_Fish!B279)</f>
        <v/>
      </c>
    </row>
    <row r="280">
      <c r="A280">
        <f>IF(ItemData_Fish!A280="","",ItemData_Fish!A280)</f>
        <v/>
      </c>
      <c r="B280">
        <f>IF(ItemData_Fish!A280="","",ItemData_Fish!B280)</f>
        <v/>
      </c>
    </row>
    <row r="281">
      <c r="A281">
        <f>IF(ItemData_Fish!A281="","",ItemData_Fish!A281)</f>
        <v/>
      </c>
      <c r="B281">
        <f>IF(ItemData_Fish!A281="","",ItemData_Fish!B281)</f>
        <v/>
      </c>
    </row>
    <row r="282">
      <c r="A282">
        <f>IF(ItemData_Fish!A282="","",ItemData_Fish!A282)</f>
        <v/>
      </c>
      <c r="B282">
        <f>IF(ItemData_Fish!A282="","",ItemData_Fish!B282)</f>
        <v/>
      </c>
    </row>
    <row r="283">
      <c r="A283">
        <f>IF(ItemData_Fish!A283="","",ItemData_Fish!A283)</f>
        <v/>
      </c>
      <c r="B283">
        <f>IF(ItemData_Fish!A283="","",ItemData_Fish!B283)</f>
        <v/>
      </c>
    </row>
    <row r="284">
      <c r="A284">
        <f>IF(ItemData_Fish!A284="","",ItemData_Fish!A284)</f>
        <v/>
      </c>
      <c r="B284">
        <f>IF(ItemData_Fish!A284="","",ItemData_Fish!B284)</f>
        <v/>
      </c>
    </row>
    <row r="285">
      <c r="A285">
        <f>IF(ItemData_Fish!A285="","",ItemData_Fish!A285)</f>
        <v/>
      </c>
      <c r="B285">
        <f>IF(ItemData_Fish!A285="","",ItemData_Fish!B285)</f>
        <v/>
      </c>
    </row>
    <row r="286">
      <c r="A286">
        <f>IF(ItemData_Fish!A286="","",ItemData_Fish!A286)</f>
        <v/>
      </c>
      <c r="B286">
        <f>IF(ItemData_Fish!A286="","",ItemData_Fish!B286)</f>
        <v/>
      </c>
    </row>
    <row r="287">
      <c r="A287">
        <f>IF(ItemData_Fish!A287="","",ItemData_Fish!A287)</f>
        <v/>
      </c>
      <c r="B287">
        <f>IF(ItemData_Fish!A287="","",ItemData_Fish!B287)</f>
        <v/>
      </c>
    </row>
    <row r="288">
      <c r="A288">
        <f>IF(ItemData_Fish!A288="","",ItemData_Fish!A288)</f>
        <v/>
      </c>
      <c r="B288">
        <f>IF(ItemData_Fish!A288="","",ItemData_Fish!B288)</f>
        <v/>
      </c>
    </row>
    <row r="289">
      <c r="A289">
        <f>IF(ItemData_Fish!A289="","",ItemData_Fish!A289)</f>
        <v/>
      </c>
      <c r="B289">
        <f>IF(ItemData_Fish!A289="","",ItemData_Fish!B289)</f>
        <v/>
      </c>
    </row>
    <row r="290">
      <c r="A290">
        <f>IF(ItemData_Fish!A290="","",ItemData_Fish!A290)</f>
        <v/>
      </c>
      <c r="B290">
        <f>IF(ItemData_Fish!A290="","",ItemData_Fish!B290)</f>
        <v/>
      </c>
    </row>
    <row r="291">
      <c r="A291">
        <f>IF(ItemData_Fish!A291="","",ItemData_Fish!A291)</f>
        <v/>
      </c>
      <c r="B291">
        <f>IF(ItemData_Fish!A291="","",ItemData_Fish!B291)</f>
        <v/>
      </c>
    </row>
    <row r="292">
      <c r="A292">
        <f>IF(ItemData_Fish!A292="","",ItemData_Fish!A292)</f>
        <v/>
      </c>
      <c r="B292">
        <f>IF(ItemData_Fish!A292="","",ItemData_Fish!B292)</f>
        <v/>
      </c>
    </row>
    <row r="293">
      <c r="A293">
        <f>IF(ItemData_Fish!A293="","",ItemData_Fish!A293)</f>
        <v/>
      </c>
      <c r="B293">
        <f>IF(ItemData_Fish!A293="","",ItemData_Fish!B293)</f>
        <v/>
      </c>
    </row>
    <row r="294">
      <c r="A294">
        <f>IF(ItemData_Fish!A294="","",ItemData_Fish!A294)</f>
        <v/>
      </c>
      <c r="B294">
        <f>IF(ItemData_Fish!A294="","",ItemData_Fish!B294)</f>
        <v/>
      </c>
    </row>
    <row r="295">
      <c r="A295">
        <f>IF(ItemData_Fish!A295="","",ItemData_Fish!A295)</f>
        <v/>
      </c>
      <c r="B295">
        <f>IF(ItemData_Fish!A295="","",ItemData_Fish!B295)</f>
        <v/>
      </c>
    </row>
    <row r="296">
      <c r="A296">
        <f>IF(ItemData_Fish!A296="","",ItemData_Fish!A296)</f>
        <v/>
      </c>
      <c r="B296">
        <f>IF(ItemData_Fish!A296="","",ItemData_Fish!B296)</f>
        <v/>
      </c>
    </row>
    <row r="297">
      <c r="A297">
        <f>IF(ItemData_Fish!A297="","",ItemData_Fish!A297)</f>
        <v/>
      </c>
      <c r="B297">
        <f>IF(ItemData_Fish!A297="","",ItemData_Fish!B297)</f>
        <v/>
      </c>
    </row>
    <row r="298">
      <c r="A298">
        <f>IF(ItemData_Fish!A298="","",ItemData_Fish!A298)</f>
        <v/>
      </c>
      <c r="B298">
        <f>IF(ItemData_Fish!A298="","",ItemData_Fish!B298)</f>
        <v/>
      </c>
    </row>
    <row r="299">
      <c r="A299">
        <f>IF(ItemData_Fish!A299="","",ItemData_Fish!A299)</f>
        <v/>
      </c>
      <c r="B299">
        <f>IF(ItemData_Fish!A299="","",ItemData_Fish!B299)</f>
        <v/>
      </c>
    </row>
    <row r="300">
      <c r="A300">
        <f>IF(ItemData_Fish!A300="","",ItemData_Fish!A300)</f>
        <v/>
      </c>
      <c r="B300">
        <f>IF(ItemData_Fish!A300="","",ItemData_Fish!B300)</f>
        <v/>
      </c>
    </row>
    <row r="301">
      <c r="A301">
        <f>IF(ItemData_Materials!A3="","",ItemData_Materials!A3)</f>
        <v/>
      </c>
      <c r="B301">
        <f>IF(ItemData_Materials!A3="","",ItemData_Materials!B3)</f>
        <v/>
      </c>
      <c r="C301" t="inlineStr">
        <is>
          <t>ItemData_Materials</t>
        </is>
      </c>
    </row>
    <row r="302">
      <c r="A302">
        <f>IF(ItemData_Materials!A4="","",ItemData_Materials!A4)</f>
        <v/>
      </c>
      <c r="B302">
        <f>IF(ItemData_Materials!A4="","",ItemData_Materials!B4)</f>
        <v/>
      </c>
    </row>
    <row r="303">
      <c r="A303">
        <f>IF(ItemData_Materials!A5="","",ItemData_Materials!A5)</f>
        <v/>
      </c>
      <c r="B303">
        <f>IF(ItemData_Materials!A5="","",ItemData_Materials!B5)</f>
        <v/>
      </c>
    </row>
    <row r="304">
      <c r="A304">
        <f>IF(ItemData_Materials!A6="","",ItemData_Materials!A6)</f>
        <v/>
      </c>
      <c r="B304">
        <f>IF(ItemData_Materials!A6="","",ItemData_Materials!B6)</f>
        <v/>
      </c>
    </row>
    <row r="305">
      <c r="A305">
        <f>IF(ItemData_Materials!A7="","",ItemData_Materials!A7)</f>
        <v/>
      </c>
      <c r="B305">
        <f>IF(ItemData_Materials!A7="","",ItemData_Materials!B7)</f>
        <v/>
      </c>
    </row>
    <row r="306">
      <c r="A306">
        <f>IF(ItemData_Materials!A8="","",ItemData_Materials!A8)</f>
        <v/>
      </c>
      <c r="B306">
        <f>IF(ItemData_Materials!A8="","",ItemData_Materials!B8)</f>
        <v/>
      </c>
    </row>
    <row r="307">
      <c r="A307">
        <f>IF(ItemData_Materials!A9="","",ItemData_Materials!A9)</f>
        <v/>
      </c>
      <c r="B307">
        <f>IF(ItemData_Materials!A9="","",ItemData_Materials!B9)</f>
        <v/>
      </c>
    </row>
    <row r="308">
      <c r="A308">
        <f>IF(ItemData_Materials!A10="","",ItemData_Materials!A10)</f>
        <v/>
      </c>
      <c r="B308">
        <f>IF(ItemData_Materials!A10="","",ItemData_Materials!B10)</f>
        <v/>
      </c>
    </row>
    <row r="309">
      <c r="A309">
        <f>IF(ItemData_Materials!A11="","",ItemData_Materials!A11)</f>
        <v/>
      </c>
      <c r="B309">
        <f>IF(ItemData_Materials!A11="","",ItemData_Materials!B11)</f>
        <v/>
      </c>
    </row>
    <row r="310">
      <c r="A310">
        <f>IF(ItemData_Materials!A12="","",ItemData_Materials!A12)</f>
        <v/>
      </c>
      <c r="B310">
        <f>IF(ItemData_Materials!A12="","",ItemData_Materials!B12)</f>
        <v/>
      </c>
    </row>
    <row r="311">
      <c r="A311">
        <f>IF(ItemData_Materials!A13="","",ItemData_Materials!A13)</f>
        <v/>
      </c>
      <c r="B311">
        <f>IF(ItemData_Materials!A13="","",ItemData_Materials!B13)</f>
        <v/>
      </c>
    </row>
    <row r="312">
      <c r="A312">
        <f>IF(ItemData_Materials!A14="","",ItemData_Materials!A14)</f>
        <v/>
      </c>
      <c r="B312">
        <f>IF(ItemData_Materials!A14="","",ItemData_Materials!B14)</f>
        <v/>
      </c>
    </row>
    <row r="313">
      <c r="A313">
        <f>IF(ItemData_Materials!A15="","",ItemData_Materials!A15)</f>
        <v/>
      </c>
      <c r="B313">
        <f>IF(ItemData_Materials!A15="","",ItemData_Materials!B15)</f>
        <v/>
      </c>
    </row>
    <row r="314">
      <c r="A314">
        <f>IF(ItemData_Materials!A16="","",ItemData_Materials!A16)</f>
        <v/>
      </c>
      <c r="B314">
        <f>IF(ItemData_Materials!A16="","",ItemData_Materials!B16)</f>
        <v/>
      </c>
    </row>
    <row r="315">
      <c r="A315">
        <f>IF(ItemData_Materials!A17="","",ItemData_Materials!A17)</f>
        <v/>
      </c>
      <c r="B315">
        <f>IF(ItemData_Materials!A17="","",ItemData_Materials!B17)</f>
        <v/>
      </c>
    </row>
    <row r="316">
      <c r="A316">
        <f>IF(ItemData_Materials!A18="","",ItemData_Materials!A18)</f>
        <v/>
      </c>
      <c r="B316">
        <f>IF(ItemData_Materials!A18="","",ItemData_Materials!B18)</f>
        <v/>
      </c>
    </row>
    <row r="317">
      <c r="A317">
        <f>IF(ItemData_Materials!A19="","",ItemData_Materials!A19)</f>
        <v/>
      </c>
      <c r="B317">
        <f>IF(ItemData_Materials!A19="","",ItemData_Materials!B19)</f>
        <v/>
      </c>
    </row>
    <row r="318">
      <c r="A318">
        <f>IF(ItemData_Materials!A20="","",ItemData_Materials!A20)</f>
        <v/>
      </c>
      <c r="B318">
        <f>IF(ItemData_Materials!A20="","",ItemData_Materials!B20)</f>
        <v/>
      </c>
    </row>
    <row r="319">
      <c r="A319">
        <f>IF(ItemData_Materials!A21="","",ItemData_Materials!A21)</f>
        <v/>
      </c>
      <c r="B319">
        <f>IF(ItemData_Materials!A21="","",ItemData_Materials!B21)</f>
        <v/>
      </c>
    </row>
    <row r="320">
      <c r="A320">
        <f>IF(ItemData_Materials!A22="","",ItemData_Materials!A22)</f>
        <v/>
      </c>
      <c r="B320">
        <f>IF(ItemData_Materials!A22="","",ItemData_Materials!B22)</f>
        <v/>
      </c>
    </row>
    <row r="321">
      <c r="A321">
        <f>IF(ItemData_Materials!A23="","",ItemData_Materials!A23)</f>
        <v/>
      </c>
      <c r="B321">
        <f>IF(ItemData_Materials!A23="","",ItemData_Materials!B23)</f>
        <v/>
      </c>
    </row>
    <row r="322">
      <c r="A322">
        <f>IF(ItemData_Materials!A24="","",ItemData_Materials!A24)</f>
        <v/>
      </c>
      <c r="B322">
        <f>IF(ItemData_Materials!A24="","",ItemData_Materials!B24)</f>
        <v/>
      </c>
    </row>
    <row r="323">
      <c r="A323">
        <f>IF(ItemData_Materials!A25="","",ItemData_Materials!A25)</f>
        <v/>
      </c>
      <c r="B323">
        <f>IF(ItemData_Materials!A25="","",ItemData_Materials!B25)</f>
        <v/>
      </c>
    </row>
    <row r="324">
      <c r="A324">
        <f>IF(ItemData_Materials!A26="","",ItemData_Materials!A26)</f>
        <v/>
      </c>
      <c r="B324">
        <f>IF(ItemData_Materials!A26="","",ItemData_Materials!B26)</f>
        <v/>
      </c>
    </row>
    <row r="325">
      <c r="A325">
        <f>IF(ItemData_Materials!A27="","",ItemData_Materials!A27)</f>
        <v/>
      </c>
      <c r="B325">
        <f>IF(ItemData_Materials!A27="","",ItemData_Materials!B27)</f>
        <v/>
      </c>
    </row>
    <row r="326">
      <c r="A326">
        <f>IF(ItemData_Materials!A28="","",ItemData_Materials!A28)</f>
        <v/>
      </c>
      <c r="B326">
        <f>IF(ItemData_Materials!A28="","",ItemData_Materials!B28)</f>
        <v/>
      </c>
    </row>
    <row r="327">
      <c r="A327">
        <f>IF(ItemData_Materials!A29="","",ItemData_Materials!A29)</f>
        <v/>
      </c>
      <c r="B327">
        <f>IF(ItemData_Materials!A29="","",ItemData_Materials!B29)</f>
        <v/>
      </c>
    </row>
    <row r="328">
      <c r="A328">
        <f>IF(ItemData_Materials!A30="","",ItemData_Materials!A30)</f>
        <v/>
      </c>
      <c r="B328">
        <f>IF(ItemData_Materials!A30="","",ItemData_Materials!B30)</f>
        <v/>
      </c>
    </row>
    <row r="329">
      <c r="A329">
        <f>IF(ItemData_Materials!A31="","",ItemData_Materials!A31)</f>
        <v/>
      </c>
      <c r="B329">
        <f>IF(ItemData_Materials!A31="","",ItemData_Materials!B31)</f>
        <v/>
      </c>
    </row>
    <row r="330">
      <c r="A330">
        <f>IF(ItemData_Materials!A32="","",ItemData_Materials!A32)</f>
        <v/>
      </c>
      <c r="B330">
        <f>IF(ItemData_Materials!A32="","",ItemData_Materials!B32)</f>
        <v/>
      </c>
    </row>
    <row r="331">
      <c r="A331">
        <f>IF(ItemData_Materials!A33="","",ItemData_Materials!A33)</f>
        <v/>
      </c>
      <c r="B331">
        <f>IF(ItemData_Materials!A33="","",ItemData_Materials!B33)</f>
        <v/>
      </c>
    </row>
    <row r="332">
      <c r="A332">
        <f>IF(ItemData_Materials!A34="","",ItemData_Materials!A34)</f>
        <v/>
      </c>
      <c r="B332">
        <f>IF(ItemData_Materials!A34="","",ItemData_Materials!B34)</f>
        <v/>
      </c>
    </row>
    <row r="333">
      <c r="A333">
        <f>IF(ItemData_Materials!A35="","",ItemData_Materials!A35)</f>
        <v/>
      </c>
      <c r="B333">
        <f>IF(ItemData_Materials!A35="","",ItemData_Materials!B35)</f>
        <v/>
      </c>
    </row>
    <row r="334">
      <c r="A334">
        <f>IF(ItemData_Materials!A36="","",ItemData_Materials!A36)</f>
        <v/>
      </c>
      <c r="B334">
        <f>IF(ItemData_Materials!A36="","",ItemData_Materials!B36)</f>
        <v/>
      </c>
    </row>
    <row r="335">
      <c r="A335">
        <f>IF(ItemData_Materials!A37="","",ItemData_Materials!A37)</f>
        <v/>
      </c>
      <c r="B335">
        <f>IF(ItemData_Materials!A37="","",ItemData_Materials!B37)</f>
        <v/>
      </c>
    </row>
    <row r="336">
      <c r="A336">
        <f>IF(ItemData_Materials!A38="","",ItemData_Materials!A38)</f>
        <v/>
      </c>
      <c r="B336">
        <f>IF(ItemData_Materials!A38="","",ItemData_Materials!B38)</f>
        <v/>
      </c>
    </row>
    <row r="337">
      <c r="A337">
        <f>IF(ItemData_Materials!A39="","",ItemData_Materials!A39)</f>
        <v/>
      </c>
      <c r="B337">
        <f>IF(ItemData_Materials!A39="","",ItemData_Materials!B39)</f>
        <v/>
      </c>
    </row>
    <row r="338">
      <c r="A338">
        <f>IF(ItemData_Materials!A40="","",ItemData_Materials!A40)</f>
        <v/>
      </c>
      <c r="B338">
        <f>IF(ItemData_Materials!A40="","",ItemData_Materials!B40)</f>
        <v/>
      </c>
    </row>
    <row r="339">
      <c r="A339">
        <f>IF(ItemData_Materials!A41="","",ItemData_Materials!A41)</f>
        <v/>
      </c>
      <c r="B339">
        <f>IF(ItemData_Materials!A41="","",ItemData_Materials!B41)</f>
        <v/>
      </c>
    </row>
    <row r="340">
      <c r="A340">
        <f>IF(ItemData_Materials!A42="","",ItemData_Materials!A42)</f>
        <v/>
      </c>
      <c r="B340">
        <f>IF(ItemData_Materials!A42="","",ItemData_Materials!B42)</f>
        <v/>
      </c>
    </row>
    <row r="341">
      <c r="A341">
        <f>IF(ItemData_Materials!A43="","",ItemData_Materials!A43)</f>
        <v/>
      </c>
      <c r="B341">
        <f>IF(ItemData_Materials!A43="","",ItemData_Materials!B43)</f>
        <v/>
      </c>
    </row>
    <row r="342">
      <c r="A342">
        <f>IF(ItemData_Materials!A44="","",ItemData_Materials!A44)</f>
        <v/>
      </c>
      <c r="B342">
        <f>IF(ItemData_Materials!A44="","",ItemData_Materials!B44)</f>
        <v/>
      </c>
    </row>
    <row r="343">
      <c r="A343">
        <f>IF(ItemData_Materials!A45="","",ItemData_Materials!A45)</f>
        <v/>
      </c>
      <c r="B343">
        <f>IF(ItemData_Materials!A45="","",ItemData_Materials!B45)</f>
        <v/>
      </c>
    </row>
    <row r="344">
      <c r="A344">
        <f>IF(ItemData_Materials!A46="","",ItemData_Materials!A46)</f>
        <v/>
      </c>
      <c r="B344">
        <f>IF(ItemData_Materials!A46="","",ItemData_Materials!B46)</f>
        <v/>
      </c>
    </row>
    <row r="345">
      <c r="A345">
        <f>IF(ItemData_Materials!A47="","",ItemData_Materials!A47)</f>
        <v/>
      </c>
      <c r="B345">
        <f>IF(ItemData_Materials!A47="","",ItemData_Materials!B47)</f>
        <v/>
      </c>
    </row>
    <row r="346">
      <c r="A346">
        <f>IF(ItemData_Materials!A48="","",ItemData_Materials!A48)</f>
        <v/>
      </c>
      <c r="B346">
        <f>IF(ItemData_Materials!A48="","",ItemData_Materials!B48)</f>
        <v/>
      </c>
    </row>
    <row r="347">
      <c r="A347">
        <f>IF(ItemData_Materials!A49="","",ItemData_Materials!A49)</f>
        <v/>
      </c>
      <c r="B347">
        <f>IF(ItemData_Materials!A49="","",ItemData_Materials!B49)</f>
        <v/>
      </c>
    </row>
    <row r="348">
      <c r="A348">
        <f>IF(ItemData_Materials!A50="","",ItemData_Materials!A50)</f>
        <v/>
      </c>
      <c r="B348">
        <f>IF(ItemData_Materials!A50="","",ItemData_Materials!B50)</f>
        <v/>
      </c>
    </row>
    <row r="349">
      <c r="A349">
        <f>IF(ItemData_Materials!A51="","",ItemData_Materials!A51)</f>
        <v/>
      </c>
      <c r="B349">
        <f>IF(ItemData_Materials!A51="","",ItemData_Materials!B51)</f>
        <v/>
      </c>
    </row>
    <row r="350">
      <c r="A350">
        <f>IF(ItemData_Materials!A52="","",ItemData_Materials!A52)</f>
        <v/>
      </c>
      <c r="B350">
        <f>IF(ItemData_Materials!A52="","",ItemData_Materials!B52)</f>
        <v/>
      </c>
    </row>
    <row r="351">
      <c r="A351">
        <f>IF(ItemData_Materials!A53="","",ItemData_Materials!A53)</f>
        <v/>
      </c>
      <c r="B351">
        <f>IF(ItemData_Materials!A53="","",ItemData_Materials!B53)</f>
        <v/>
      </c>
    </row>
    <row r="352">
      <c r="A352">
        <f>IF(ItemData_Materials!A54="","",ItemData_Materials!A54)</f>
        <v/>
      </c>
      <c r="B352">
        <f>IF(ItemData_Materials!A54="","",ItemData_Materials!B54)</f>
        <v/>
      </c>
    </row>
    <row r="353">
      <c r="A353">
        <f>IF(ItemData_Materials!A55="","",ItemData_Materials!A55)</f>
        <v/>
      </c>
      <c r="B353">
        <f>IF(ItemData_Materials!A55="","",ItemData_Materials!B55)</f>
        <v/>
      </c>
    </row>
    <row r="354">
      <c r="A354">
        <f>IF(ItemData_Materials!A56="","",ItemData_Materials!A56)</f>
        <v/>
      </c>
      <c r="B354">
        <f>IF(ItemData_Materials!A56="","",ItemData_Materials!B56)</f>
        <v/>
      </c>
    </row>
    <row r="355">
      <c r="A355">
        <f>IF(ItemData_Materials!A57="","",ItemData_Materials!A57)</f>
        <v/>
      </c>
      <c r="B355">
        <f>IF(ItemData_Materials!A57="","",ItemData_Materials!B57)</f>
        <v/>
      </c>
    </row>
    <row r="356">
      <c r="A356">
        <f>IF(ItemData_Materials!A58="","",ItemData_Materials!A58)</f>
        <v/>
      </c>
      <c r="B356">
        <f>IF(ItemData_Materials!A58="","",ItemData_Materials!B58)</f>
        <v/>
      </c>
    </row>
    <row r="357">
      <c r="A357">
        <f>IF(ItemData_Materials!A59="","",ItemData_Materials!A59)</f>
        <v/>
      </c>
      <c r="B357">
        <f>IF(ItemData_Materials!A59="","",ItemData_Materials!B59)</f>
        <v/>
      </c>
    </row>
    <row r="358">
      <c r="A358">
        <f>IF(ItemData_Materials!A60="","",ItemData_Materials!A60)</f>
        <v/>
      </c>
      <c r="B358">
        <f>IF(ItemData_Materials!A60="","",ItemData_Materials!B60)</f>
        <v/>
      </c>
    </row>
    <row r="359">
      <c r="A359">
        <f>IF(ItemData_Materials!A61="","",ItemData_Materials!A61)</f>
        <v/>
      </c>
      <c r="B359">
        <f>IF(ItemData_Materials!A61="","",ItemData_Materials!B61)</f>
        <v/>
      </c>
    </row>
    <row r="360">
      <c r="A360">
        <f>IF(ItemData_Materials!A62="","",ItemData_Materials!A62)</f>
        <v/>
      </c>
      <c r="B360">
        <f>IF(ItemData_Materials!A62="","",ItemData_Materials!B62)</f>
        <v/>
      </c>
    </row>
    <row r="361">
      <c r="A361">
        <f>IF(ItemData_Materials!A63="","",ItemData_Materials!A63)</f>
        <v/>
      </c>
      <c r="B361">
        <f>IF(ItemData_Materials!A63="","",ItemData_Materials!B63)</f>
        <v/>
      </c>
    </row>
    <row r="362">
      <c r="A362">
        <f>IF(ItemData_Materials!A64="","",ItemData_Materials!A64)</f>
        <v/>
      </c>
      <c r="B362">
        <f>IF(ItemData_Materials!A64="","",ItemData_Materials!B64)</f>
        <v/>
      </c>
    </row>
    <row r="363">
      <c r="A363">
        <f>IF(ItemData_Materials!A65="","",ItemData_Materials!A65)</f>
        <v/>
      </c>
      <c r="B363">
        <f>IF(ItemData_Materials!A65="","",ItemData_Materials!B65)</f>
        <v/>
      </c>
    </row>
    <row r="364">
      <c r="A364">
        <f>IF(ItemData_Materials!A66="","",ItemData_Materials!A66)</f>
        <v/>
      </c>
      <c r="B364">
        <f>IF(ItemData_Materials!A66="","",ItemData_Materials!B66)</f>
        <v/>
      </c>
    </row>
    <row r="365">
      <c r="A365">
        <f>IF(ItemData_Materials!A67="","",ItemData_Materials!A67)</f>
        <v/>
      </c>
      <c r="B365">
        <f>IF(ItemData_Materials!A67="","",ItemData_Materials!B67)</f>
        <v/>
      </c>
    </row>
    <row r="366">
      <c r="A366">
        <f>IF(ItemData_Materials!A68="","",ItemData_Materials!A68)</f>
        <v/>
      </c>
      <c r="B366">
        <f>IF(ItemData_Materials!A68="","",ItemData_Materials!B68)</f>
        <v/>
      </c>
    </row>
    <row r="367">
      <c r="A367">
        <f>IF(ItemData_Materials!A69="","",ItemData_Materials!A69)</f>
        <v/>
      </c>
      <c r="B367">
        <f>IF(ItemData_Materials!A69="","",ItemData_Materials!B69)</f>
        <v/>
      </c>
    </row>
    <row r="368">
      <c r="A368">
        <f>IF(ItemData_Materials!A70="","",ItemData_Materials!A70)</f>
        <v/>
      </c>
      <c r="B368">
        <f>IF(ItemData_Materials!A70="","",ItemData_Materials!B70)</f>
        <v/>
      </c>
    </row>
    <row r="369">
      <c r="A369">
        <f>IF(ItemData_Materials!A71="","",ItemData_Materials!A71)</f>
        <v/>
      </c>
      <c r="B369">
        <f>IF(ItemData_Materials!A71="","",ItemData_Materials!B71)</f>
        <v/>
      </c>
    </row>
    <row r="370">
      <c r="A370">
        <f>IF(ItemData_Materials!A72="","",ItemData_Materials!A72)</f>
        <v/>
      </c>
      <c r="B370">
        <f>IF(ItemData_Materials!A72="","",ItemData_Materials!B72)</f>
        <v/>
      </c>
    </row>
    <row r="371">
      <c r="A371">
        <f>IF(ItemData_Materials!A73="","",ItemData_Materials!A73)</f>
        <v/>
      </c>
      <c r="B371">
        <f>IF(ItemData_Materials!A73="","",ItemData_Materials!B73)</f>
        <v/>
      </c>
    </row>
    <row r="372">
      <c r="A372">
        <f>IF(ItemData_Materials!A74="","",ItemData_Materials!A74)</f>
        <v/>
      </c>
      <c r="B372">
        <f>IF(ItemData_Materials!A74="","",ItemData_Materials!B74)</f>
        <v/>
      </c>
    </row>
    <row r="373">
      <c r="A373">
        <f>IF(ItemData_Materials!A75="","",ItemData_Materials!A75)</f>
        <v/>
      </c>
      <c r="B373">
        <f>IF(ItemData_Materials!A75="","",ItemData_Materials!B75)</f>
        <v/>
      </c>
    </row>
    <row r="374">
      <c r="A374">
        <f>IF(ItemData_Materials!A76="","",ItemData_Materials!A76)</f>
        <v/>
      </c>
      <c r="B374">
        <f>IF(ItemData_Materials!A76="","",ItemData_Materials!B76)</f>
        <v/>
      </c>
    </row>
    <row r="375">
      <c r="A375">
        <f>IF(ItemData_Materials!A77="","",ItemData_Materials!A77)</f>
        <v/>
      </c>
      <c r="B375">
        <f>IF(ItemData_Materials!A77="","",ItemData_Materials!B77)</f>
        <v/>
      </c>
    </row>
    <row r="376">
      <c r="A376">
        <f>IF(ItemData_Materials!A78="","",ItemData_Materials!A78)</f>
        <v/>
      </c>
      <c r="B376">
        <f>IF(ItemData_Materials!A78="","",ItemData_Materials!B78)</f>
        <v/>
      </c>
    </row>
    <row r="377">
      <c r="A377">
        <f>IF(ItemData_Materials!A79="","",ItemData_Materials!A79)</f>
        <v/>
      </c>
      <c r="B377">
        <f>IF(ItemData_Materials!A79="","",ItemData_Materials!B79)</f>
        <v/>
      </c>
    </row>
    <row r="378">
      <c r="A378">
        <f>IF(ItemData_Materials!A80="","",ItemData_Materials!A80)</f>
        <v/>
      </c>
      <c r="B378">
        <f>IF(ItemData_Materials!A80="","",ItemData_Materials!B80)</f>
        <v/>
      </c>
    </row>
    <row r="379">
      <c r="A379">
        <f>IF(ItemData_Materials!A81="","",ItemData_Materials!A81)</f>
        <v/>
      </c>
      <c r="B379">
        <f>IF(ItemData_Materials!A81="","",ItemData_Materials!B81)</f>
        <v/>
      </c>
    </row>
    <row r="380">
      <c r="A380">
        <f>IF(ItemData_Materials!A82="","",ItemData_Materials!A82)</f>
        <v/>
      </c>
      <c r="B380">
        <f>IF(ItemData_Materials!A82="","",ItemData_Materials!B82)</f>
        <v/>
      </c>
    </row>
    <row r="381">
      <c r="A381">
        <f>IF(ItemData_Materials!A83="","",ItemData_Materials!A83)</f>
        <v/>
      </c>
      <c r="B381">
        <f>IF(ItemData_Materials!A83="","",ItemData_Materials!B83)</f>
        <v/>
      </c>
    </row>
    <row r="382">
      <c r="A382">
        <f>IF(ItemData_Materials!A84="","",ItemData_Materials!A84)</f>
        <v/>
      </c>
      <c r="B382">
        <f>IF(ItemData_Materials!A84="","",ItemData_Materials!B84)</f>
        <v/>
      </c>
    </row>
    <row r="383">
      <c r="A383">
        <f>IF(ItemData_Materials!A85="","",ItemData_Materials!A85)</f>
        <v/>
      </c>
      <c r="B383">
        <f>IF(ItemData_Materials!A85="","",ItemData_Materials!B85)</f>
        <v/>
      </c>
    </row>
    <row r="384">
      <c r="A384">
        <f>IF(ItemData_Materials!A86="","",ItemData_Materials!A86)</f>
        <v/>
      </c>
      <c r="B384">
        <f>IF(ItemData_Materials!A86="","",ItemData_Materials!B86)</f>
        <v/>
      </c>
    </row>
    <row r="385">
      <c r="A385">
        <f>IF(ItemData_Materials!A87="","",ItemData_Materials!A87)</f>
        <v/>
      </c>
      <c r="B385">
        <f>IF(ItemData_Materials!A87="","",ItemData_Materials!B87)</f>
        <v/>
      </c>
    </row>
    <row r="386">
      <c r="A386">
        <f>IF(ItemData_Materials!A88="","",ItemData_Materials!A88)</f>
        <v/>
      </c>
      <c r="B386">
        <f>IF(ItemData_Materials!A88="","",ItemData_Materials!B88)</f>
        <v/>
      </c>
    </row>
    <row r="387">
      <c r="A387">
        <f>IF(ItemData_Materials!A89="","",ItemData_Materials!A89)</f>
        <v/>
      </c>
      <c r="B387">
        <f>IF(ItemData_Materials!A89="","",ItemData_Materials!B89)</f>
        <v/>
      </c>
    </row>
    <row r="388">
      <c r="A388">
        <f>IF(ItemData_Materials!A90="","",ItemData_Materials!A90)</f>
        <v/>
      </c>
      <c r="B388">
        <f>IF(ItemData_Materials!A90="","",ItemData_Materials!B90)</f>
        <v/>
      </c>
    </row>
    <row r="389">
      <c r="A389">
        <f>IF(ItemData_Materials!A91="","",ItemData_Materials!A91)</f>
        <v/>
      </c>
      <c r="B389">
        <f>IF(ItemData_Materials!A91="","",ItemData_Materials!B91)</f>
        <v/>
      </c>
    </row>
    <row r="390">
      <c r="A390">
        <f>IF(ItemData_Materials!A92="","",ItemData_Materials!A92)</f>
        <v/>
      </c>
      <c r="B390">
        <f>IF(ItemData_Materials!A92="","",ItemData_Materials!B92)</f>
        <v/>
      </c>
    </row>
    <row r="391">
      <c r="A391">
        <f>IF(ItemData_Materials!A93="","",ItemData_Materials!A93)</f>
        <v/>
      </c>
      <c r="B391">
        <f>IF(ItemData_Materials!A93="","",ItemData_Materials!B93)</f>
        <v/>
      </c>
    </row>
    <row r="392">
      <c r="A392">
        <f>IF(ItemData_Materials!A94="","",ItemData_Materials!A94)</f>
        <v/>
      </c>
      <c r="B392">
        <f>IF(ItemData_Materials!A94="","",ItemData_Materials!B94)</f>
        <v/>
      </c>
    </row>
    <row r="393">
      <c r="A393">
        <f>IF(ItemData_Materials!A95="","",ItemData_Materials!A95)</f>
        <v/>
      </c>
      <c r="B393">
        <f>IF(ItemData_Materials!A95="","",ItemData_Materials!B95)</f>
        <v/>
      </c>
    </row>
    <row r="394">
      <c r="A394">
        <f>IF(ItemData_Materials!A96="","",ItemData_Materials!A96)</f>
        <v/>
      </c>
      <c r="B394">
        <f>IF(ItemData_Materials!A96="","",ItemData_Materials!B96)</f>
        <v/>
      </c>
    </row>
    <row r="395">
      <c r="A395">
        <f>IF(ItemData_Materials!A97="","",ItemData_Materials!A97)</f>
        <v/>
      </c>
      <c r="B395">
        <f>IF(ItemData_Materials!A97="","",ItemData_Materials!B97)</f>
        <v/>
      </c>
    </row>
    <row r="396">
      <c r="A396">
        <f>IF(ItemData_Materials!A98="","",ItemData_Materials!A98)</f>
        <v/>
      </c>
      <c r="B396">
        <f>IF(ItemData_Materials!A98="","",ItemData_Materials!B98)</f>
        <v/>
      </c>
    </row>
    <row r="397">
      <c r="A397">
        <f>IF(ItemData_Materials!A99="","",ItemData_Materials!A99)</f>
        <v/>
      </c>
      <c r="B397">
        <f>IF(ItemData_Materials!A99="","",ItemData_Materials!B99)</f>
        <v/>
      </c>
    </row>
    <row r="398">
      <c r="A398">
        <f>IF(ItemData_Materials!A100="","",ItemData_Materials!A100)</f>
        <v/>
      </c>
      <c r="B398">
        <f>IF(ItemData_Materials!A100="","",ItemData_Materials!B100)</f>
        <v/>
      </c>
    </row>
    <row r="399">
      <c r="A399">
        <f>IF(ItemData_Materials!A101="","",ItemData_Materials!A101)</f>
        <v/>
      </c>
      <c r="B399">
        <f>IF(ItemData_Materials!A101="","",ItemData_Materials!B101)</f>
        <v/>
      </c>
    </row>
    <row r="400">
      <c r="A400">
        <f>IF(ItemData_Materials!A102="","",ItemData_Materials!A102)</f>
        <v/>
      </c>
      <c r="B400">
        <f>IF(ItemData_Materials!A102="","",ItemData_Materials!B102)</f>
        <v/>
      </c>
    </row>
    <row r="401">
      <c r="A401">
        <f>IF(ItemData_Materials!A103="","",ItemData_Materials!A103)</f>
        <v/>
      </c>
      <c r="B401">
        <f>IF(ItemData_Materials!A103="","",ItemData_Materials!B103)</f>
        <v/>
      </c>
    </row>
    <row r="402">
      <c r="A402">
        <f>IF(ItemData_Materials!A104="","",ItemData_Materials!A104)</f>
        <v/>
      </c>
      <c r="B402">
        <f>IF(ItemData_Materials!A104="","",ItemData_Materials!B104)</f>
        <v/>
      </c>
    </row>
    <row r="403">
      <c r="A403">
        <f>IF(ItemData_Materials!A105="","",ItemData_Materials!A105)</f>
        <v/>
      </c>
      <c r="B403">
        <f>IF(ItemData_Materials!A105="","",ItemData_Materials!B105)</f>
        <v/>
      </c>
    </row>
    <row r="404">
      <c r="A404">
        <f>IF(ItemData_Materials!A106="","",ItemData_Materials!A106)</f>
        <v/>
      </c>
      <c r="B404">
        <f>IF(ItemData_Materials!A106="","",ItemData_Materials!B106)</f>
        <v/>
      </c>
    </row>
    <row r="405">
      <c r="A405">
        <f>IF(ItemData_Materials!A107="","",ItemData_Materials!A107)</f>
        <v/>
      </c>
      <c r="B405">
        <f>IF(ItemData_Materials!A107="","",ItemData_Materials!B107)</f>
        <v/>
      </c>
    </row>
    <row r="406">
      <c r="A406">
        <f>IF(ItemData_Materials!A108="","",ItemData_Materials!A108)</f>
        <v/>
      </c>
      <c r="B406">
        <f>IF(ItemData_Materials!A108="","",ItemData_Materials!B108)</f>
        <v/>
      </c>
    </row>
    <row r="407">
      <c r="A407">
        <f>IF(ItemData_Materials!A109="","",ItemData_Materials!A109)</f>
        <v/>
      </c>
      <c r="B407">
        <f>IF(ItemData_Materials!A109="","",ItemData_Materials!B109)</f>
        <v/>
      </c>
    </row>
    <row r="408">
      <c r="A408">
        <f>IF(ItemData_Materials!A110="","",ItemData_Materials!A110)</f>
        <v/>
      </c>
      <c r="B408">
        <f>IF(ItemData_Materials!A110="","",ItemData_Materials!B110)</f>
        <v/>
      </c>
    </row>
    <row r="409">
      <c r="A409">
        <f>IF(ItemData_Materials!A111="","",ItemData_Materials!A111)</f>
        <v/>
      </c>
      <c r="B409">
        <f>IF(ItemData_Materials!A111="","",ItemData_Materials!B111)</f>
        <v/>
      </c>
    </row>
    <row r="410">
      <c r="A410">
        <f>IF(ItemData_Materials!A112="","",ItemData_Materials!A112)</f>
        <v/>
      </c>
      <c r="B410">
        <f>IF(ItemData_Materials!A112="","",ItemData_Materials!B112)</f>
        <v/>
      </c>
    </row>
    <row r="411">
      <c r="A411">
        <f>IF(ItemData_Materials!A113="","",ItemData_Materials!A113)</f>
        <v/>
      </c>
      <c r="B411">
        <f>IF(ItemData_Materials!A113="","",ItemData_Materials!B113)</f>
        <v/>
      </c>
    </row>
    <row r="412">
      <c r="A412">
        <f>IF(ItemData_Materials!A114="","",ItemData_Materials!A114)</f>
        <v/>
      </c>
      <c r="B412">
        <f>IF(ItemData_Materials!A114="","",ItemData_Materials!B114)</f>
        <v/>
      </c>
    </row>
    <row r="413">
      <c r="A413">
        <f>IF(ItemData_Materials!A115="","",ItemData_Materials!A115)</f>
        <v/>
      </c>
      <c r="B413">
        <f>IF(ItemData_Materials!A115="","",ItemData_Materials!B115)</f>
        <v/>
      </c>
    </row>
    <row r="414">
      <c r="A414">
        <f>IF(ItemData_Materials!A116="","",ItemData_Materials!A116)</f>
        <v/>
      </c>
      <c r="B414">
        <f>IF(ItemData_Materials!A116="","",ItemData_Materials!B116)</f>
        <v/>
      </c>
    </row>
    <row r="415">
      <c r="A415">
        <f>IF(ItemData_Materials!A117="","",ItemData_Materials!A117)</f>
        <v/>
      </c>
      <c r="B415">
        <f>IF(ItemData_Materials!A117="","",ItemData_Materials!B117)</f>
        <v/>
      </c>
    </row>
    <row r="416">
      <c r="A416">
        <f>IF(ItemData_Materials!A118="","",ItemData_Materials!A118)</f>
        <v/>
      </c>
      <c r="B416">
        <f>IF(ItemData_Materials!A118="","",ItemData_Materials!B118)</f>
        <v/>
      </c>
    </row>
    <row r="417">
      <c r="A417">
        <f>IF(ItemData_Materials!A119="","",ItemData_Materials!A119)</f>
        <v/>
      </c>
      <c r="B417">
        <f>IF(ItemData_Materials!A119="","",ItemData_Materials!B119)</f>
        <v/>
      </c>
    </row>
    <row r="418">
      <c r="A418">
        <f>IF(ItemData_Materials!A120="","",ItemData_Materials!A120)</f>
        <v/>
      </c>
      <c r="B418">
        <f>IF(ItemData_Materials!A120="","",ItemData_Materials!B120)</f>
        <v/>
      </c>
    </row>
    <row r="419">
      <c r="A419">
        <f>IF(ItemData_Materials!A121="","",ItemData_Materials!A121)</f>
        <v/>
      </c>
      <c r="B419">
        <f>IF(ItemData_Materials!A121="","",ItemData_Materials!B121)</f>
        <v/>
      </c>
    </row>
    <row r="420">
      <c r="A420">
        <f>IF(ItemData_Materials!A122="","",ItemData_Materials!A122)</f>
        <v/>
      </c>
      <c r="B420">
        <f>IF(ItemData_Materials!A122="","",ItemData_Materials!B122)</f>
        <v/>
      </c>
    </row>
    <row r="421">
      <c r="A421">
        <f>IF(ItemData_Materials!A123="","",ItemData_Materials!A123)</f>
        <v/>
      </c>
      <c r="B421">
        <f>IF(ItemData_Materials!A123="","",ItemData_Materials!B123)</f>
        <v/>
      </c>
    </row>
    <row r="422">
      <c r="A422">
        <f>IF(ItemData_Materials!A124="","",ItemData_Materials!A124)</f>
        <v/>
      </c>
      <c r="B422">
        <f>IF(ItemData_Materials!A124="","",ItemData_Materials!B124)</f>
        <v/>
      </c>
    </row>
    <row r="423">
      <c r="A423">
        <f>IF(ItemData_Materials!A125="","",ItemData_Materials!A125)</f>
        <v/>
      </c>
      <c r="B423">
        <f>IF(ItemData_Materials!A125="","",ItemData_Materials!B125)</f>
        <v/>
      </c>
    </row>
    <row r="424">
      <c r="A424">
        <f>IF(ItemData_Materials!A126="","",ItemData_Materials!A126)</f>
        <v/>
      </c>
      <c r="B424">
        <f>IF(ItemData_Materials!A126="","",ItemData_Materials!B126)</f>
        <v/>
      </c>
    </row>
    <row r="425">
      <c r="A425">
        <f>IF(ItemData_Materials!A127="","",ItemData_Materials!A127)</f>
        <v/>
      </c>
      <c r="B425">
        <f>IF(ItemData_Materials!A127="","",ItemData_Materials!B127)</f>
        <v/>
      </c>
    </row>
    <row r="426">
      <c r="A426">
        <f>IF(ItemData_Materials!A128="","",ItemData_Materials!A128)</f>
        <v/>
      </c>
      <c r="B426">
        <f>IF(ItemData_Materials!A128="","",ItemData_Materials!B128)</f>
        <v/>
      </c>
    </row>
    <row r="427">
      <c r="A427">
        <f>IF(ItemData_Materials!A129="","",ItemData_Materials!A129)</f>
        <v/>
      </c>
      <c r="B427">
        <f>IF(ItemData_Materials!A129="","",ItemData_Materials!B129)</f>
        <v/>
      </c>
    </row>
    <row r="428">
      <c r="A428">
        <f>IF(ItemData_Materials!A130="","",ItemData_Materials!A130)</f>
        <v/>
      </c>
      <c r="B428">
        <f>IF(ItemData_Materials!A130="","",ItemData_Materials!B130)</f>
        <v/>
      </c>
    </row>
    <row r="429">
      <c r="A429">
        <f>IF(ItemData_Materials!A131="","",ItemData_Materials!A131)</f>
        <v/>
      </c>
      <c r="B429">
        <f>IF(ItemData_Materials!A131="","",ItemData_Materials!B131)</f>
        <v/>
      </c>
    </row>
    <row r="430">
      <c r="A430">
        <f>IF(ItemData_Materials!A132="","",ItemData_Materials!A132)</f>
        <v/>
      </c>
      <c r="B430">
        <f>IF(ItemData_Materials!A132="","",ItemData_Materials!B132)</f>
        <v/>
      </c>
    </row>
    <row r="431">
      <c r="A431">
        <f>IF(ItemData_Materials!A133="","",ItemData_Materials!A133)</f>
        <v/>
      </c>
      <c r="B431">
        <f>IF(ItemData_Materials!A133="","",ItemData_Materials!B133)</f>
        <v/>
      </c>
    </row>
    <row r="432">
      <c r="A432">
        <f>IF(ItemData_Materials!A134="","",ItemData_Materials!A134)</f>
        <v/>
      </c>
      <c r="B432">
        <f>IF(ItemData_Materials!A134="","",ItemData_Materials!B134)</f>
        <v/>
      </c>
    </row>
    <row r="433">
      <c r="A433">
        <f>IF(ItemData_Materials!A135="","",ItemData_Materials!A135)</f>
        <v/>
      </c>
      <c r="B433">
        <f>IF(ItemData_Materials!A135="","",ItemData_Materials!B135)</f>
        <v/>
      </c>
    </row>
    <row r="434">
      <c r="A434">
        <f>IF(ItemData_Materials!A136="","",ItemData_Materials!A136)</f>
        <v/>
      </c>
      <c r="B434">
        <f>IF(ItemData_Materials!A136="","",ItemData_Materials!B136)</f>
        <v/>
      </c>
    </row>
    <row r="435">
      <c r="A435">
        <f>IF(ItemData_Materials!A137="","",ItemData_Materials!A137)</f>
        <v/>
      </c>
      <c r="B435">
        <f>IF(ItemData_Materials!A137="","",ItemData_Materials!B137)</f>
        <v/>
      </c>
    </row>
    <row r="436">
      <c r="A436">
        <f>IF(ItemData_Materials!A138="","",ItemData_Materials!A138)</f>
        <v/>
      </c>
      <c r="B436">
        <f>IF(ItemData_Materials!A138="","",ItemData_Materials!B138)</f>
        <v/>
      </c>
    </row>
    <row r="437">
      <c r="A437">
        <f>IF(ItemData_Materials!A139="","",ItemData_Materials!A139)</f>
        <v/>
      </c>
      <c r="B437">
        <f>IF(ItemData_Materials!A139="","",ItemData_Materials!B139)</f>
        <v/>
      </c>
    </row>
    <row r="438">
      <c r="A438">
        <f>IF(ItemData_Materials!A140="","",ItemData_Materials!A140)</f>
        <v/>
      </c>
      <c r="B438">
        <f>IF(ItemData_Materials!A140="","",ItemData_Materials!B140)</f>
        <v/>
      </c>
    </row>
    <row r="439">
      <c r="A439">
        <f>IF(ItemData_Materials!A141="","",ItemData_Materials!A141)</f>
        <v/>
      </c>
      <c r="B439">
        <f>IF(ItemData_Materials!A141="","",ItemData_Materials!B141)</f>
        <v/>
      </c>
    </row>
    <row r="440">
      <c r="A440">
        <f>IF(ItemData_Materials!A142="","",ItemData_Materials!A142)</f>
        <v/>
      </c>
      <c r="B440">
        <f>IF(ItemData_Materials!A142="","",ItemData_Materials!B142)</f>
        <v/>
      </c>
    </row>
    <row r="441">
      <c r="A441">
        <f>IF(ItemData_Materials!A143="","",ItemData_Materials!A143)</f>
        <v/>
      </c>
      <c r="B441">
        <f>IF(ItemData_Materials!A143="","",ItemData_Materials!B143)</f>
        <v/>
      </c>
    </row>
    <row r="442">
      <c r="A442">
        <f>IF(ItemData_Materials!A144="","",ItemData_Materials!A144)</f>
        <v/>
      </c>
      <c r="B442">
        <f>IF(ItemData_Materials!A144="","",ItemData_Materials!B144)</f>
        <v/>
      </c>
    </row>
    <row r="443">
      <c r="A443">
        <f>IF(ItemData_Materials!A145="","",ItemData_Materials!A145)</f>
        <v/>
      </c>
      <c r="B443">
        <f>IF(ItemData_Materials!A145="","",ItemData_Materials!B145)</f>
        <v/>
      </c>
    </row>
    <row r="444">
      <c r="A444">
        <f>IF(ItemData_Materials!A146="","",ItemData_Materials!A146)</f>
        <v/>
      </c>
      <c r="B444">
        <f>IF(ItemData_Materials!A146="","",ItemData_Materials!B146)</f>
        <v/>
      </c>
    </row>
    <row r="445">
      <c r="A445">
        <f>IF(ItemData_Materials!A147="","",ItemData_Materials!A147)</f>
        <v/>
      </c>
      <c r="B445">
        <f>IF(ItemData_Materials!A147="","",ItemData_Materials!B147)</f>
        <v/>
      </c>
    </row>
    <row r="446">
      <c r="A446">
        <f>IF(ItemData_Materials!A148="","",ItemData_Materials!A148)</f>
        <v/>
      </c>
      <c r="B446">
        <f>IF(ItemData_Materials!A148="","",ItemData_Materials!B148)</f>
        <v/>
      </c>
    </row>
    <row r="447">
      <c r="A447">
        <f>IF(ItemData_Materials!A149="","",ItemData_Materials!A149)</f>
        <v/>
      </c>
      <c r="B447">
        <f>IF(ItemData_Materials!A149="","",ItemData_Materials!B149)</f>
        <v/>
      </c>
    </row>
    <row r="448">
      <c r="A448">
        <f>IF(ItemData_Materials!A150="","",ItemData_Materials!A150)</f>
        <v/>
      </c>
      <c r="B448">
        <f>IF(ItemData_Materials!A150="","",ItemData_Materials!B150)</f>
        <v/>
      </c>
    </row>
    <row r="449">
      <c r="A449">
        <f>IF(ItemData_Materials!A151="","",ItemData_Materials!A151)</f>
        <v/>
      </c>
      <c r="B449">
        <f>IF(ItemData_Materials!A151="","",ItemData_Materials!B151)</f>
        <v/>
      </c>
    </row>
    <row r="450">
      <c r="A450">
        <f>IF(ItemData_Materials!A152="","",ItemData_Materials!A152)</f>
        <v/>
      </c>
      <c r="B450">
        <f>IF(ItemData_Materials!A152="","",ItemData_Materials!B152)</f>
        <v/>
      </c>
    </row>
    <row r="451">
      <c r="A451">
        <f>IF(ItemData_Materials!A153="","",ItemData_Materials!A153)</f>
        <v/>
      </c>
      <c r="B451">
        <f>IF(ItemData_Materials!A153="","",ItemData_Materials!B153)</f>
        <v/>
      </c>
    </row>
    <row r="452">
      <c r="A452">
        <f>IF(ItemData_Materials!A154="","",ItemData_Materials!A154)</f>
        <v/>
      </c>
      <c r="B452">
        <f>IF(ItemData_Materials!A154="","",ItemData_Materials!B154)</f>
        <v/>
      </c>
    </row>
    <row r="453">
      <c r="A453">
        <f>IF(ItemData_Materials!A155="","",ItemData_Materials!A155)</f>
        <v/>
      </c>
      <c r="B453">
        <f>IF(ItemData_Materials!A155="","",ItemData_Materials!B155)</f>
        <v/>
      </c>
    </row>
    <row r="454">
      <c r="A454">
        <f>IF(ItemData_Materials!A156="","",ItemData_Materials!A156)</f>
        <v/>
      </c>
      <c r="B454">
        <f>IF(ItemData_Materials!A156="","",ItemData_Materials!B156)</f>
        <v/>
      </c>
    </row>
    <row r="455">
      <c r="A455">
        <f>IF(ItemData_Materials!A157="","",ItemData_Materials!A157)</f>
        <v/>
      </c>
      <c r="B455">
        <f>IF(ItemData_Materials!A157="","",ItemData_Materials!B157)</f>
        <v/>
      </c>
    </row>
    <row r="456">
      <c r="A456">
        <f>IF(ItemData_Materials!A158="","",ItemData_Materials!A158)</f>
        <v/>
      </c>
      <c r="B456">
        <f>IF(ItemData_Materials!A158="","",ItemData_Materials!B158)</f>
        <v/>
      </c>
    </row>
    <row r="457">
      <c r="A457">
        <f>IF(ItemData_Materials!A159="","",ItemData_Materials!A159)</f>
        <v/>
      </c>
      <c r="B457">
        <f>IF(ItemData_Materials!A159="","",ItemData_Materials!B159)</f>
        <v/>
      </c>
    </row>
    <row r="458">
      <c r="A458">
        <f>IF(ItemData_Materials!A160="","",ItemData_Materials!A160)</f>
        <v/>
      </c>
      <c r="B458">
        <f>IF(ItemData_Materials!A160="","",ItemData_Materials!B160)</f>
        <v/>
      </c>
    </row>
    <row r="459">
      <c r="A459">
        <f>IF(ItemData_Materials!A161="","",ItemData_Materials!A161)</f>
        <v/>
      </c>
      <c r="B459">
        <f>IF(ItemData_Materials!A161="","",ItemData_Materials!B161)</f>
        <v/>
      </c>
    </row>
    <row r="460">
      <c r="A460">
        <f>IF(ItemData_Materials!A162="","",ItemData_Materials!A162)</f>
        <v/>
      </c>
      <c r="B460">
        <f>IF(ItemData_Materials!A162="","",ItemData_Materials!B162)</f>
        <v/>
      </c>
    </row>
    <row r="461">
      <c r="A461">
        <f>IF(ItemData_Materials!A163="","",ItemData_Materials!A163)</f>
        <v/>
      </c>
      <c r="B461">
        <f>IF(ItemData_Materials!A163="","",ItemData_Materials!B163)</f>
        <v/>
      </c>
    </row>
    <row r="462">
      <c r="A462">
        <f>IF(ItemData_Materials!A164="","",ItemData_Materials!A164)</f>
        <v/>
      </c>
      <c r="B462">
        <f>IF(ItemData_Materials!A164="","",ItemData_Materials!B164)</f>
        <v/>
      </c>
    </row>
    <row r="463">
      <c r="A463">
        <f>IF(ItemData_Materials!A165="","",ItemData_Materials!A165)</f>
        <v/>
      </c>
      <c r="B463">
        <f>IF(ItemData_Materials!A165="","",ItemData_Materials!B165)</f>
        <v/>
      </c>
    </row>
    <row r="464">
      <c r="A464">
        <f>IF(ItemData_Materials!A166="","",ItemData_Materials!A166)</f>
        <v/>
      </c>
      <c r="B464">
        <f>IF(ItemData_Materials!A166="","",ItemData_Materials!B166)</f>
        <v/>
      </c>
    </row>
    <row r="465">
      <c r="A465">
        <f>IF(ItemData_Materials!A167="","",ItemData_Materials!A167)</f>
        <v/>
      </c>
      <c r="B465">
        <f>IF(ItemData_Materials!A167="","",ItemData_Materials!B167)</f>
        <v/>
      </c>
    </row>
    <row r="466">
      <c r="A466">
        <f>IF(ItemData_Materials!A168="","",ItemData_Materials!A168)</f>
        <v/>
      </c>
      <c r="B466">
        <f>IF(ItemData_Materials!A168="","",ItemData_Materials!B168)</f>
        <v/>
      </c>
    </row>
    <row r="467">
      <c r="A467">
        <f>IF(ItemData_Materials!A169="","",ItemData_Materials!A169)</f>
        <v/>
      </c>
      <c r="B467">
        <f>IF(ItemData_Materials!A169="","",ItemData_Materials!B169)</f>
        <v/>
      </c>
    </row>
    <row r="468">
      <c r="A468">
        <f>IF(ItemData_Materials!A170="","",ItemData_Materials!A170)</f>
        <v/>
      </c>
      <c r="B468">
        <f>IF(ItemData_Materials!A170="","",ItemData_Materials!B170)</f>
        <v/>
      </c>
    </row>
    <row r="469">
      <c r="A469">
        <f>IF(ItemData_Materials!A171="","",ItemData_Materials!A171)</f>
        <v/>
      </c>
      <c r="B469">
        <f>IF(ItemData_Materials!A171="","",ItemData_Materials!B171)</f>
        <v/>
      </c>
    </row>
    <row r="470">
      <c r="A470">
        <f>IF(ItemData_Materials!A172="","",ItemData_Materials!A172)</f>
        <v/>
      </c>
      <c r="B470">
        <f>IF(ItemData_Materials!A172="","",ItemData_Materials!B172)</f>
        <v/>
      </c>
    </row>
    <row r="471">
      <c r="A471">
        <f>IF(ItemData_Materials!A173="","",ItemData_Materials!A173)</f>
        <v/>
      </c>
      <c r="B471">
        <f>IF(ItemData_Materials!A173="","",ItemData_Materials!B173)</f>
        <v/>
      </c>
    </row>
    <row r="472">
      <c r="A472">
        <f>IF(ItemData_Materials!A174="","",ItemData_Materials!A174)</f>
        <v/>
      </c>
      <c r="B472">
        <f>IF(ItemData_Materials!A174="","",ItemData_Materials!B174)</f>
        <v/>
      </c>
    </row>
    <row r="473">
      <c r="A473">
        <f>IF(ItemData_Materials!A175="","",ItemData_Materials!A175)</f>
        <v/>
      </c>
      <c r="B473">
        <f>IF(ItemData_Materials!A175="","",ItemData_Materials!B175)</f>
        <v/>
      </c>
    </row>
    <row r="474">
      <c r="A474">
        <f>IF(ItemData_Materials!A176="","",ItemData_Materials!A176)</f>
        <v/>
      </c>
      <c r="B474">
        <f>IF(ItemData_Materials!A176="","",ItemData_Materials!B176)</f>
        <v/>
      </c>
    </row>
    <row r="475">
      <c r="A475">
        <f>IF(ItemData_Materials!A177="","",ItemData_Materials!A177)</f>
        <v/>
      </c>
      <c r="B475">
        <f>IF(ItemData_Materials!A177="","",ItemData_Materials!B177)</f>
        <v/>
      </c>
    </row>
    <row r="476">
      <c r="A476">
        <f>IF(ItemData_Materials!A178="","",ItemData_Materials!A178)</f>
        <v/>
      </c>
      <c r="B476">
        <f>IF(ItemData_Materials!A178="","",ItemData_Materials!B178)</f>
        <v/>
      </c>
    </row>
    <row r="477">
      <c r="A477">
        <f>IF(ItemData_Materials!A179="","",ItemData_Materials!A179)</f>
        <v/>
      </c>
      <c r="B477">
        <f>IF(ItemData_Materials!A179="","",ItemData_Materials!B179)</f>
        <v/>
      </c>
    </row>
    <row r="478">
      <c r="A478">
        <f>IF(ItemData_Materials!A180="","",ItemData_Materials!A180)</f>
        <v/>
      </c>
      <c r="B478">
        <f>IF(ItemData_Materials!A180="","",ItemData_Materials!B180)</f>
        <v/>
      </c>
    </row>
    <row r="479">
      <c r="A479">
        <f>IF(ItemData_Materials!A181="","",ItemData_Materials!A181)</f>
        <v/>
      </c>
      <c r="B479">
        <f>IF(ItemData_Materials!A181="","",ItemData_Materials!B181)</f>
        <v/>
      </c>
    </row>
    <row r="480">
      <c r="A480">
        <f>IF(ItemData_Materials!A182="","",ItemData_Materials!A182)</f>
        <v/>
      </c>
      <c r="B480">
        <f>IF(ItemData_Materials!A182="","",ItemData_Materials!B182)</f>
        <v/>
      </c>
    </row>
    <row r="481">
      <c r="A481">
        <f>IF(ItemData_Materials!A183="","",ItemData_Materials!A183)</f>
        <v/>
      </c>
      <c r="B481">
        <f>IF(ItemData_Materials!A183="","",ItemData_Materials!B183)</f>
        <v/>
      </c>
    </row>
    <row r="482">
      <c r="A482">
        <f>IF(ItemData_Materials!A184="","",ItemData_Materials!A184)</f>
        <v/>
      </c>
      <c r="B482">
        <f>IF(ItemData_Materials!A184="","",ItemData_Materials!B184)</f>
        <v/>
      </c>
    </row>
    <row r="483">
      <c r="A483">
        <f>IF(ItemData_Materials!A185="","",ItemData_Materials!A185)</f>
        <v/>
      </c>
      <c r="B483">
        <f>IF(ItemData_Materials!A185="","",ItemData_Materials!B185)</f>
        <v/>
      </c>
    </row>
    <row r="484">
      <c r="A484">
        <f>IF(ItemData_Materials!A186="","",ItemData_Materials!A186)</f>
        <v/>
      </c>
      <c r="B484">
        <f>IF(ItemData_Materials!A186="","",ItemData_Materials!B186)</f>
        <v/>
      </c>
    </row>
    <row r="485">
      <c r="A485">
        <f>IF(ItemData_Materials!A187="","",ItemData_Materials!A187)</f>
        <v/>
      </c>
      <c r="B485">
        <f>IF(ItemData_Materials!A187="","",ItemData_Materials!B187)</f>
        <v/>
      </c>
    </row>
    <row r="486">
      <c r="A486">
        <f>IF(ItemData_Materials!A188="","",ItemData_Materials!A188)</f>
        <v/>
      </c>
      <c r="B486">
        <f>IF(ItemData_Materials!A188="","",ItemData_Materials!B188)</f>
        <v/>
      </c>
    </row>
    <row r="487">
      <c r="A487">
        <f>IF(ItemData_Materials!A189="","",ItemData_Materials!A189)</f>
        <v/>
      </c>
      <c r="B487">
        <f>IF(ItemData_Materials!A189="","",ItemData_Materials!B189)</f>
        <v/>
      </c>
    </row>
    <row r="488">
      <c r="A488">
        <f>IF(ItemData_Materials!A190="","",ItemData_Materials!A190)</f>
        <v/>
      </c>
      <c r="B488">
        <f>IF(ItemData_Materials!A190="","",ItemData_Materials!B190)</f>
        <v/>
      </c>
    </row>
    <row r="489">
      <c r="A489">
        <f>IF(ItemData_Materials!A191="","",ItemData_Materials!A191)</f>
        <v/>
      </c>
      <c r="B489">
        <f>IF(ItemData_Materials!A191="","",ItemData_Materials!B191)</f>
        <v/>
      </c>
    </row>
    <row r="490">
      <c r="A490">
        <f>IF(ItemData_Materials!A192="","",ItemData_Materials!A192)</f>
        <v/>
      </c>
      <c r="B490">
        <f>IF(ItemData_Materials!A192="","",ItemData_Materials!B192)</f>
        <v/>
      </c>
    </row>
    <row r="491">
      <c r="A491">
        <f>IF(ItemData_Materials!A193="","",ItemData_Materials!A193)</f>
        <v/>
      </c>
      <c r="B491">
        <f>IF(ItemData_Materials!A193="","",ItemData_Materials!B193)</f>
        <v/>
      </c>
    </row>
    <row r="492">
      <c r="A492">
        <f>IF(ItemData_Materials!A194="","",ItemData_Materials!A194)</f>
        <v/>
      </c>
      <c r="B492">
        <f>IF(ItemData_Materials!A194="","",ItemData_Materials!B194)</f>
        <v/>
      </c>
    </row>
    <row r="493">
      <c r="A493">
        <f>IF(ItemData_Materials!A195="","",ItemData_Materials!A195)</f>
        <v/>
      </c>
      <c r="B493">
        <f>IF(ItemData_Materials!A195="","",ItemData_Materials!B195)</f>
        <v/>
      </c>
    </row>
    <row r="494">
      <c r="A494">
        <f>IF(ItemData_Materials!A196="","",ItemData_Materials!A196)</f>
        <v/>
      </c>
      <c r="B494">
        <f>IF(ItemData_Materials!A196="","",ItemData_Materials!B196)</f>
        <v/>
      </c>
    </row>
    <row r="495">
      <c r="A495">
        <f>IF(ItemData_Materials!A197="","",ItemData_Materials!A197)</f>
        <v/>
      </c>
      <c r="B495">
        <f>IF(ItemData_Materials!A197="","",ItemData_Materials!B197)</f>
        <v/>
      </c>
    </row>
    <row r="496">
      <c r="A496">
        <f>IF(ItemData_Materials!A198="","",ItemData_Materials!A198)</f>
        <v/>
      </c>
      <c r="B496">
        <f>IF(ItemData_Materials!A198="","",ItemData_Materials!B198)</f>
        <v/>
      </c>
    </row>
    <row r="497">
      <c r="A497">
        <f>IF(ItemData_Materials!A199="","",ItemData_Materials!A199)</f>
        <v/>
      </c>
      <c r="B497">
        <f>IF(ItemData_Materials!A199="","",ItemData_Materials!B199)</f>
        <v/>
      </c>
    </row>
    <row r="498">
      <c r="A498">
        <f>IF(ItemData_Materials!A200="","",ItemData_Materials!A200)</f>
        <v/>
      </c>
      <c r="B498">
        <f>IF(ItemData_Materials!A200="","",ItemData_Materials!B200)</f>
        <v/>
      </c>
    </row>
    <row r="499">
      <c r="A499">
        <f>IF(ItemData_Materials!A201="","",ItemData_Materials!A201)</f>
        <v/>
      </c>
      <c r="B499">
        <f>IF(ItemData_Materials!A201="","",ItemData_Materials!B201)</f>
        <v/>
      </c>
    </row>
    <row r="500">
      <c r="A500">
        <f>IF(ItemData_Materials!A202="","",ItemData_Materials!A202)</f>
        <v/>
      </c>
      <c r="B500">
        <f>IF(ItemData_Materials!A202="","",ItemData_Materials!B202)</f>
        <v/>
      </c>
    </row>
    <row r="501">
      <c r="A501">
        <f>IF(ItemData_Materials!A203="","",ItemData_Materials!A203)</f>
        <v/>
      </c>
      <c r="B501">
        <f>IF(ItemData_Materials!A203="","",ItemData_Materials!B203)</f>
        <v/>
      </c>
    </row>
    <row r="502">
      <c r="A502">
        <f>IF(ItemData_Materials!A204="","",ItemData_Materials!A204)</f>
        <v/>
      </c>
      <c r="B502">
        <f>IF(ItemData_Materials!A204="","",ItemData_Materials!B204)</f>
        <v/>
      </c>
    </row>
    <row r="503">
      <c r="A503">
        <f>IF(ItemData_Materials!A205="","",ItemData_Materials!A205)</f>
        <v/>
      </c>
      <c r="B503">
        <f>IF(ItemData_Materials!A205="","",ItemData_Materials!B205)</f>
        <v/>
      </c>
    </row>
    <row r="504">
      <c r="A504">
        <f>IF(ItemData_Materials!A206="","",ItemData_Materials!A206)</f>
        <v/>
      </c>
      <c r="B504">
        <f>IF(ItemData_Materials!A206="","",ItemData_Materials!B206)</f>
        <v/>
      </c>
    </row>
    <row r="505">
      <c r="A505">
        <f>IF(ItemData_Materials!A207="","",ItemData_Materials!A207)</f>
        <v/>
      </c>
      <c r="B505">
        <f>IF(ItemData_Materials!A207="","",ItemData_Materials!B207)</f>
        <v/>
      </c>
    </row>
    <row r="506">
      <c r="A506">
        <f>IF(ItemData_Materials!A208="","",ItemData_Materials!A208)</f>
        <v/>
      </c>
      <c r="B506">
        <f>IF(ItemData_Materials!A208="","",ItemData_Materials!B208)</f>
        <v/>
      </c>
    </row>
    <row r="507">
      <c r="A507">
        <f>IF(ItemData_Materials!A209="","",ItemData_Materials!A209)</f>
        <v/>
      </c>
      <c r="B507">
        <f>IF(ItemData_Materials!A209="","",ItemData_Materials!B209)</f>
        <v/>
      </c>
    </row>
    <row r="508">
      <c r="A508">
        <f>IF(ItemData_Materials!A210="","",ItemData_Materials!A210)</f>
        <v/>
      </c>
      <c r="B508">
        <f>IF(ItemData_Materials!A210="","",ItemData_Materials!B210)</f>
        <v/>
      </c>
    </row>
    <row r="509">
      <c r="A509">
        <f>IF(ItemData_Materials!A211="","",ItemData_Materials!A211)</f>
        <v/>
      </c>
      <c r="B509">
        <f>IF(ItemData_Materials!A211="","",ItemData_Materials!B211)</f>
        <v/>
      </c>
    </row>
    <row r="510">
      <c r="A510">
        <f>IF(ItemData_Materials!A212="","",ItemData_Materials!A212)</f>
        <v/>
      </c>
      <c r="B510">
        <f>IF(ItemData_Materials!A212="","",ItemData_Materials!B212)</f>
        <v/>
      </c>
    </row>
    <row r="511">
      <c r="A511">
        <f>IF(ItemData_Materials!A213="","",ItemData_Materials!A213)</f>
        <v/>
      </c>
      <c r="B511">
        <f>IF(ItemData_Materials!A213="","",ItemData_Materials!B213)</f>
        <v/>
      </c>
    </row>
    <row r="512">
      <c r="A512">
        <f>IF(ItemData_Materials!A214="","",ItemData_Materials!A214)</f>
        <v/>
      </c>
      <c r="B512">
        <f>IF(ItemData_Materials!A214="","",ItemData_Materials!B214)</f>
        <v/>
      </c>
    </row>
    <row r="513">
      <c r="A513">
        <f>IF(ItemData_Materials!A215="","",ItemData_Materials!A215)</f>
        <v/>
      </c>
      <c r="B513">
        <f>IF(ItemData_Materials!A215="","",ItemData_Materials!B215)</f>
        <v/>
      </c>
    </row>
    <row r="514">
      <c r="A514">
        <f>IF(ItemData_Materials!A216="","",ItemData_Materials!A216)</f>
        <v/>
      </c>
      <c r="B514">
        <f>IF(ItemData_Materials!A216="","",ItemData_Materials!B216)</f>
        <v/>
      </c>
    </row>
    <row r="515">
      <c r="A515">
        <f>IF(ItemData_Materials!A217="","",ItemData_Materials!A217)</f>
        <v/>
      </c>
      <c r="B515">
        <f>IF(ItemData_Materials!A217="","",ItemData_Materials!B217)</f>
        <v/>
      </c>
    </row>
    <row r="516">
      <c r="A516">
        <f>IF(ItemData_Materials!A218="","",ItemData_Materials!A218)</f>
        <v/>
      </c>
      <c r="B516">
        <f>IF(ItemData_Materials!A218="","",ItemData_Materials!B218)</f>
        <v/>
      </c>
    </row>
    <row r="517">
      <c r="A517">
        <f>IF(ItemData_Materials!A219="","",ItemData_Materials!A219)</f>
        <v/>
      </c>
      <c r="B517">
        <f>IF(ItemData_Materials!A219="","",ItemData_Materials!B219)</f>
        <v/>
      </c>
    </row>
    <row r="518">
      <c r="A518">
        <f>IF(ItemData_Materials!A220="","",ItemData_Materials!A220)</f>
        <v/>
      </c>
      <c r="B518">
        <f>IF(ItemData_Materials!A220="","",ItemData_Materials!B220)</f>
        <v/>
      </c>
    </row>
    <row r="519">
      <c r="A519">
        <f>IF(ItemData_Materials!A221="","",ItemData_Materials!A221)</f>
        <v/>
      </c>
      <c r="B519">
        <f>IF(ItemData_Materials!A221="","",ItemData_Materials!B221)</f>
        <v/>
      </c>
    </row>
    <row r="520">
      <c r="A520">
        <f>IF(ItemData_Materials!A222="","",ItemData_Materials!A222)</f>
        <v/>
      </c>
      <c r="B520">
        <f>IF(ItemData_Materials!A222="","",ItemData_Materials!B222)</f>
        <v/>
      </c>
    </row>
    <row r="521">
      <c r="A521">
        <f>IF(ItemData_Materials!A223="","",ItemData_Materials!A223)</f>
        <v/>
      </c>
      <c r="B521">
        <f>IF(ItemData_Materials!A223="","",ItemData_Materials!B223)</f>
        <v/>
      </c>
    </row>
    <row r="522">
      <c r="A522">
        <f>IF(ItemData_Materials!A224="","",ItemData_Materials!A224)</f>
        <v/>
      </c>
      <c r="B522">
        <f>IF(ItemData_Materials!A224="","",ItemData_Materials!B224)</f>
        <v/>
      </c>
    </row>
    <row r="523">
      <c r="A523">
        <f>IF(ItemData_Materials!A225="","",ItemData_Materials!A225)</f>
        <v/>
      </c>
      <c r="B523">
        <f>IF(ItemData_Materials!A225="","",ItemData_Materials!B225)</f>
        <v/>
      </c>
    </row>
    <row r="524">
      <c r="A524">
        <f>IF(ItemData_Materials!A226="","",ItemData_Materials!A226)</f>
        <v/>
      </c>
      <c r="B524">
        <f>IF(ItemData_Materials!A226="","",ItemData_Materials!B226)</f>
        <v/>
      </c>
    </row>
    <row r="525">
      <c r="A525">
        <f>IF(ItemData_Materials!A227="","",ItemData_Materials!A227)</f>
        <v/>
      </c>
      <c r="B525">
        <f>IF(ItemData_Materials!A227="","",ItemData_Materials!B227)</f>
        <v/>
      </c>
    </row>
    <row r="526">
      <c r="A526">
        <f>IF(ItemData_Materials!A228="","",ItemData_Materials!A228)</f>
        <v/>
      </c>
      <c r="B526">
        <f>IF(ItemData_Materials!A228="","",ItemData_Materials!B228)</f>
        <v/>
      </c>
    </row>
    <row r="527">
      <c r="A527">
        <f>IF(ItemData_Materials!A229="","",ItemData_Materials!A229)</f>
        <v/>
      </c>
      <c r="B527">
        <f>IF(ItemData_Materials!A229="","",ItemData_Materials!B229)</f>
        <v/>
      </c>
    </row>
    <row r="528">
      <c r="A528">
        <f>IF(ItemData_Materials!A230="","",ItemData_Materials!A230)</f>
        <v/>
      </c>
      <c r="B528">
        <f>IF(ItemData_Materials!A230="","",ItemData_Materials!B230)</f>
        <v/>
      </c>
    </row>
    <row r="529">
      <c r="A529">
        <f>IF(ItemData_Materials!A231="","",ItemData_Materials!A231)</f>
        <v/>
      </c>
      <c r="B529">
        <f>IF(ItemData_Materials!A231="","",ItemData_Materials!B231)</f>
        <v/>
      </c>
    </row>
    <row r="530">
      <c r="A530">
        <f>IF(ItemData_Materials!A232="","",ItemData_Materials!A232)</f>
        <v/>
      </c>
      <c r="B530">
        <f>IF(ItemData_Materials!A232="","",ItemData_Materials!B232)</f>
        <v/>
      </c>
    </row>
    <row r="531">
      <c r="A531">
        <f>IF(ItemData_Materials!A233="","",ItemData_Materials!A233)</f>
        <v/>
      </c>
      <c r="B531">
        <f>IF(ItemData_Materials!A233="","",ItemData_Materials!B233)</f>
        <v/>
      </c>
    </row>
    <row r="532">
      <c r="A532">
        <f>IF(ItemData_Materials!A234="","",ItemData_Materials!A234)</f>
        <v/>
      </c>
      <c r="B532">
        <f>IF(ItemData_Materials!A234="","",ItemData_Materials!B234)</f>
        <v/>
      </c>
    </row>
    <row r="533">
      <c r="A533">
        <f>IF(ItemData_Materials!A235="","",ItemData_Materials!A235)</f>
        <v/>
      </c>
      <c r="B533">
        <f>IF(ItemData_Materials!A235="","",ItemData_Materials!B235)</f>
        <v/>
      </c>
    </row>
    <row r="534">
      <c r="A534">
        <f>IF(ItemData_Materials!A236="","",ItemData_Materials!A236)</f>
        <v/>
      </c>
      <c r="B534">
        <f>IF(ItemData_Materials!A236="","",ItemData_Materials!B236)</f>
        <v/>
      </c>
    </row>
    <row r="535">
      <c r="A535">
        <f>IF(ItemData_Materials!A237="","",ItemData_Materials!A237)</f>
        <v/>
      </c>
      <c r="B535">
        <f>IF(ItemData_Materials!A237="","",ItemData_Materials!B237)</f>
        <v/>
      </c>
    </row>
    <row r="536">
      <c r="A536">
        <f>IF(ItemData_Materials!A238="","",ItemData_Materials!A238)</f>
        <v/>
      </c>
      <c r="B536">
        <f>IF(ItemData_Materials!A238="","",ItemData_Materials!B238)</f>
        <v/>
      </c>
    </row>
    <row r="537">
      <c r="A537">
        <f>IF(ItemData_Materials!A239="","",ItemData_Materials!A239)</f>
        <v/>
      </c>
      <c r="B537">
        <f>IF(ItemData_Materials!A239="","",ItemData_Materials!B239)</f>
        <v/>
      </c>
    </row>
    <row r="538">
      <c r="A538">
        <f>IF(ItemData_Materials!A240="","",ItemData_Materials!A240)</f>
        <v/>
      </c>
      <c r="B538">
        <f>IF(ItemData_Materials!A240="","",ItemData_Materials!B240)</f>
        <v/>
      </c>
    </row>
    <row r="539">
      <c r="A539">
        <f>IF(ItemData_Materials!A241="","",ItemData_Materials!A241)</f>
        <v/>
      </c>
      <c r="B539">
        <f>IF(ItemData_Materials!A241="","",ItemData_Materials!B241)</f>
        <v/>
      </c>
    </row>
    <row r="540">
      <c r="A540">
        <f>IF(ItemData_Materials!A242="","",ItemData_Materials!A242)</f>
        <v/>
      </c>
      <c r="B540">
        <f>IF(ItemData_Materials!A242="","",ItemData_Materials!B242)</f>
        <v/>
      </c>
    </row>
    <row r="541">
      <c r="A541">
        <f>IF(ItemData_Materials!A243="","",ItemData_Materials!A243)</f>
        <v/>
      </c>
      <c r="B541">
        <f>IF(ItemData_Materials!A243="","",ItemData_Materials!B243)</f>
        <v/>
      </c>
    </row>
    <row r="542">
      <c r="A542">
        <f>IF(ItemData_Materials!A244="","",ItemData_Materials!A244)</f>
        <v/>
      </c>
      <c r="B542">
        <f>IF(ItemData_Materials!A244="","",ItemData_Materials!B244)</f>
        <v/>
      </c>
    </row>
    <row r="543">
      <c r="A543">
        <f>IF(ItemData_Materials!A245="","",ItemData_Materials!A245)</f>
        <v/>
      </c>
      <c r="B543">
        <f>IF(ItemData_Materials!A245="","",ItemData_Materials!B245)</f>
        <v/>
      </c>
    </row>
    <row r="544">
      <c r="A544">
        <f>IF(ItemData_Materials!A246="","",ItemData_Materials!A246)</f>
        <v/>
      </c>
      <c r="B544">
        <f>IF(ItemData_Materials!A246="","",ItemData_Materials!B246)</f>
        <v/>
      </c>
    </row>
    <row r="545">
      <c r="A545">
        <f>IF(ItemData_Materials!A247="","",ItemData_Materials!A247)</f>
        <v/>
      </c>
      <c r="B545">
        <f>IF(ItemData_Materials!A247="","",ItemData_Materials!B247)</f>
        <v/>
      </c>
    </row>
    <row r="546">
      <c r="A546">
        <f>IF(ItemData_Materials!A248="","",ItemData_Materials!A248)</f>
        <v/>
      </c>
      <c r="B546">
        <f>IF(ItemData_Materials!A248="","",ItemData_Materials!B248)</f>
        <v/>
      </c>
    </row>
    <row r="547">
      <c r="A547">
        <f>IF(ItemData_Materials!A249="","",ItemData_Materials!A249)</f>
        <v/>
      </c>
      <c r="B547">
        <f>IF(ItemData_Materials!A249="","",ItemData_Materials!B249)</f>
        <v/>
      </c>
    </row>
    <row r="548">
      <c r="A548">
        <f>IF(ItemData_Materials!A250="","",ItemData_Materials!A250)</f>
        <v/>
      </c>
      <c r="B548">
        <f>IF(ItemData_Materials!A250="","",ItemData_Materials!B250)</f>
        <v/>
      </c>
    </row>
    <row r="549">
      <c r="A549">
        <f>IF(ItemData_Materials!A251="","",ItemData_Materials!A251)</f>
        <v/>
      </c>
      <c r="B549">
        <f>IF(ItemData_Materials!A251="","",ItemData_Materials!B251)</f>
        <v/>
      </c>
    </row>
    <row r="550">
      <c r="A550">
        <f>IF(ItemData_Materials!A252="","",ItemData_Materials!A252)</f>
        <v/>
      </c>
      <c r="B550">
        <f>IF(ItemData_Materials!A252="","",ItemData_Materials!B252)</f>
        <v/>
      </c>
    </row>
    <row r="551">
      <c r="A551">
        <f>IF(ItemData_Materials!A253="","",ItemData_Materials!A253)</f>
        <v/>
      </c>
      <c r="B551">
        <f>IF(ItemData_Materials!A253="","",ItemData_Materials!B253)</f>
        <v/>
      </c>
    </row>
    <row r="552">
      <c r="A552">
        <f>IF(ItemData_Materials!A254="","",ItemData_Materials!A254)</f>
        <v/>
      </c>
      <c r="B552">
        <f>IF(ItemData_Materials!A254="","",ItemData_Materials!B254)</f>
        <v/>
      </c>
    </row>
    <row r="553">
      <c r="A553">
        <f>IF(ItemData_Materials!A255="","",ItemData_Materials!A255)</f>
        <v/>
      </c>
      <c r="B553">
        <f>IF(ItemData_Materials!A255="","",ItemData_Materials!B255)</f>
        <v/>
      </c>
    </row>
    <row r="554">
      <c r="A554">
        <f>IF(ItemData_Materials!A256="","",ItemData_Materials!A256)</f>
        <v/>
      </c>
      <c r="B554">
        <f>IF(ItemData_Materials!A256="","",ItemData_Materials!B256)</f>
        <v/>
      </c>
    </row>
    <row r="555">
      <c r="A555">
        <f>IF(ItemData_Materials!A257="","",ItemData_Materials!A257)</f>
        <v/>
      </c>
      <c r="B555">
        <f>IF(ItemData_Materials!A257="","",ItemData_Materials!B257)</f>
        <v/>
      </c>
    </row>
    <row r="556">
      <c r="A556">
        <f>IF(ItemData_Materials!A258="","",ItemData_Materials!A258)</f>
        <v/>
      </c>
      <c r="B556">
        <f>IF(ItemData_Materials!A258="","",ItemData_Materials!B258)</f>
        <v/>
      </c>
    </row>
    <row r="557">
      <c r="A557">
        <f>IF(ItemData_Materials!A259="","",ItemData_Materials!A259)</f>
        <v/>
      </c>
      <c r="B557">
        <f>IF(ItemData_Materials!A259="","",ItemData_Materials!B259)</f>
        <v/>
      </c>
    </row>
    <row r="558">
      <c r="A558">
        <f>IF(ItemData_Materials!A260="","",ItemData_Materials!A260)</f>
        <v/>
      </c>
      <c r="B558">
        <f>IF(ItemData_Materials!A260="","",ItemData_Materials!B260)</f>
        <v/>
      </c>
    </row>
    <row r="559">
      <c r="A559">
        <f>IF(ItemData_Materials!A261="","",ItemData_Materials!A261)</f>
        <v/>
      </c>
      <c r="B559">
        <f>IF(ItemData_Materials!A261="","",ItemData_Materials!B261)</f>
        <v/>
      </c>
    </row>
    <row r="560">
      <c r="A560">
        <f>IF(ItemData_Materials!A262="","",ItemData_Materials!A262)</f>
        <v/>
      </c>
      <c r="B560">
        <f>IF(ItemData_Materials!A262="","",ItemData_Materials!B262)</f>
        <v/>
      </c>
    </row>
    <row r="561">
      <c r="A561">
        <f>IF(ItemData_Materials!A263="","",ItemData_Materials!A263)</f>
        <v/>
      </c>
      <c r="B561">
        <f>IF(ItemData_Materials!A263="","",ItemData_Materials!B263)</f>
        <v/>
      </c>
    </row>
    <row r="562">
      <c r="A562">
        <f>IF(ItemData_Materials!A264="","",ItemData_Materials!A264)</f>
        <v/>
      </c>
      <c r="B562">
        <f>IF(ItemData_Materials!A264="","",ItemData_Materials!B264)</f>
        <v/>
      </c>
    </row>
    <row r="563">
      <c r="A563">
        <f>IF(ItemData_Materials!A265="","",ItemData_Materials!A265)</f>
        <v/>
      </c>
      <c r="B563">
        <f>IF(ItemData_Materials!A265="","",ItemData_Materials!B265)</f>
        <v/>
      </c>
    </row>
    <row r="564">
      <c r="A564">
        <f>IF(ItemData_Materials!A266="","",ItemData_Materials!A266)</f>
        <v/>
      </c>
      <c r="B564">
        <f>IF(ItemData_Materials!A266="","",ItemData_Materials!B266)</f>
        <v/>
      </c>
    </row>
    <row r="565">
      <c r="A565">
        <f>IF(ItemData_Materials!A267="","",ItemData_Materials!A267)</f>
        <v/>
      </c>
      <c r="B565">
        <f>IF(ItemData_Materials!A267="","",ItemData_Materials!B267)</f>
        <v/>
      </c>
    </row>
    <row r="566">
      <c r="A566">
        <f>IF(ItemData_Materials!A268="","",ItemData_Materials!A268)</f>
        <v/>
      </c>
      <c r="B566">
        <f>IF(ItemData_Materials!A268="","",ItemData_Materials!B268)</f>
        <v/>
      </c>
    </row>
    <row r="567">
      <c r="A567">
        <f>IF(ItemData_Materials!A269="","",ItemData_Materials!A269)</f>
        <v/>
      </c>
      <c r="B567">
        <f>IF(ItemData_Materials!A269="","",ItemData_Materials!B269)</f>
        <v/>
      </c>
    </row>
    <row r="568">
      <c r="A568">
        <f>IF(ItemData_Materials!A270="","",ItemData_Materials!A270)</f>
        <v/>
      </c>
      <c r="B568">
        <f>IF(ItemData_Materials!A270="","",ItemData_Materials!B270)</f>
        <v/>
      </c>
    </row>
    <row r="569">
      <c r="A569">
        <f>IF(ItemData_Materials!A271="","",ItemData_Materials!A271)</f>
        <v/>
      </c>
      <c r="B569">
        <f>IF(ItemData_Materials!A271="","",ItemData_Materials!B271)</f>
        <v/>
      </c>
    </row>
    <row r="570">
      <c r="A570">
        <f>IF(ItemData_Materials!A272="","",ItemData_Materials!A272)</f>
        <v/>
      </c>
      <c r="B570">
        <f>IF(ItemData_Materials!A272="","",ItemData_Materials!B272)</f>
        <v/>
      </c>
    </row>
    <row r="571">
      <c r="A571">
        <f>IF(ItemData_Materials!A273="","",ItemData_Materials!A273)</f>
        <v/>
      </c>
      <c r="B571">
        <f>IF(ItemData_Materials!A273="","",ItemData_Materials!B273)</f>
        <v/>
      </c>
    </row>
    <row r="572">
      <c r="A572">
        <f>IF(ItemData_Materials!A274="","",ItemData_Materials!A274)</f>
        <v/>
      </c>
      <c r="B572">
        <f>IF(ItemData_Materials!A274="","",ItemData_Materials!B274)</f>
        <v/>
      </c>
    </row>
    <row r="573">
      <c r="A573">
        <f>IF(ItemData_Materials!A275="","",ItemData_Materials!A275)</f>
        <v/>
      </c>
      <c r="B573">
        <f>IF(ItemData_Materials!A275="","",ItemData_Materials!B275)</f>
        <v/>
      </c>
    </row>
    <row r="574">
      <c r="A574">
        <f>IF(ItemData_Materials!A276="","",ItemData_Materials!A276)</f>
        <v/>
      </c>
      <c r="B574">
        <f>IF(ItemData_Materials!A276="","",ItemData_Materials!B276)</f>
        <v/>
      </c>
    </row>
    <row r="575">
      <c r="A575">
        <f>IF(ItemData_Materials!A277="","",ItemData_Materials!A277)</f>
        <v/>
      </c>
      <c r="B575">
        <f>IF(ItemData_Materials!A277="","",ItemData_Materials!B277)</f>
        <v/>
      </c>
    </row>
    <row r="576">
      <c r="A576">
        <f>IF(ItemData_Materials!A278="","",ItemData_Materials!A278)</f>
        <v/>
      </c>
      <c r="B576">
        <f>IF(ItemData_Materials!A278="","",ItemData_Materials!B278)</f>
        <v/>
      </c>
    </row>
    <row r="577">
      <c r="A577">
        <f>IF(ItemData_Materials!A279="","",ItemData_Materials!A279)</f>
        <v/>
      </c>
      <c r="B577">
        <f>IF(ItemData_Materials!A279="","",ItemData_Materials!B279)</f>
        <v/>
      </c>
    </row>
    <row r="578">
      <c r="A578">
        <f>IF(ItemData_Materials!A280="","",ItemData_Materials!A280)</f>
        <v/>
      </c>
      <c r="B578">
        <f>IF(ItemData_Materials!A280="","",ItemData_Materials!B280)</f>
        <v/>
      </c>
    </row>
    <row r="579">
      <c r="A579">
        <f>IF(ItemData_Materials!A281="","",ItemData_Materials!A281)</f>
        <v/>
      </c>
      <c r="B579">
        <f>IF(ItemData_Materials!A281="","",ItemData_Materials!B281)</f>
        <v/>
      </c>
    </row>
    <row r="580">
      <c r="A580">
        <f>IF(ItemData_Materials!A282="","",ItemData_Materials!A282)</f>
        <v/>
      </c>
      <c r="B580">
        <f>IF(ItemData_Materials!A282="","",ItemData_Materials!B282)</f>
        <v/>
      </c>
    </row>
    <row r="581">
      <c r="A581">
        <f>IF(ItemData_Materials!A283="","",ItemData_Materials!A283)</f>
        <v/>
      </c>
      <c r="B581">
        <f>IF(ItemData_Materials!A283="","",ItemData_Materials!B283)</f>
        <v/>
      </c>
    </row>
    <row r="582">
      <c r="A582">
        <f>IF(ItemData_Materials!A284="","",ItemData_Materials!A284)</f>
        <v/>
      </c>
      <c r="B582">
        <f>IF(ItemData_Materials!A284="","",ItemData_Materials!B284)</f>
        <v/>
      </c>
    </row>
    <row r="583">
      <c r="A583">
        <f>IF(ItemData_Materials!A285="","",ItemData_Materials!A285)</f>
        <v/>
      </c>
      <c r="B583">
        <f>IF(ItemData_Materials!A285="","",ItemData_Materials!B285)</f>
        <v/>
      </c>
    </row>
    <row r="584">
      <c r="A584">
        <f>IF(ItemData_Materials!A286="","",ItemData_Materials!A286)</f>
        <v/>
      </c>
      <c r="B584">
        <f>IF(ItemData_Materials!A286="","",ItemData_Materials!B286)</f>
        <v/>
      </c>
    </row>
    <row r="585">
      <c r="A585">
        <f>IF(ItemData_Materials!A287="","",ItemData_Materials!A287)</f>
        <v/>
      </c>
      <c r="B585">
        <f>IF(ItemData_Materials!A287="","",ItemData_Materials!B287)</f>
        <v/>
      </c>
    </row>
    <row r="586">
      <c r="A586">
        <f>IF(ItemData_Materials!A288="","",ItemData_Materials!A288)</f>
        <v/>
      </c>
      <c r="B586">
        <f>IF(ItemData_Materials!A288="","",ItemData_Materials!B288)</f>
        <v/>
      </c>
    </row>
    <row r="587">
      <c r="A587">
        <f>IF(ItemData_Materials!A289="","",ItemData_Materials!A289)</f>
        <v/>
      </c>
      <c r="B587">
        <f>IF(ItemData_Materials!A289="","",ItemData_Materials!B289)</f>
        <v/>
      </c>
    </row>
    <row r="588">
      <c r="A588">
        <f>IF(ItemData_Materials!A290="","",ItemData_Materials!A290)</f>
        <v/>
      </c>
      <c r="B588">
        <f>IF(ItemData_Materials!A290="","",ItemData_Materials!B290)</f>
        <v/>
      </c>
    </row>
    <row r="589">
      <c r="A589">
        <f>IF(ItemData_Materials!A291="","",ItemData_Materials!A291)</f>
        <v/>
      </c>
      <c r="B589">
        <f>IF(ItemData_Materials!A291="","",ItemData_Materials!B291)</f>
        <v/>
      </c>
    </row>
    <row r="590">
      <c r="A590">
        <f>IF(ItemData_Materials!A292="","",ItemData_Materials!A292)</f>
        <v/>
      </c>
      <c r="B590">
        <f>IF(ItemData_Materials!A292="","",ItemData_Materials!B292)</f>
        <v/>
      </c>
    </row>
    <row r="591">
      <c r="A591">
        <f>IF(ItemData_Materials!A293="","",ItemData_Materials!A293)</f>
        <v/>
      </c>
      <c r="B591">
        <f>IF(ItemData_Materials!A293="","",ItemData_Materials!B293)</f>
        <v/>
      </c>
    </row>
    <row r="592">
      <c r="A592">
        <f>IF(ItemData_Materials!A294="","",ItemData_Materials!A294)</f>
        <v/>
      </c>
      <c r="B592">
        <f>IF(ItemData_Materials!A294="","",ItemData_Materials!B294)</f>
        <v/>
      </c>
    </row>
    <row r="593">
      <c r="A593">
        <f>IF(ItemData_Materials!A295="","",ItemData_Materials!A295)</f>
        <v/>
      </c>
      <c r="B593">
        <f>IF(ItemData_Materials!A295="","",ItemData_Materials!B295)</f>
        <v/>
      </c>
    </row>
    <row r="594">
      <c r="A594">
        <f>IF(ItemData_Materials!A296="","",ItemData_Materials!A296)</f>
        <v/>
      </c>
      <c r="B594">
        <f>IF(ItemData_Materials!A296="","",ItemData_Materials!B296)</f>
        <v/>
      </c>
    </row>
    <row r="595">
      <c r="A595">
        <f>IF(ItemData_Materials!A297="","",ItemData_Materials!A297)</f>
        <v/>
      </c>
      <c r="B595">
        <f>IF(ItemData_Materials!A297="","",ItemData_Materials!B297)</f>
        <v/>
      </c>
    </row>
    <row r="596">
      <c r="A596">
        <f>IF(ItemData_Materials!A298="","",ItemData_Materials!A298)</f>
        <v/>
      </c>
      <c r="B596">
        <f>IF(ItemData_Materials!A298="","",ItemData_Materials!B298)</f>
        <v/>
      </c>
    </row>
    <row r="597">
      <c r="A597">
        <f>IF(ItemData_Materials!A299="","",ItemData_Materials!A299)</f>
        <v/>
      </c>
      <c r="B597">
        <f>IF(ItemData_Materials!A299="","",ItemData_Materials!B299)</f>
        <v/>
      </c>
    </row>
    <row r="598">
      <c r="A598">
        <f>IF(ItemData_Materials!A300="","",ItemData_Materials!A300)</f>
        <v/>
      </c>
      <c r="B598">
        <f>IF(ItemData_Materials!A300="","",ItemData_Materials!B300)</f>
        <v/>
      </c>
    </row>
    <row r="599">
      <c r="A599">
        <f>IF(ItemData_Equipment!A3="","",ItemData_Equipment!A3)</f>
        <v/>
      </c>
      <c r="B599">
        <f>IF(ItemData_Equipment!A3="","",ItemData_Equipment!B3)</f>
        <v/>
      </c>
      <c r="C599" t="inlineStr">
        <is>
          <t>ItemData_Equipment</t>
        </is>
      </c>
    </row>
    <row r="600">
      <c r="A600">
        <f>IF(ItemData_Equipment!A4="","",ItemData_Equipment!A4)</f>
        <v/>
      </c>
      <c r="B600">
        <f>IF(ItemData_Equipment!A4="","",ItemData_Equipment!B4)</f>
        <v/>
      </c>
    </row>
    <row r="601">
      <c r="A601">
        <f>IF(ItemData_Equipment!A5="","",ItemData_Equipment!A5)</f>
        <v/>
      </c>
      <c r="B601">
        <f>IF(ItemData_Equipment!A5="","",ItemData_Equipment!B5)</f>
        <v/>
      </c>
    </row>
    <row r="602">
      <c r="A602">
        <f>IF(ItemData_Equipment!A6="","",ItemData_Equipment!A6)</f>
        <v/>
      </c>
      <c r="B602">
        <f>IF(ItemData_Equipment!A6="","",ItemData_Equipment!B6)</f>
        <v/>
      </c>
    </row>
    <row r="603">
      <c r="A603">
        <f>IF(ItemData_Equipment!A7="","",ItemData_Equipment!A7)</f>
        <v/>
      </c>
      <c r="B603">
        <f>IF(ItemData_Equipment!A7="","",ItemData_Equipment!B7)</f>
        <v/>
      </c>
    </row>
    <row r="604">
      <c r="A604">
        <f>IF(ItemData_Equipment!A8="","",ItemData_Equipment!A8)</f>
        <v/>
      </c>
      <c r="B604">
        <f>IF(ItemData_Equipment!A8="","",ItemData_Equipment!B8)</f>
        <v/>
      </c>
    </row>
    <row r="605">
      <c r="A605">
        <f>IF(ItemData_Equipment!A9="","",ItemData_Equipment!A9)</f>
        <v/>
      </c>
      <c r="B605">
        <f>IF(ItemData_Equipment!A9="","",ItemData_Equipment!B9)</f>
        <v/>
      </c>
    </row>
    <row r="606">
      <c r="A606">
        <f>IF(ItemData_Equipment!A10="","",ItemData_Equipment!A10)</f>
        <v/>
      </c>
      <c r="B606">
        <f>IF(ItemData_Equipment!A10="","",ItemData_Equipment!B10)</f>
        <v/>
      </c>
    </row>
    <row r="607">
      <c r="A607">
        <f>IF(ItemData_Equipment!A11="","",ItemData_Equipment!A11)</f>
        <v/>
      </c>
      <c r="B607">
        <f>IF(ItemData_Equipment!A11="","",ItemData_Equipment!B11)</f>
        <v/>
      </c>
    </row>
    <row r="608">
      <c r="A608">
        <f>IF(ItemData_Equipment!A12="","",ItemData_Equipment!A12)</f>
        <v/>
      </c>
      <c r="B608">
        <f>IF(ItemData_Equipment!A12="","",ItemData_Equipment!B12)</f>
        <v/>
      </c>
    </row>
    <row r="609">
      <c r="A609">
        <f>IF(ItemData_Equipment!A13="","",ItemData_Equipment!A13)</f>
        <v/>
      </c>
      <c r="B609">
        <f>IF(ItemData_Equipment!A13="","",ItemData_Equipment!B13)</f>
        <v/>
      </c>
    </row>
    <row r="610">
      <c r="A610">
        <f>IF(ItemData_Equipment!A14="","",ItemData_Equipment!A14)</f>
        <v/>
      </c>
      <c r="B610">
        <f>IF(ItemData_Equipment!A14="","",ItemData_Equipment!B14)</f>
        <v/>
      </c>
    </row>
    <row r="611">
      <c r="A611">
        <f>IF(ItemData_Equipment!A15="","",ItemData_Equipment!A15)</f>
        <v/>
      </c>
      <c r="B611">
        <f>IF(ItemData_Equipment!A15="","",ItemData_Equipment!B15)</f>
        <v/>
      </c>
    </row>
    <row r="612">
      <c r="A612">
        <f>IF(ItemData_Equipment!A16="","",ItemData_Equipment!A16)</f>
        <v/>
      </c>
      <c r="B612">
        <f>IF(ItemData_Equipment!A16="","",ItemData_Equipment!B16)</f>
        <v/>
      </c>
    </row>
    <row r="613">
      <c r="A613">
        <f>IF(ItemData_Equipment!A17="","",ItemData_Equipment!A17)</f>
        <v/>
      </c>
      <c r="B613">
        <f>IF(ItemData_Equipment!A17="","",ItemData_Equipment!B17)</f>
        <v/>
      </c>
    </row>
    <row r="614">
      <c r="A614">
        <f>IF(ItemData_Equipment!A18="","",ItemData_Equipment!A18)</f>
        <v/>
      </c>
      <c r="B614">
        <f>IF(ItemData_Equipment!A18="","",ItemData_Equipment!B18)</f>
        <v/>
      </c>
    </row>
    <row r="615">
      <c r="A615">
        <f>IF(ItemData_Equipment!A19="","",ItemData_Equipment!A19)</f>
        <v/>
      </c>
      <c r="B615">
        <f>IF(ItemData_Equipment!A19="","",ItemData_Equipment!B19)</f>
        <v/>
      </c>
    </row>
    <row r="616">
      <c r="A616">
        <f>IF(ItemData_Equipment!A20="","",ItemData_Equipment!A20)</f>
        <v/>
      </c>
      <c r="B616">
        <f>IF(ItemData_Equipment!A20="","",ItemData_Equipment!B20)</f>
        <v/>
      </c>
    </row>
    <row r="617">
      <c r="A617">
        <f>IF(ItemData_Equipment!A21="","",ItemData_Equipment!A21)</f>
        <v/>
      </c>
      <c r="B617">
        <f>IF(ItemData_Equipment!A21="","",ItemData_Equipment!B21)</f>
        <v/>
      </c>
    </row>
    <row r="618">
      <c r="A618">
        <f>IF(ItemData_Equipment!A22="","",ItemData_Equipment!A22)</f>
        <v/>
      </c>
      <c r="B618">
        <f>IF(ItemData_Equipment!A22="","",ItemData_Equipment!B22)</f>
        <v/>
      </c>
    </row>
    <row r="619">
      <c r="A619">
        <f>IF(ItemData_Equipment!A23="","",ItemData_Equipment!A23)</f>
        <v/>
      </c>
      <c r="B619">
        <f>IF(ItemData_Equipment!A23="","",ItemData_Equipment!B23)</f>
        <v/>
      </c>
    </row>
    <row r="620">
      <c r="A620">
        <f>IF(ItemData_Equipment!A24="","",ItemData_Equipment!A24)</f>
        <v/>
      </c>
      <c r="B620">
        <f>IF(ItemData_Equipment!A24="","",ItemData_Equipment!B24)</f>
        <v/>
      </c>
    </row>
    <row r="621">
      <c r="A621">
        <f>IF(ItemData_Equipment!A25="","",ItemData_Equipment!A25)</f>
        <v/>
      </c>
      <c r="B621">
        <f>IF(ItemData_Equipment!A25="","",ItemData_Equipment!B25)</f>
        <v/>
      </c>
    </row>
    <row r="622">
      <c r="A622">
        <f>IF(ItemData_Equipment!A26="","",ItemData_Equipment!A26)</f>
        <v/>
      </c>
      <c r="B622">
        <f>IF(ItemData_Equipment!A26="","",ItemData_Equipment!B26)</f>
        <v/>
      </c>
    </row>
    <row r="623">
      <c r="A623">
        <f>IF(ItemData_Equipment!A27="","",ItemData_Equipment!A27)</f>
        <v/>
      </c>
      <c r="B623">
        <f>IF(ItemData_Equipment!A27="","",ItemData_Equipment!B27)</f>
        <v/>
      </c>
    </row>
    <row r="624">
      <c r="A624">
        <f>IF(ItemData_Equipment!A28="","",ItemData_Equipment!A28)</f>
        <v/>
      </c>
      <c r="B624">
        <f>IF(ItemData_Equipment!A28="","",ItemData_Equipment!B28)</f>
        <v/>
      </c>
    </row>
    <row r="625">
      <c r="A625">
        <f>IF(ItemData_Equipment!A29="","",ItemData_Equipment!A29)</f>
        <v/>
      </c>
      <c r="B625">
        <f>IF(ItemData_Equipment!A29="","",ItemData_Equipment!B29)</f>
        <v/>
      </c>
    </row>
    <row r="626">
      <c r="A626">
        <f>IF(ItemData_Equipment!A30="","",ItemData_Equipment!A30)</f>
        <v/>
      </c>
      <c r="B626">
        <f>IF(ItemData_Equipment!A30="","",ItemData_Equipment!B30)</f>
        <v/>
      </c>
    </row>
    <row r="627">
      <c r="A627">
        <f>IF(ItemData_Equipment!A31="","",ItemData_Equipment!A31)</f>
        <v/>
      </c>
      <c r="B627">
        <f>IF(ItemData_Equipment!A31="","",ItemData_Equipment!B31)</f>
        <v/>
      </c>
    </row>
    <row r="628">
      <c r="A628">
        <f>IF(ItemData_Equipment!A32="","",ItemData_Equipment!A32)</f>
        <v/>
      </c>
      <c r="B628">
        <f>IF(ItemData_Equipment!A32="","",ItemData_Equipment!B32)</f>
        <v/>
      </c>
    </row>
    <row r="629">
      <c r="A629">
        <f>IF(ItemData_Equipment!A33="","",ItemData_Equipment!A33)</f>
        <v/>
      </c>
      <c r="B629">
        <f>IF(ItemData_Equipment!A33="","",ItemData_Equipment!B33)</f>
        <v/>
      </c>
    </row>
    <row r="630">
      <c r="A630">
        <f>IF(ItemData_Equipment!A34="","",ItemData_Equipment!A34)</f>
        <v/>
      </c>
      <c r="B630">
        <f>IF(ItemData_Equipment!A34="","",ItemData_Equipment!B34)</f>
        <v/>
      </c>
    </row>
    <row r="631">
      <c r="A631">
        <f>IF(ItemData_Equipment!A35="","",ItemData_Equipment!A35)</f>
        <v/>
      </c>
      <c r="B631">
        <f>IF(ItemData_Equipment!A35="","",ItemData_Equipment!B35)</f>
        <v/>
      </c>
    </row>
    <row r="632">
      <c r="A632">
        <f>IF(ItemData_Equipment!A36="","",ItemData_Equipment!A36)</f>
        <v/>
      </c>
      <c r="B632">
        <f>IF(ItemData_Equipment!A36="","",ItemData_Equipment!B36)</f>
        <v/>
      </c>
    </row>
    <row r="633">
      <c r="A633">
        <f>IF(ItemData_Equipment!A37="","",ItemData_Equipment!A37)</f>
        <v/>
      </c>
      <c r="B633">
        <f>IF(ItemData_Equipment!A37="","",ItemData_Equipment!B37)</f>
        <v/>
      </c>
    </row>
    <row r="634">
      <c r="A634">
        <f>IF(ItemData_Equipment!A38="","",ItemData_Equipment!A38)</f>
        <v/>
      </c>
      <c r="B634">
        <f>IF(ItemData_Equipment!A38="","",ItemData_Equipment!B38)</f>
        <v/>
      </c>
    </row>
    <row r="635">
      <c r="A635">
        <f>IF(ItemData_Equipment!A39="","",ItemData_Equipment!A39)</f>
        <v/>
      </c>
      <c r="B635">
        <f>IF(ItemData_Equipment!A39="","",ItemData_Equipment!B39)</f>
        <v/>
      </c>
    </row>
    <row r="636">
      <c r="A636">
        <f>IF(ItemData_Equipment!A40="","",ItemData_Equipment!A40)</f>
        <v/>
      </c>
      <c r="B636">
        <f>IF(ItemData_Equipment!A40="","",ItemData_Equipment!B40)</f>
        <v/>
      </c>
    </row>
    <row r="637">
      <c r="A637">
        <f>IF(ItemData_Equipment!A41="","",ItemData_Equipment!A41)</f>
        <v/>
      </c>
      <c r="B637">
        <f>IF(ItemData_Equipment!A41="","",ItemData_Equipment!B41)</f>
        <v/>
      </c>
    </row>
    <row r="638">
      <c r="A638">
        <f>IF(ItemData_Equipment!A42="","",ItemData_Equipment!A42)</f>
        <v/>
      </c>
      <c r="B638">
        <f>IF(ItemData_Equipment!A42="","",ItemData_Equipment!B42)</f>
        <v/>
      </c>
    </row>
    <row r="639">
      <c r="A639">
        <f>IF(ItemData_Equipment!A43="","",ItemData_Equipment!A43)</f>
        <v/>
      </c>
      <c r="B639">
        <f>IF(ItemData_Equipment!A43="","",ItemData_Equipment!B43)</f>
        <v/>
      </c>
    </row>
    <row r="640">
      <c r="A640">
        <f>IF(ItemData_Equipment!A44="","",ItemData_Equipment!A44)</f>
        <v/>
      </c>
      <c r="B640">
        <f>IF(ItemData_Equipment!A44="","",ItemData_Equipment!B44)</f>
        <v/>
      </c>
    </row>
    <row r="641">
      <c r="A641">
        <f>IF(ItemData_Equipment!A45="","",ItemData_Equipment!A45)</f>
        <v/>
      </c>
      <c r="B641">
        <f>IF(ItemData_Equipment!A45="","",ItemData_Equipment!B45)</f>
        <v/>
      </c>
    </row>
    <row r="642">
      <c r="A642">
        <f>IF(ItemData_Equipment!A46="","",ItemData_Equipment!A46)</f>
        <v/>
      </c>
      <c r="B642">
        <f>IF(ItemData_Equipment!A46="","",ItemData_Equipment!B46)</f>
        <v/>
      </c>
    </row>
    <row r="643">
      <c r="A643">
        <f>IF(ItemData_Equipment!A47="","",ItemData_Equipment!A47)</f>
        <v/>
      </c>
      <c r="B643">
        <f>IF(ItemData_Equipment!A47="","",ItemData_Equipment!B47)</f>
        <v/>
      </c>
    </row>
    <row r="644">
      <c r="A644">
        <f>IF(ItemData_Equipment!A48="","",ItemData_Equipment!A48)</f>
        <v/>
      </c>
      <c r="B644">
        <f>IF(ItemData_Equipment!A48="","",ItemData_Equipment!B48)</f>
        <v/>
      </c>
    </row>
    <row r="645">
      <c r="A645">
        <f>IF(ItemData_Equipment!A49="","",ItemData_Equipment!A49)</f>
        <v/>
      </c>
      <c r="B645">
        <f>IF(ItemData_Equipment!A49="","",ItemData_Equipment!B49)</f>
        <v/>
      </c>
    </row>
    <row r="646">
      <c r="A646">
        <f>IF(ItemData_Equipment!A50="","",ItemData_Equipment!A50)</f>
        <v/>
      </c>
      <c r="B646">
        <f>IF(ItemData_Equipment!A50="","",ItemData_Equipment!B50)</f>
        <v/>
      </c>
    </row>
    <row r="647">
      <c r="A647">
        <f>IF(ItemData_Equipment!A51="","",ItemData_Equipment!A51)</f>
        <v/>
      </c>
      <c r="B647">
        <f>IF(ItemData_Equipment!A51="","",ItemData_Equipment!B51)</f>
        <v/>
      </c>
    </row>
    <row r="648">
      <c r="A648">
        <f>IF(ItemData_Equipment!A52="","",ItemData_Equipment!A52)</f>
        <v/>
      </c>
      <c r="B648">
        <f>IF(ItemData_Equipment!A52="","",ItemData_Equipment!B52)</f>
        <v/>
      </c>
    </row>
    <row r="649">
      <c r="A649">
        <f>IF(ItemData_Equipment!A53="","",ItemData_Equipment!A53)</f>
        <v/>
      </c>
      <c r="B649">
        <f>IF(ItemData_Equipment!A53="","",ItemData_Equipment!B53)</f>
        <v/>
      </c>
    </row>
    <row r="650">
      <c r="A650">
        <f>IF(ItemData_Equipment!A54="","",ItemData_Equipment!A54)</f>
        <v/>
      </c>
      <c r="B650">
        <f>IF(ItemData_Equipment!A54="","",ItemData_Equipment!B54)</f>
        <v/>
      </c>
    </row>
    <row r="651">
      <c r="A651">
        <f>IF(ItemData_Equipment!A55="","",ItemData_Equipment!A55)</f>
        <v/>
      </c>
      <c r="B651">
        <f>IF(ItemData_Equipment!A55="","",ItemData_Equipment!B55)</f>
        <v/>
      </c>
    </row>
    <row r="652">
      <c r="A652">
        <f>IF(ItemData_Equipment!A56="","",ItemData_Equipment!A56)</f>
        <v/>
      </c>
      <c r="B652">
        <f>IF(ItemData_Equipment!A56="","",ItemData_Equipment!B56)</f>
        <v/>
      </c>
    </row>
    <row r="653">
      <c r="A653">
        <f>IF(ItemData_Equipment!A57="","",ItemData_Equipment!A57)</f>
        <v/>
      </c>
      <c r="B653">
        <f>IF(ItemData_Equipment!A57="","",ItemData_Equipment!B57)</f>
        <v/>
      </c>
    </row>
    <row r="654">
      <c r="A654">
        <f>IF(ItemData_Equipment!A58="","",ItemData_Equipment!A58)</f>
        <v/>
      </c>
      <c r="B654">
        <f>IF(ItemData_Equipment!A58="","",ItemData_Equipment!B58)</f>
        <v/>
      </c>
    </row>
    <row r="655">
      <c r="A655">
        <f>IF(ItemData_Equipment!A59="","",ItemData_Equipment!A59)</f>
        <v/>
      </c>
      <c r="B655">
        <f>IF(ItemData_Equipment!A59="","",ItemData_Equipment!B59)</f>
        <v/>
      </c>
    </row>
    <row r="656">
      <c r="A656">
        <f>IF(ItemData_Equipment!A60="","",ItemData_Equipment!A60)</f>
        <v/>
      </c>
      <c r="B656">
        <f>IF(ItemData_Equipment!A60="","",ItemData_Equipment!B60)</f>
        <v/>
      </c>
    </row>
    <row r="657">
      <c r="A657">
        <f>IF(ItemData_Equipment!A61="","",ItemData_Equipment!A61)</f>
        <v/>
      </c>
      <c r="B657">
        <f>IF(ItemData_Equipment!A61="","",ItemData_Equipment!B61)</f>
        <v/>
      </c>
    </row>
    <row r="658">
      <c r="A658">
        <f>IF(ItemData_Equipment!A62="","",ItemData_Equipment!A62)</f>
        <v/>
      </c>
      <c r="B658">
        <f>IF(ItemData_Equipment!A62="","",ItemData_Equipment!B62)</f>
        <v/>
      </c>
    </row>
    <row r="659">
      <c r="A659">
        <f>IF(ItemData_Equipment!A63="","",ItemData_Equipment!A63)</f>
        <v/>
      </c>
      <c r="B659">
        <f>IF(ItemData_Equipment!A63="","",ItemData_Equipment!B63)</f>
        <v/>
      </c>
    </row>
    <row r="660">
      <c r="A660">
        <f>IF(ItemData_Equipment!A64="","",ItemData_Equipment!A64)</f>
        <v/>
      </c>
      <c r="B660">
        <f>IF(ItemData_Equipment!A64="","",ItemData_Equipment!B64)</f>
        <v/>
      </c>
    </row>
    <row r="661">
      <c r="A661">
        <f>IF(ItemData_Equipment!A65="","",ItemData_Equipment!A65)</f>
        <v/>
      </c>
      <c r="B661">
        <f>IF(ItemData_Equipment!A65="","",ItemData_Equipment!B65)</f>
        <v/>
      </c>
    </row>
    <row r="662">
      <c r="A662">
        <f>IF(ItemData_Equipment!A66="","",ItemData_Equipment!A66)</f>
        <v/>
      </c>
      <c r="B662">
        <f>IF(ItemData_Equipment!A66="","",ItemData_Equipment!B66)</f>
        <v/>
      </c>
    </row>
    <row r="663">
      <c r="A663">
        <f>IF(ItemData_Equipment!A67="","",ItemData_Equipment!A67)</f>
        <v/>
      </c>
      <c r="B663">
        <f>IF(ItemData_Equipment!A67="","",ItemData_Equipment!B67)</f>
        <v/>
      </c>
    </row>
    <row r="664">
      <c r="A664">
        <f>IF(ItemData_Equipment!A68="","",ItemData_Equipment!A68)</f>
        <v/>
      </c>
      <c r="B664">
        <f>IF(ItemData_Equipment!A68="","",ItemData_Equipment!B68)</f>
        <v/>
      </c>
    </row>
    <row r="665">
      <c r="A665">
        <f>IF(ItemData_Equipment!A69="","",ItemData_Equipment!A69)</f>
        <v/>
      </c>
      <c r="B665">
        <f>IF(ItemData_Equipment!A69="","",ItemData_Equipment!B69)</f>
        <v/>
      </c>
    </row>
    <row r="666">
      <c r="A666">
        <f>IF(ItemData_Equipment!A70="","",ItemData_Equipment!A70)</f>
        <v/>
      </c>
      <c r="B666">
        <f>IF(ItemData_Equipment!A70="","",ItemData_Equipment!B70)</f>
        <v/>
      </c>
    </row>
    <row r="667">
      <c r="A667">
        <f>IF(ItemData_Equipment!A71="","",ItemData_Equipment!A71)</f>
        <v/>
      </c>
      <c r="B667">
        <f>IF(ItemData_Equipment!A71="","",ItemData_Equipment!B71)</f>
        <v/>
      </c>
    </row>
    <row r="668">
      <c r="A668">
        <f>IF(ItemData_Equipment!A72="","",ItemData_Equipment!A72)</f>
        <v/>
      </c>
      <c r="B668">
        <f>IF(ItemData_Equipment!A72="","",ItemData_Equipment!B72)</f>
        <v/>
      </c>
    </row>
    <row r="669">
      <c r="A669">
        <f>IF(ItemData_Equipment!A73="","",ItemData_Equipment!A73)</f>
        <v/>
      </c>
      <c r="B669">
        <f>IF(ItemData_Equipment!A73="","",ItemData_Equipment!B73)</f>
        <v/>
      </c>
    </row>
    <row r="670">
      <c r="A670">
        <f>IF(ItemData_Equipment!A74="","",ItemData_Equipment!A74)</f>
        <v/>
      </c>
      <c r="B670">
        <f>IF(ItemData_Equipment!A74="","",ItemData_Equipment!B74)</f>
        <v/>
      </c>
    </row>
    <row r="671">
      <c r="A671">
        <f>IF(ItemData_Equipment!A75="","",ItemData_Equipment!A75)</f>
        <v/>
      </c>
      <c r="B671">
        <f>IF(ItemData_Equipment!A75="","",ItemData_Equipment!B75)</f>
        <v/>
      </c>
    </row>
    <row r="672">
      <c r="A672">
        <f>IF(ItemData_Equipment!A76="","",ItemData_Equipment!A76)</f>
        <v/>
      </c>
      <c r="B672">
        <f>IF(ItemData_Equipment!A76="","",ItemData_Equipment!B76)</f>
        <v/>
      </c>
    </row>
    <row r="673">
      <c r="A673">
        <f>IF(ItemData_Equipment!A77="","",ItemData_Equipment!A77)</f>
        <v/>
      </c>
      <c r="B673">
        <f>IF(ItemData_Equipment!A77="","",ItemData_Equipment!B77)</f>
        <v/>
      </c>
    </row>
    <row r="674">
      <c r="A674">
        <f>IF(ItemData_Equipment!A78="","",ItemData_Equipment!A78)</f>
        <v/>
      </c>
      <c r="B674">
        <f>IF(ItemData_Equipment!A78="","",ItemData_Equipment!B78)</f>
        <v/>
      </c>
    </row>
    <row r="675">
      <c r="A675">
        <f>IF(ItemData_Equipment!A79="","",ItemData_Equipment!A79)</f>
        <v/>
      </c>
      <c r="B675">
        <f>IF(ItemData_Equipment!A79="","",ItemData_Equipment!B79)</f>
        <v/>
      </c>
    </row>
    <row r="676">
      <c r="A676">
        <f>IF(ItemData_Equipment!A80="","",ItemData_Equipment!A80)</f>
        <v/>
      </c>
      <c r="B676">
        <f>IF(ItemData_Equipment!A80="","",ItemData_Equipment!B80)</f>
        <v/>
      </c>
    </row>
    <row r="677">
      <c r="A677">
        <f>IF(ItemData_Equipment!A81="","",ItemData_Equipment!A81)</f>
        <v/>
      </c>
      <c r="B677">
        <f>IF(ItemData_Equipment!A81="","",ItemData_Equipment!B81)</f>
        <v/>
      </c>
    </row>
    <row r="678">
      <c r="A678">
        <f>IF(ItemData_Equipment!A82="","",ItemData_Equipment!A82)</f>
        <v/>
      </c>
      <c r="B678">
        <f>IF(ItemData_Equipment!A82="","",ItemData_Equipment!B82)</f>
        <v/>
      </c>
    </row>
    <row r="679">
      <c r="A679">
        <f>IF(ItemData_Equipment!A83="","",ItemData_Equipment!A83)</f>
        <v/>
      </c>
      <c r="B679">
        <f>IF(ItemData_Equipment!A83="","",ItemData_Equipment!B83)</f>
        <v/>
      </c>
    </row>
    <row r="680">
      <c r="A680">
        <f>IF(ItemData_Equipment!A84="","",ItemData_Equipment!A84)</f>
        <v/>
      </c>
      <c r="B680">
        <f>IF(ItemData_Equipment!A84="","",ItemData_Equipment!B84)</f>
        <v/>
      </c>
    </row>
    <row r="681">
      <c r="A681">
        <f>IF(ItemData_Equipment!A85="","",ItemData_Equipment!A85)</f>
        <v/>
      </c>
      <c r="B681">
        <f>IF(ItemData_Equipment!A85="","",ItemData_Equipment!B85)</f>
        <v/>
      </c>
    </row>
    <row r="682">
      <c r="A682">
        <f>IF(ItemData_Equipment!A86="","",ItemData_Equipment!A86)</f>
        <v/>
      </c>
      <c r="B682">
        <f>IF(ItemData_Equipment!A86="","",ItemData_Equipment!B86)</f>
        <v/>
      </c>
    </row>
    <row r="683">
      <c r="A683">
        <f>IF(ItemData_Equipment!A87="","",ItemData_Equipment!A87)</f>
        <v/>
      </c>
      <c r="B683">
        <f>IF(ItemData_Equipment!A87="","",ItemData_Equipment!B87)</f>
        <v/>
      </c>
    </row>
    <row r="684">
      <c r="A684">
        <f>IF(ItemData_Equipment!A88="","",ItemData_Equipment!A88)</f>
        <v/>
      </c>
      <c r="B684">
        <f>IF(ItemData_Equipment!A88="","",ItemData_Equipment!B88)</f>
        <v/>
      </c>
    </row>
    <row r="685">
      <c r="A685">
        <f>IF(ItemData_Equipment!A89="","",ItemData_Equipment!A89)</f>
        <v/>
      </c>
      <c r="B685">
        <f>IF(ItemData_Equipment!A89="","",ItemData_Equipment!B89)</f>
        <v/>
      </c>
    </row>
    <row r="686">
      <c r="A686">
        <f>IF(ItemData_Equipment!A90="","",ItemData_Equipment!A90)</f>
        <v/>
      </c>
      <c r="B686">
        <f>IF(ItemData_Equipment!A90="","",ItemData_Equipment!B90)</f>
        <v/>
      </c>
    </row>
    <row r="687">
      <c r="A687">
        <f>IF(ItemData_Equipment!A91="","",ItemData_Equipment!A91)</f>
        <v/>
      </c>
      <c r="B687">
        <f>IF(ItemData_Equipment!A91="","",ItemData_Equipment!B91)</f>
        <v/>
      </c>
    </row>
    <row r="688">
      <c r="A688">
        <f>IF(ItemData_Equipment!A92="","",ItemData_Equipment!A92)</f>
        <v/>
      </c>
      <c r="B688">
        <f>IF(ItemData_Equipment!A92="","",ItemData_Equipment!B92)</f>
        <v/>
      </c>
    </row>
    <row r="689">
      <c r="A689">
        <f>IF(ItemData_Equipment!A93="","",ItemData_Equipment!A93)</f>
        <v/>
      </c>
      <c r="B689">
        <f>IF(ItemData_Equipment!A93="","",ItemData_Equipment!B93)</f>
        <v/>
      </c>
    </row>
    <row r="690">
      <c r="A690">
        <f>IF(ItemData_Equipment!A94="","",ItemData_Equipment!A94)</f>
        <v/>
      </c>
      <c r="B690">
        <f>IF(ItemData_Equipment!A94="","",ItemData_Equipment!B94)</f>
        <v/>
      </c>
    </row>
    <row r="691">
      <c r="A691">
        <f>IF(ItemData_Equipment!A95="","",ItemData_Equipment!A95)</f>
        <v/>
      </c>
      <c r="B691">
        <f>IF(ItemData_Equipment!A95="","",ItemData_Equipment!B95)</f>
        <v/>
      </c>
    </row>
    <row r="692">
      <c r="A692">
        <f>IF(ItemData_Equipment!A96="","",ItemData_Equipment!A96)</f>
        <v/>
      </c>
      <c r="B692">
        <f>IF(ItemData_Equipment!A96="","",ItemData_Equipment!B96)</f>
        <v/>
      </c>
    </row>
    <row r="693">
      <c r="A693">
        <f>IF(ItemData_Equipment!A97="","",ItemData_Equipment!A97)</f>
        <v/>
      </c>
      <c r="B693">
        <f>IF(ItemData_Equipment!A97="","",ItemData_Equipment!B97)</f>
        <v/>
      </c>
    </row>
    <row r="694">
      <c r="A694">
        <f>IF(ItemData_Equipment!A98="","",ItemData_Equipment!A98)</f>
        <v/>
      </c>
      <c r="B694">
        <f>IF(ItemData_Equipment!A98="","",ItemData_Equipment!B98)</f>
        <v/>
      </c>
    </row>
    <row r="695">
      <c r="A695">
        <f>IF(ItemData_Equipment!A99="","",ItemData_Equipment!A99)</f>
        <v/>
      </c>
      <c r="B695">
        <f>IF(ItemData_Equipment!A99="","",ItemData_Equipment!B99)</f>
        <v/>
      </c>
    </row>
    <row r="696">
      <c r="A696">
        <f>IF(ItemData_Equipment!A100="","",ItemData_Equipment!A100)</f>
        <v/>
      </c>
      <c r="B696">
        <f>IF(ItemData_Equipment!A100="","",ItemData_Equipment!B100)</f>
        <v/>
      </c>
    </row>
    <row r="697">
      <c r="A697">
        <f>IF(ItemData_Equipment!A101="","",ItemData_Equipment!A101)</f>
        <v/>
      </c>
      <c r="B697">
        <f>IF(ItemData_Equipment!A101="","",ItemData_Equipment!B101)</f>
        <v/>
      </c>
    </row>
    <row r="698">
      <c r="A698">
        <f>IF(ItemData_Equipment!A102="","",ItemData_Equipment!A102)</f>
        <v/>
      </c>
      <c r="B698">
        <f>IF(ItemData_Equipment!A102="","",ItemData_Equipment!B102)</f>
        <v/>
      </c>
    </row>
    <row r="699">
      <c r="A699">
        <f>IF(ItemData_Equipment!A103="","",ItemData_Equipment!A103)</f>
        <v/>
      </c>
      <c r="B699">
        <f>IF(ItemData_Equipment!A103="","",ItemData_Equipment!B103)</f>
        <v/>
      </c>
    </row>
    <row r="700">
      <c r="A700">
        <f>IF(ItemData_Equipment!A104="","",ItemData_Equipment!A104)</f>
        <v/>
      </c>
      <c r="B700">
        <f>IF(ItemData_Equipment!A104="","",ItemData_Equipment!B104)</f>
        <v/>
      </c>
    </row>
    <row r="701">
      <c r="A701">
        <f>IF(ItemData_Equipment!A105="","",ItemData_Equipment!A105)</f>
        <v/>
      </c>
      <c r="B701">
        <f>IF(ItemData_Equipment!A105="","",ItemData_Equipment!B105)</f>
        <v/>
      </c>
    </row>
    <row r="702">
      <c r="A702">
        <f>IF(ItemData_Equipment!A106="","",ItemData_Equipment!A106)</f>
        <v/>
      </c>
      <c r="B702">
        <f>IF(ItemData_Equipment!A106="","",ItemData_Equipment!B106)</f>
        <v/>
      </c>
    </row>
    <row r="703">
      <c r="A703">
        <f>IF(ItemData_Equipment!A107="","",ItemData_Equipment!A107)</f>
        <v/>
      </c>
      <c r="B703">
        <f>IF(ItemData_Equipment!A107="","",ItemData_Equipment!B107)</f>
        <v/>
      </c>
    </row>
    <row r="704">
      <c r="A704">
        <f>IF(ItemData_Equipment!A108="","",ItemData_Equipment!A108)</f>
        <v/>
      </c>
      <c r="B704">
        <f>IF(ItemData_Equipment!A108="","",ItemData_Equipment!B108)</f>
        <v/>
      </c>
    </row>
    <row r="705">
      <c r="A705">
        <f>IF(ItemData_Equipment!A109="","",ItemData_Equipment!A109)</f>
        <v/>
      </c>
      <c r="B705">
        <f>IF(ItemData_Equipment!A109="","",ItemData_Equipment!B109)</f>
        <v/>
      </c>
    </row>
    <row r="706">
      <c r="A706">
        <f>IF(ItemData_Equipment!A110="","",ItemData_Equipment!A110)</f>
        <v/>
      </c>
      <c r="B706">
        <f>IF(ItemData_Equipment!A110="","",ItemData_Equipment!B110)</f>
        <v/>
      </c>
    </row>
    <row r="707">
      <c r="A707">
        <f>IF(ItemData_Equipment!A111="","",ItemData_Equipment!A111)</f>
        <v/>
      </c>
      <c r="B707">
        <f>IF(ItemData_Equipment!A111="","",ItemData_Equipment!B111)</f>
        <v/>
      </c>
    </row>
    <row r="708">
      <c r="A708">
        <f>IF(ItemData_Equipment!A112="","",ItemData_Equipment!A112)</f>
        <v/>
      </c>
      <c r="B708">
        <f>IF(ItemData_Equipment!A112="","",ItemData_Equipment!B112)</f>
        <v/>
      </c>
    </row>
    <row r="709">
      <c r="A709">
        <f>IF(ItemData_Equipment!A113="","",ItemData_Equipment!A113)</f>
        <v/>
      </c>
      <c r="B709">
        <f>IF(ItemData_Equipment!A113="","",ItemData_Equipment!B113)</f>
        <v/>
      </c>
    </row>
    <row r="710">
      <c r="A710">
        <f>IF(ItemData_Equipment!A114="","",ItemData_Equipment!A114)</f>
        <v/>
      </c>
      <c r="B710">
        <f>IF(ItemData_Equipment!A114="","",ItemData_Equipment!B114)</f>
        <v/>
      </c>
    </row>
    <row r="711">
      <c r="A711">
        <f>IF(ItemData_Equipment!A115="","",ItemData_Equipment!A115)</f>
        <v/>
      </c>
      <c r="B711">
        <f>IF(ItemData_Equipment!A115="","",ItemData_Equipment!B115)</f>
        <v/>
      </c>
    </row>
    <row r="712">
      <c r="A712">
        <f>IF(ItemData_Equipment!A116="","",ItemData_Equipment!A116)</f>
        <v/>
      </c>
      <c r="B712">
        <f>IF(ItemData_Equipment!A116="","",ItemData_Equipment!B116)</f>
        <v/>
      </c>
    </row>
    <row r="713">
      <c r="A713">
        <f>IF(ItemData_Equipment!A117="","",ItemData_Equipment!A117)</f>
        <v/>
      </c>
      <c r="B713">
        <f>IF(ItemData_Equipment!A117="","",ItemData_Equipment!B117)</f>
        <v/>
      </c>
    </row>
    <row r="714">
      <c r="A714">
        <f>IF(ItemData_Equipment!A118="","",ItemData_Equipment!A118)</f>
        <v/>
      </c>
      <c r="B714">
        <f>IF(ItemData_Equipment!A118="","",ItemData_Equipment!B118)</f>
        <v/>
      </c>
    </row>
    <row r="715">
      <c r="A715">
        <f>IF(ItemData_Equipment!A119="","",ItemData_Equipment!A119)</f>
        <v/>
      </c>
      <c r="B715">
        <f>IF(ItemData_Equipment!A119="","",ItemData_Equipment!B119)</f>
        <v/>
      </c>
    </row>
    <row r="716">
      <c r="A716">
        <f>IF(ItemData_Equipment!A120="","",ItemData_Equipment!A120)</f>
        <v/>
      </c>
      <c r="B716">
        <f>IF(ItemData_Equipment!A120="","",ItemData_Equipment!B120)</f>
        <v/>
      </c>
    </row>
    <row r="717">
      <c r="A717">
        <f>IF(ItemData_Equipment!A121="","",ItemData_Equipment!A121)</f>
        <v/>
      </c>
      <c r="B717">
        <f>IF(ItemData_Equipment!A121="","",ItemData_Equipment!B121)</f>
        <v/>
      </c>
    </row>
    <row r="718">
      <c r="A718">
        <f>IF(ItemData_Equipment!A122="","",ItemData_Equipment!A122)</f>
        <v/>
      </c>
      <c r="B718">
        <f>IF(ItemData_Equipment!A122="","",ItemData_Equipment!B122)</f>
        <v/>
      </c>
    </row>
    <row r="719">
      <c r="A719">
        <f>IF(ItemData_Equipment!A123="","",ItemData_Equipment!A123)</f>
        <v/>
      </c>
      <c r="B719">
        <f>IF(ItemData_Equipment!A123="","",ItemData_Equipment!B123)</f>
        <v/>
      </c>
    </row>
    <row r="720">
      <c r="A720">
        <f>IF(ItemData_Equipment!A124="","",ItemData_Equipment!A124)</f>
        <v/>
      </c>
      <c r="B720">
        <f>IF(ItemData_Equipment!A124="","",ItemData_Equipment!B124)</f>
        <v/>
      </c>
    </row>
    <row r="721">
      <c r="A721">
        <f>IF(ItemData_Equipment!A125="","",ItemData_Equipment!A125)</f>
        <v/>
      </c>
      <c r="B721">
        <f>IF(ItemData_Equipment!A125="","",ItemData_Equipment!B125)</f>
        <v/>
      </c>
    </row>
    <row r="722">
      <c r="A722">
        <f>IF(ItemData_Equipment!A126="","",ItemData_Equipment!A126)</f>
        <v/>
      </c>
      <c r="B722">
        <f>IF(ItemData_Equipment!A126="","",ItemData_Equipment!B126)</f>
        <v/>
      </c>
    </row>
    <row r="723">
      <c r="A723">
        <f>IF(ItemData_Equipment!A127="","",ItemData_Equipment!A127)</f>
        <v/>
      </c>
      <c r="B723">
        <f>IF(ItemData_Equipment!A127="","",ItemData_Equipment!B127)</f>
        <v/>
      </c>
    </row>
    <row r="724">
      <c r="A724">
        <f>IF(ItemData_Equipment!A128="","",ItemData_Equipment!A128)</f>
        <v/>
      </c>
      <c r="B724">
        <f>IF(ItemData_Equipment!A128="","",ItemData_Equipment!B128)</f>
        <v/>
      </c>
    </row>
    <row r="725">
      <c r="A725">
        <f>IF(ItemData_Equipment!A129="","",ItemData_Equipment!A129)</f>
        <v/>
      </c>
      <c r="B725">
        <f>IF(ItemData_Equipment!A129="","",ItemData_Equipment!B129)</f>
        <v/>
      </c>
    </row>
    <row r="726">
      <c r="A726">
        <f>IF(ItemData_Equipment!A130="","",ItemData_Equipment!A130)</f>
        <v/>
      </c>
      <c r="B726">
        <f>IF(ItemData_Equipment!A130="","",ItemData_Equipment!B130)</f>
        <v/>
      </c>
    </row>
    <row r="727">
      <c r="A727">
        <f>IF(ItemData_Equipment!A131="","",ItemData_Equipment!A131)</f>
        <v/>
      </c>
      <c r="B727">
        <f>IF(ItemData_Equipment!A131="","",ItemData_Equipment!B131)</f>
        <v/>
      </c>
    </row>
    <row r="728">
      <c r="A728">
        <f>IF(ItemData_Equipment!A132="","",ItemData_Equipment!A132)</f>
        <v/>
      </c>
      <c r="B728">
        <f>IF(ItemData_Equipment!A132="","",ItemData_Equipment!B132)</f>
        <v/>
      </c>
    </row>
    <row r="729">
      <c r="A729">
        <f>IF(ItemData_Equipment!A133="","",ItemData_Equipment!A133)</f>
        <v/>
      </c>
      <c r="B729">
        <f>IF(ItemData_Equipment!A133="","",ItemData_Equipment!B133)</f>
        <v/>
      </c>
    </row>
    <row r="730">
      <c r="A730">
        <f>IF(ItemData_Equipment!A134="","",ItemData_Equipment!A134)</f>
        <v/>
      </c>
      <c r="B730">
        <f>IF(ItemData_Equipment!A134="","",ItemData_Equipment!B134)</f>
        <v/>
      </c>
    </row>
    <row r="731">
      <c r="A731">
        <f>IF(ItemData_Equipment!A135="","",ItemData_Equipment!A135)</f>
        <v/>
      </c>
      <c r="B731">
        <f>IF(ItemData_Equipment!A135="","",ItemData_Equipment!B135)</f>
        <v/>
      </c>
    </row>
    <row r="732">
      <c r="A732">
        <f>IF(ItemData_Equipment!A136="","",ItemData_Equipment!A136)</f>
        <v/>
      </c>
      <c r="B732">
        <f>IF(ItemData_Equipment!A136="","",ItemData_Equipment!B136)</f>
        <v/>
      </c>
    </row>
    <row r="733">
      <c r="A733">
        <f>IF(ItemData_Equipment!A137="","",ItemData_Equipment!A137)</f>
        <v/>
      </c>
      <c r="B733">
        <f>IF(ItemData_Equipment!A137="","",ItemData_Equipment!B137)</f>
        <v/>
      </c>
    </row>
    <row r="734">
      <c r="A734">
        <f>IF(ItemData_Equipment!A138="","",ItemData_Equipment!A138)</f>
        <v/>
      </c>
      <c r="B734">
        <f>IF(ItemData_Equipment!A138="","",ItemData_Equipment!B138)</f>
        <v/>
      </c>
    </row>
    <row r="735">
      <c r="A735">
        <f>IF(ItemData_Equipment!A139="","",ItemData_Equipment!A139)</f>
        <v/>
      </c>
      <c r="B735">
        <f>IF(ItemData_Equipment!A139="","",ItemData_Equipment!B139)</f>
        <v/>
      </c>
    </row>
    <row r="736">
      <c r="A736">
        <f>IF(ItemData_Equipment!A140="","",ItemData_Equipment!A140)</f>
        <v/>
      </c>
      <c r="B736">
        <f>IF(ItemData_Equipment!A140="","",ItemData_Equipment!B140)</f>
        <v/>
      </c>
    </row>
    <row r="737">
      <c r="A737">
        <f>IF(ItemData_Equipment!A141="","",ItemData_Equipment!A141)</f>
        <v/>
      </c>
      <c r="B737">
        <f>IF(ItemData_Equipment!A141="","",ItemData_Equipment!B141)</f>
        <v/>
      </c>
    </row>
    <row r="738">
      <c r="A738">
        <f>IF(ItemData_Equipment!A142="","",ItemData_Equipment!A142)</f>
        <v/>
      </c>
      <c r="B738">
        <f>IF(ItemData_Equipment!A142="","",ItemData_Equipment!B142)</f>
        <v/>
      </c>
    </row>
    <row r="739">
      <c r="A739">
        <f>IF(ItemData_Equipment!A143="","",ItemData_Equipment!A143)</f>
        <v/>
      </c>
      <c r="B739">
        <f>IF(ItemData_Equipment!A143="","",ItemData_Equipment!B143)</f>
        <v/>
      </c>
    </row>
    <row r="740">
      <c r="A740">
        <f>IF(ItemData_Equipment!A144="","",ItemData_Equipment!A144)</f>
        <v/>
      </c>
      <c r="B740">
        <f>IF(ItemData_Equipment!A144="","",ItemData_Equipment!B144)</f>
        <v/>
      </c>
    </row>
    <row r="741">
      <c r="A741">
        <f>IF(ItemData_Equipment!A145="","",ItemData_Equipment!A145)</f>
        <v/>
      </c>
      <c r="B741">
        <f>IF(ItemData_Equipment!A145="","",ItemData_Equipment!B145)</f>
        <v/>
      </c>
    </row>
    <row r="742">
      <c r="A742">
        <f>IF(ItemData_Equipment!A146="","",ItemData_Equipment!A146)</f>
        <v/>
      </c>
      <c r="B742">
        <f>IF(ItemData_Equipment!A146="","",ItemData_Equipment!B146)</f>
        <v/>
      </c>
    </row>
    <row r="743">
      <c r="A743">
        <f>IF(ItemData_Equipment!A147="","",ItemData_Equipment!A147)</f>
        <v/>
      </c>
      <c r="B743">
        <f>IF(ItemData_Equipment!A147="","",ItemData_Equipment!B147)</f>
        <v/>
      </c>
    </row>
    <row r="744">
      <c r="A744">
        <f>IF(ItemData_Equipment!A148="","",ItemData_Equipment!A148)</f>
        <v/>
      </c>
      <c r="B744">
        <f>IF(ItemData_Equipment!A148="","",ItemData_Equipment!B148)</f>
        <v/>
      </c>
    </row>
    <row r="745">
      <c r="A745">
        <f>IF(ItemData_Equipment!A149="","",ItemData_Equipment!A149)</f>
        <v/>
      </c>
      <c r="B745">
        <f>IF(ItemData_Equipment!A149="","",ItemData_Equipment!B149)</f>
        <v/>
      </c>
    </row>
    <row r="746">
      <c r="A746">
        <f>IF(ItemData_Equipment!A150="","",ItemData_Equipment!A150)</f>
        <v/>
      </c>
      <c r="B746">
        <f>IF(ItemData_Equipment!A150="","",ItemData_Equipment!B150)</f>
        <v/>
      </c>
    </row>
    <row r="747">
      <c r="A747">
        <f>IF(ItemData_Equipment!A151="","",ItemData_Equipment!A151)</f>
        <v/>
      </c>
      <c r="B747">
        <f>IF(ItemData_Equipment!A151="","",ItemData_Equipment!B151)</f>
        <v/>
      </c>
    </row>
    <row r="748">
      <c r="A748">
        <f>IF(ItemData_Equipment!A152="","",ItemData_Equipment!A152)</f>
        <v/>
      </c>
      <c r="B748">
        <f>IF(ItemData_Equipment!A152="","",ItemData_Equipment!B152)</f>
        <v/>
      </c>
    </row>
    <row r="749">
      <c r="A749">
        <f>IF(ItemData_Equipment!A153="","",ItemData_Equipment!A153)</f>
        <v/>
      </c>
      <c r="B749">
        <f>IF(ItemData_Equipment!A153="","",ItemData_Equipment!B153)</f>
        <v/>
      </c>
    </row>
    <row r="750">
      <c r="A750">
        <f>IF(ItemData_Equipment!A154="","",ItemData_Equipment!A154)</f>
        <v/>
      </c>
      <c r="B750">
        <f>IF(ItemData_Equipment!A154="","",ItemData_Equipment!B154)</f>
        <v/>
      </c>
    </row>
    <row r="751">
      <c r="A751">
        <f>IF(ItemData_Equipment!A155="","",ItemData_Equipment!A155)</f>
        <v/>
      </c>
      <c r="B751">
        <f>IF(ItemData_Equipment!A155="","",ItemData_Equipment!B155)</f>
        <v/>
      </c>
    </row>
    <row r="752">
      <c r="A752">
        <f>IF(ItemData_Equipment!A156="","",ItemData_Equipment!A156)</f>
        <v/>
      </c>
      <c r="B752">
        <f>IF(ItemData_Equipment!A156="","",ItemData_Equipment!B156)</f>
        <v/>
      </c>
    </row>
    <row r="753">
      <c r="A753">
        <f>IF(ItemData_Equipment!A157="","",ItemData_Equipment!A157)</f>
        <v/>
      </c>
      <c r="B753">
        <f>IF(ItemData_Equipment!A157="","",ItemData_Equipment!B157)</f>
        <v/>
      </c>
    </row>
    <row r="754">
      <c r="A754">
        <f>IF(ItemData_Equipment!A158="","",ItemData_Equipment!A158)</f>
        <v/>
      </c>
      <c r="B754">
        <f>IF(ItemData_Equipment!A158="","",ItemData_Equipment!B158)</f>
        <v/>
      </c>
    </row>
    <row r="755">
      <c r="A755">
        <f>IF(ItemData_Equipment!A159="","",ItemData_Equipment!A159)</f>
        <v/>
      </c>
      <c r="B755">
        <f>IF(ItemData_Equipment!A159="","",ItemData_Equipment!B159)</f>
        <v/>
      </c>
    </row>
    <row r="756">
      <c r="A756">
        <f>IF(ItemData_Equipment!A160="","",ItemData_Equipment!A160)</f>
        <v/>
      </c>
      <c r="B756">
        <f>IF(ItemData_Equipment!A160="","",ItemData_Equipment!B160)</f>
        <v/>
      </c>
    </row>
    <row r="757">
      <c r="A757">
        <f>IF(ItemData_Equipment!A161="","",ItemData_Equipment!A161)</f>
        <v/>
      </c>
      <c r="B757">
        <f>IF(ItemData_Equipment!A161="","",ItemData_Equipment!B161)</f>
        <v/>
      </c>
    </row>
    <row r="758">
      <c r="A758">
        <f>IF(ItemData_Equipment!A162="","",ItemData_Equipment!A162)</f>
        <v/>
      </c>
      <c r="B758">
        <f>IF(ItemData_Equipment!A162="","",ItemData_Equipment!B162)</f>
        <v/>
      </c>
    </row>
    <row r="759">
      <c r="A759">
        <f>IF(ItemData_Equipment!A163="","",ItemData_Equipment!A163)</f>
        <v/>
      </c>
      <c r="B759">
        <f>IF(ItemData_Equipment!A163="","",ItemData_Equipment!B163)</f>
        <v/>
      </c>
    </row>
    <row r="760">
      <c r="A760">
        <f>IF(ItemData_Equipment!A164="","",ItemData_Equipment!A164)</f>
        <v/>
      </c>
      <c r="B760">
        <f>IF(ItemData_Equipment!A164="","",ItemData_Equipment!B164)</f>
        <v/>
      </c>
    </row>
    <row r="761">
      <c r="A761">
        <f>IF(ItemData_Equipment!A165="","",ItemData_Equipment!A165)</f>
        <v/>
      </c>
      <c r="B761">
        <f>IF(ItemData_Equipment!A165="","",ItemData_Equipment!B165)</f>
        <v/>
      </c>
    </row>
    <row r="762">
      <c r="A762">
        <f>IF(ItemData_Equipment!A166="","",ItemData_Equipment!A166)</f>
        <v/>
      </c>
      <c r="B762">
        <f>IF(ItemData_Equipment!A166="","",ItemData_Equipment!B166)</f>
        <v/>
      </c>
    </row>
    <row r="763">
      <c r="A763">
        <f>IF(ItemData_Equipment!A167="","",ItemData_Equipment!A167)</f>
        <v/>
      </c>
      <c r="B763">
        <f>IF(ItemData_Equipment!A167="","",ItemData_Equipment!B167)</f>
        <v/>
      </c>
    </row>
    <row r="764">
      <c r="A764">
        <f>IF(ItemData_Equipment!A168="","",ItemData_Equipment!A168)</f>
        <v/>
      </c>
      <c r="B764">
        <f>IF(ItemData_Equipment!A168="","",ItemData_Equipment!B168)</f>
        <v/>
      </c>
    </row>
    <row r="765">
      <c r="A765">
        <f>IF(ItemData_Equipment!A169="","",ItemData_Equipment!A169)</f>
        <v/>
      </c>
      <c r="B765">
        <f>IF(ItemData_Equipment!A169="","",ItemData_Equipment!B169)</f>
        <v/>
      </c>
    </row>
    <row r="766">
      <c r="A766">
        <f>IF(ItemData_Equipment!A170="","",ItemData_Equipment!A170)</f>
        <v/>
      </c>
      <c r="B766">
        <f>IF(ItemData_Equipment!A170="","",ItemData_Equipment!B170)</f>
        <v/>
      </c>
    </row>
    <row r="767">
      <c r="A767">
        <f>IF(ItemData_Equipment!A171="","",ItemData_Equipment!A171)</f>
        <v/>
      </c>
      <c r="B767">
        <f>IF(ItemData_Equipment!A171="","",ItemData_Equipment!B171)</f>
        <v/>
      </c>
    </row>
    <row r="768">
      <c r="A768">
        <f>IF(ItemData_Equipment!A172="","",ItemData_Equipment!A172)</f>
        <v/>
      </c>
      <c r="B768">
        <f>IF(ItemData_Equipment!A172="","",ItemData_Equipment!B172)</f>
        <v/>
      </c>
    </row>
    <row r="769">
      <c r="A769">
        <f>IF(ItemData_Equipment!A173="","",ItemData_Equipment!A173)</f>
        <v/>
      </c>
      <c r="B769">
        <f>IF(ItemData_Equipment!A173="","",ItemData_Equipment!B173)</f>
        <v/>
      </c>
    </row>
    <row r="770">
      <c r="A770">
        <f>IF(ItemData_Equipment!A174="","",ItemData_Equipment!A174)</f>
        <v/>
      </c>
      <c r="B770">
        <f>IF(ItemData_Equipment!A174="","",ItemData_Equipment!B174)</f>
        <v/>
      </c>
    </row>
    <row r="771">
      <c r="A771">
        <f>IF(ItemData_Equipment!A175="","",ItemData_Equipment!A175)</f>
        <v/>
      </c>
      <c r="B771">
        <f>IF(ItemData_Equipment!A175="","",ItemData_Equipment!B175)</f>
        <v/>
      </c>
    </row>
    <row r="772">
      <c r="A772">
        <f>IF(ItemData_Equipment!A176="","",ItemData_Equipment!A176)</f>
        <v/>
      </c>
      <c r="B772">
        <f>IF(ItemData_Equipment!A176="","",ItemData_Equipment!B176)</f>
        <v/>
      </c>
    </row>
    <row r="773">
      <c r="A773">
        <f>IF(ItemData_Equipment!A177="","",ItemData_Equipment!A177)</f>
        <v/>
      </c>
      <c r="B773">
        <f>IF(ItemData_Equipment!A177="","",ItemData_Equipment!B177)</f>
        <v/>
      </c>
    </row>
    <row r="774">
      <c r="A774">
        <f>IF(ItemData_Equipment!A178="","",ItemData_Equipment!A178)</f>
        <v/>
      </c>
      <c r="B774">
        <f>IF(ItemData_Equipment!A178="","",ItemData_Equipment!B178)</f>
        <v/>
      </c>
    </row>
    <row r="775">
      <c r="A775">
        <f>IF(ItemData_Equipment!A179="","",ItemData_Equipment!A179)</f>
        <v/>
      </c>
      <c r="B775">
        <f>IF(ItemData_Equipment!A179="","",ItemData_Equipment!B179)</f>
        <v/>
      </c>
    </row>
    <row r="776">
      <c r="A776">
        <f>IF(ItemData_Equipment!A180="","",ItemData_Equipment!A180)</f>
        <v/>
      </c>
      <c r="B776">
        <f>IF(ItemData_Equipment!A180="","",ItemData_Equipment!B180)</f>
        <v/>
      </c>
    </row>
    <row r="777">
      <c r="A777">
        <f>IF(ItemData_Equipment!A181="","",ItemData_Equipment!A181)</f>
        <v/>
      </c>
      <c r="B777">
        <f>IF(ItemData_Equipment!A181="","",ItemData_Equipment!B181)</f>
        <v/>
      </c>
    </row>
    <row r="778">
      <c r="A778">
        <f>IF(ItemData_Equipment!A182="","",ItemData_Equipment!A182)</f>
        <v/>
      </c>
      <c r="B778">
        <f>IF(ItemData_Equipment!A182="","",ItemData_Equipment!B182)</f>
        <v/>
      </c>
    </row>
    <row r="779">
      <c r="A779">
        <f>IF(ItemData_Equipment!A183="","",ItemData_Equipment!A183)</f>
        <v/>
      </c>
      <c r="B779">
        <f>IF(ItemData_Equipment!A183="","",ItemData_Equipment!B183)</f>
        <v/>
      </c>
    </row>
    <row r="780">
      <c r="A780">
        <f>IF(ItemData_Equipment!A184="","",ItemData_Equipment!A184)</f>
        <v/>
      </c>
      <c r="B780">
        <f>IF(ItemData_Equipment!A184="","",ItemData_Equipment!B184)</f>
        <v/>
      </c>
    </row>
    <row r="781">
      <c r="A781">
        <f>IF(ItemData_Equipment!A185="","",ItemData_Equipment!A185)</f>
        <v/>
      </c>
      <c r="B781">
        <f>IF(ItemData_Equipment!A185="","",ItemData_Equipment!B185)</f>
        <v/>
      </c>
    </row>
    <row r="782">
      <c r="A782">
        <f>IF(ItemData_Equipment!A186="","",ItemData_Equipment!A186)</f>
        <v/>
      </c>
      <c r="B782">
        <f>IF(ItemData_Equipment!A186="","",ItemData_Equipment!B186)</f>
        <v/>
      </c>
    </row>
    <row r="783">
      <c r="A783">
        <f>IF(ItemData_Equipment!A187="","",ItemData_Equipment!A187)</f>
        <v/>
      </c>
      <c r="B783">
        <f>IF(ItemData_Equipment!A187="","",ItemData_Equipment!B187)</f>
        <v/>
      </c>
    </row>
    <row r="784">
      <c r="A784">
        <f>IF(ItemData_Equipment!A188="","",ItemData_Equipment!A188)</f>
        <v/>
      </c>
      <c r="B784">
        <f>IF(ItemData_Equipment!A188="","",ItemData_Equipment!B188)</f>
        <v/>
      </c>
    </row>
    <row r="785">
      <c r="A785">
        <f>IF(ItemData_Equipment!A189="","",ItemData_Equipment!A189)</f>
        <v/>
      </c>
      <c r="B785">
        <f>IF(ItemData_Equipment!A189="","",ItemData_Equipment!B189)</f>
        <v/>
      </c>
    </row>
    <row r="786">
      <c r="A786">
        <f>IF(ItemData_Equipment!A190="","",ItemData_Equipment!A190)</f>
        <v/>
      </c>
      <c r="B786">
        <f>IF(ItemData_Equipment!A190="","",ItemData_Equipment!B190)</f>
        <v/>
      </c>
    </row>
    <row r="787">
      <c r="A787">
        <f>IF(ItemData_Equipment!A191="","",ItemData_Equipment!A191)</f>
        <v/>
      </c>
      <c r="B787">
        <f>IF(ItemData_Equipment!A191="","",ItemData_Equipment!B191)</f>
        <v/>
      </c>
    </row>
    <row r="788">
      <c r="A788">
        <f>IF(ItemData_Equipment!A192="","",ItemData_Equipment!A192)</f>
        <v/>
      </c>
      <c r="B788">
        <f>IF(ItemData_Equipment!A192="","",ItemData_Equipment!B192)</f>
        <v/>
      </c>
    </row>
    <row r="789">
      <c r="A789">
        <f>IF(ItemData_Equipment!A193="","",ItemData_Equipment!A193)</f>
        <v/>
      </c>
      <c r="B789">
        <f>IF(ItemData_Equipment!A193="","",ItemData_Equipment!B193)</f>
        <v/>
      </c>
    </row>
    <row r="790">
      <c r="A790">
        <f>IF(ItemData_Equipment!A194="","",ItemData_Equipment!A194)</f>
        <v/>
      </c>
      <c r="B790">
        <f>IF(ItemData_Equipment!A194="","",ItemData_Equipment!B194)</f>
        <v/>
      </c>
    </row>
    <row r="791">
      <c r="A791">
        <f>IF(ItemData_Equipment!A195="","",ItemData_Equipment!A195)</f>
        <v/>
      </c>
      <c r="B791">
        <f>IF(ItemData_Equipment!A195="","",ItemData_Equipment!B195)</f>
        <v/>
      </c>
    </row>
    <row r="792">
      <c r="A792">
        <f>IF(ItemData_Equipment!A196="","",ItemData_Equipment!A196)</f>
        <v/>
      </c>
      <c r="B792">
        <f>IF(ItemData_Equipment!A196="","",ItemData_Equipment!B196)</f>
        <v/>
      </c>
    </row>
    <row r="793">
      <c r="A793">
        <f>IF(ItemData_Equipment!A197="","",ItemData_Equipment!A197)</f>
        <v/>
      </c>
      <c r="B793">
        <f>IF(ItemData_Equipment!A197="","",ItemData_Equipment!B197)</f>
        <v/>
      </c>
    </row>
    <row r="794">
      <c r="A794">
        <f>IF(ItemData_Equipment!A198="","",ItemData_Equipment!A198)</f>
        <v/>
      </c>
      <c r="B794">
        <f>IF(ItemData_Equipment!A198="","",ItemData_Equipment!B198)</f>
        <v/>
      </c>
    </row>
    <row r="795">
      <c r="A795">
        <f>IF(ItemData_Equipment!A199="","",ItemData_Equipment!A199)</f>
        <v/>
      </c>
      <c r="B795">
        <f>IF(ItemData_Equipment!A199="","",ItemData_Equipment!B199)</f>
        <v/>
      </c>
    </row>
    <row r="796">
      <c r="A796">
        <f>IF(ItemData_Equipment!A200="","",ItemData_Equipment!A200)</f>
        <v/>
      </c>
      <c r="B796">
        <f>IF(ItemData_Equipment!A200="","",ItemData_Equipment!B200)</f>
        <v/>
      </c>
    </row>
    <row r="797">
      <c r="A797">
        <f>IF(ItemData_Equipment!A201="","",ItemData_Equipment!A201)</f>
        <v/>
      </c>
      <c r="B797">
        <f>IF(ItemData_Equipment!A201="","",ItemData_Equipment!B201)</f>
        <v/>
      </c>
    </row>
    <row r="798">
      <c r="A798">
        <f>IF(ItemData_Equipment!A202="","",ItemData_Equipment!A202)</f>
        <v/>
      </c>
      <c r="B798">
        <f>IF(ItemData_Equipment!A202="","",ItemData_Equipment!B202)</f>
        <v/>
      </c>
    </row>
    <row r="799">
      <c r="A799">
        <f>IF(ItemData_Equipment!A203="","",ItemData_Equipment!A203)</f>
        <v/>
      </c>
      <c r="B799">
        <f>IF(ItemData_Equipment!A203="","",ItemData_Equipment!B203)</f>
        <v/>
      </c>
    </row>
    <row r="800">
      <c r="A800">
        <f>IF(ItemData_Equipment!A204="","",ItemData_Equipment!A204)</f>
        <v/>
      </c>
      <c r="B800">
        <f>IF(ItemData_Equipment!A204="","",ItemData_Equipment!B204)</f>
        <v/>
      </c>
    </row>
    <row r="801">
      <c r="A801">
        <f>IF(ItemData_Equipment!A205="","",ItemData_Equipment!A205)</f>
        <v/>
      </c>
      <c r="B801">
        <f>IF(ItemData_Equipment!A205="","",ItemData_Equipment!B205)</f>
        <v/>
      </c>
    </row>
    <row r="802">
      <c r="A802">
        <f>IF(ItemData_Equipment!A206="","",ItemData_Equipment!A206)</f>
        <v/>
      </c>
      <c r="B802">
        <f>IF(ItemData_Equipment!A206="","",ItemData_Equipment!B206)</f>
        <v/>
      </c>
    </row>
    <row r="803">
      <c r="A803">
        <f>IF(ItemData_Equipment!A207="","",ItemData_Equipment!A207)</f>
        <v/>
      </c>
      <c r="B803">
        <f>IF(ItemData_Equipment!A207="","",ItemData_Equipment!B207)</f>
        <v/>
      </c>
    </row>
    <row r="804">
      <c r="A804">
        <f>IF(ItemData_Equipment!A208="","",ItemData_Equipment!A208)</f>
        <v/>
      </c>
      <c r="B804">
        <f>IF(ItemData_Equipment!A208="","",ItemData_Equipment!B208)</f>
        <v/>
      </c>
    </row>
    <row r="805">
      <c r="A805">
        <f>IF(ItemData_Equipment!A209="","",ItemData_Equipment!A209)</f>
        <v/>
      </c>
      <c r="B805">
        <f>IF(ItemData_Equipment!A209="","",ItemData_Equipment!B209)</f>
        <v/>
      </c>
    </row>
    <row r="806">
      <c r="A806">
        <f>IF(ItemData_Equipment!A210="","",ItemData_Equipment!A210)</f>
        <v/>
      </c>
      <c r="B806">
        <f>IF(ItemData_Equipment!A210="","",ItemData_Equipment!B210)</f>
        <v/>
      </c>
    </row>
    <row r="807">
      <c r="A807">
        <f>IF(ItemData_Equipment!A211="","",ItemData_Equipment!A211)</f>
        <v/>
      </c>
      <c r="B807">
        <f>IF(ItemData_Equipment!A211="","",ItemData_Equipment!B211)</f>
        <v/>
      </c>
    </row>
    <row r="808">
      <c r="A808">
        <f>IF(ItemData_Equipment!A212="","",ItemData_Equipment!A212)</f>
        <v/>
      </c>
      <c r="B808">
        <f>IF(ItemData_Equipment!A212="","",ItemData_Equipment!B212)</f>
        <v/>
      </c>
    </row>
    <row r="809">
      <c r="A809">
        <f>IF(ItemData_Equipment!A213="","",ItemData_Equipment!A213)</f>
        <v/>
      </c>
      <c r="B809">
        <f>IF(ItemData_Equipment!A213="","",ItemData_Equipment!B213)</f>
        <v/>
      </c>
    </row>
    <row r="810">
      <c r="A810">
        <f>IF(ItemData_Equipment!A214="","",ItemData_Equipment!A214)</f>
        <v/>
      </c>
      <c r="B810">
        <f>IF(ItemData_Equipment!A214="","",ItemData_Equipment!B214)</f>
        <v/>
      </c>
    </row>
    <row r="811">
      <c r="A811">
        <f>IF(ItemData_Equipment!A215="","",ItemData_Equipment!A215)</f>
        <v/>
      </c>
      <c r="B811">
        <f>IF(ItemData_Equipment!A215="","",ItemData_Equipment!B215)</f>
        <v/>
      </c>
    </row>
    <row r="812">
      <c r="A812">
        <f>IF(ItemData_Equipment!A216="","",ItemData_Equipment!A216)</f>
        <v/>
      </c>
      <c r="B812">
        <f>IF(ItemData_Equipment!A216="","",ItemData_Equipment!B216)</f>
        <v/>
      </c>
    </row>
    <row r="813">
      <c r="A813">
        <f>IF(ItemData_Equipment!A217="","",ItemData_Equipment!A217)</f>
        <v/>
      </c>
      <c r="B813">
        <f>IF(ItemData_Equipment!A217="","",ItemData_Equipment!B217)</f>
        <v/>
      </c>
    </row>
    <row r="814">
      <c r="A814">
        <f>IF(ItemData_Equipment!A218="","",ItemData_Equipment!A218)</f>
        <v/>
      </c>
      <c r="B814">
        <f>IF(ItemData_Equipment!A218="","",ItemData_Equipment!B218)</f>
        <v/>
      </c>
    </row>
    <row r="815">
      <c r="A815">
        <f>IF(ItemData_Equipment!A219="","",ItemData_Equipment!A219)</f>
        <v/>
      </c>
      <c r="B815">
        <f>IF(ItemData_Equipment!A219="","",ItemData_Equipment!B219)</f>
        <v/>
      </c>
    </row>
    <row r="816">
      <c r="A816">
        <f>IF(ItemData_Equipment!A220="","",ItemData_Equipment!A220)</f>
        <v/>
      </c>
      <c r="B816">
        <f>IF(ItemData_Equipment!A220="","",ItemData_Equipment!B220)</f>
        <v/>
      </c>
    </row>
    <row r="817">
      <c r="A817">
        <f>IF(ItemData_Equipment!A221="","",ItemData_Equipment!A221)</f>
        <v/>
      </c>
      <c r="B817">
        <f>IF(ItemData_Equipment!A221="","",ItemData_Equipment!B221)</f>
        <v/>
      </c>
    </row>
    <row r="818">
      <c r="A818">
        <f>IF(ItemData_Equipment!A222="","",ItemData_Equipment!A222)</f>
        <v/>
      </c>
      <c r="B818">
        <f>IF(ItemData_Equipment!A222="","",ItemData_Equipment!B222)</f>
        <v/>
      </c>
    </row>
    <row r="819">
      <c r="A819">
        <f>IF(ItemData_Equipment!A223="","",ItemData_Equipment!A223)</f>
        <v/>
      </c>
      <c r="B819">
        <f>IF(ItemData_Equipment!A223="","",ItemData_Equipment!B223)</f>
        <v/>
      </c>
    </row>
    <row r="820">
      <c r="A820">
        <f>IF(ItemData_Equipment!A224="","",ItemData_Equipment!A224)</f>
        <v/>
      </c>
      <c r="B820">
        <f>IF(ItemData_Equipment!A224="","",ItemData_Equipment!B224)</f>
        <v/>
      </c>
    </row>
    <row r="821">
      <c r="A821">
        <f>IF(ItemData_Equipment!A225="","",ItemData_Equipment!A225)</f>
        <v/>
      </c>
      <c r="B821">
        <f>IF(ItemData_Equipment!A225="","",ItemData_Equipment!B225)</f>
        <v/>
      </c>
    </row>
    <row r="822">
      <c r="A822">
        <f>IF(ItemData_Equipment!A226="","",ItemData_Equipment!A226)</f>
        <v/>
      </c>
      <c r="B822">
        <f>IF(ItemData_Equipment!A226="","",ItemData_Equipment!B226)</f>
        <v/>
      </c>
    </row>
    <row r="823">
      <c r="A823">
        <f>IF(ItemData_Equipment!A227="","",ItemData_Equipment!A227)</f>
        <v/>
      </c>
      <c r="B823">
        <f>IF(ItemData_Equipment!A227="","",ItemData_Equipment!B227)</f>
        <v/>
      </c>
    </row>
    <row r="824">
      <c r="A824">
        <f>IF(ItemData_Equipment!A228="","",ItemData_Equipment!A228)</f>
        <v/>
      </c>
      <c r="B824">
        <f>IF(ItemData_Equipment!A228="","",ItemData_Equipment!B228)</f>
        <v/>
      </c>
    </row>
    <row r="825">
      <c r="A825">
        <f>IF(ItemData_Equipment!A229="","",ItemData_Equipment!A229)</f>
        <v/>
      </c>
      <c r="B825">
        <f>IF(ItemData_Equipment!A229="","",ItemData_Equipment!B229)</f>
        <v/>
      </c>
    </row>
    <row r="826">
      <c r="A826">
        <f>IF(ItemData_Equipment!A230="","",ItemData_Equipment!A230)</f>
        <v/>
      </c>
      <c r="B826">
        <f>IF(ItemData_Equipment!A230="","",ItemData_Equipment!B230)</f>
        <v/>
      </c>
    </row>
    <row r="827">
      <c r="A827">
        <f>IF(ItemData_Equipment!A231="","",ItemData_Equipment!A231)</f>
        <v/>
      </c>
      <c r="B827">
        <f>IF(ItemData_Equipment!A231="","",ItemData_Equipment!B231)</f>
        <v/>
      </c>
    </row>
    <row r="828">
      <c r="A828">
        <f>IF(ItemData_Equipment!A232="","",ItemData_Equipment!A232)</f>
        <v/>
      </c>
      <c r="B828">
        <f>IF(ItemData_Equipment!A232="","",ItemData_Equipment!B232)</f>
        <v/>
      </c>
    </row>
    <row r="829">
      <c r="A829">
        <f>IF(ItemData_Equipment!A233="","",ItemData_Equipment!A233)</f>
        <v/>
      </c>
      <c r="B829">
        <f>IF(ItemData_Equipment!A233="","",ItemData_Equipment!B233)</f>
        <v/>
      </c>
    </row>
    <row r="830">
      <c r="A830">
        <f>IF(ItemData_Equipment!A234="","",ItemData_Equipment!A234)</f>
        <v/>
      </c>
      <c r="B830">
        <f>IF(ItemData_Equipment!A234="","",ItemData_Equipment!B234)</f>
        <v/>
      </c>
    </row>
    <row r="831">
      <c r="A831">
        <f>IF(ItemData_Equipment!A235="","",ItemData_Equipment!A235)</f>
        <v/>
      </c>
      <c r="B831">
        <f>IF(ItemData_Equipment!A235="","",ItemData_Equipment!B235)</f>
        <v/>
      </c>
    </row>
    <row r="832">
      <c r="A832">
        <f>IF(ItemData_Equipment!A236="","",ItemData_Equipment!A236)</f>
        <v/>
      </c>
      <c r="B832">
        <f>IF(ItemData_Equipment!A236="","",ItemData_Equipment!B236)</f>
        <v/>
      </c>
    </row>
    <row r="833">
      <c r="A833">
        <f>IF(ItemData_Equipment!A237="","",ItemData_Equipment!A237)</f>
        <v/>
      </c>
      <c r="B833">
        <f>IF(ItemData_Equipment!A237="","",ItemData_Equipment!B237)</f>
        <v/>
      </c>
    </row>
    <row r="834">
      <c r="A834">
        <f>IF(ItemData_Equipment!A238="","",ItemData_Equipment!A238)</f>
        <v/>
      </c>
      <c r="B834">
        <f>IF(ItemData_Equipment!A238="","",ItemData_Equipment!B238)</f>
        <v/>
      </c>
    </row>
    <row r="835">
      <c r="A835">
        <f>IF(ItemData_Equipment!A239="","",ItemData_Equipment!A239)</f>
        <v/>
      </c>
      <c r="B835">
        <f>IF(ItemData_Equipment!A239="","",ItemData_Equipment!B239)</f>
        <v/>
      </c>
    </row>
    <row r="836">
      <c r="A836">
        <f>IF(ItemData_Equipment!A240="","",ItemData_Equipment!A240)</f>
        <v/>
      </c>
      <c r="B836">
        <f>IF(ItemData_Equipment!A240="","",ItemData_Equipment!B240)</f>
        <v/>
      </c>
    </row>
    <row r="837">
      <c r="A837">
        <f>IF(ItemData_Equipment!A241="","",ItemData_Equipment!A241)</f>
        <v/>
      </c>
      <c r="B837">
        <f>IF(ItemData_Equipment!A241="","",ItemData_Equipment!B241)</f>
        <v/>
      </c>
    </row>
    <row r="838">
      <c r="A838">
        <f>IF(ItemData_Equipment!A242="","",ItemData_Equipment!A242)</f>
        <v/>
      </c>
      <c r="B838">
        <f>IF(ItemData_Equipment!A242="","",ItemData_Equipment!B242)</f>
        <v/>
      </c>
    </row>
    <row r="839">
      <c r="A839">
        <f>IF(ItemData_Equipment!A243="","",ItemData_Equipment!A243)</f>
        <v/>
      </c>
      <c r="B839">
        <f>IF(ItemData_Equipment!A243="","",ItemData_Equipment!B243)</f>
        <v/>
      </c>
    </row>
    <row r="840">
      <c r="A840">
        <f>IF(ItemData_Equipment!A244="","",ItemData_Equipment!A244)</f>
        <v/>
      </c>
      <c r="B840">
        <f>IF(ItemData_Equipment!A244="","",ItemData_Equipment!B244)</f>
        <v/>
      </c>
    </row>
    <row r="841">
      <c r="A841">
        <f>IF(ItemData_Equipment!A245="","",ItemData_Equipment!A245)</f>
        <v/>
      </c>
      <c r="B841">
        <f>IF(ItemData_Equipment!A245="","",ItemData_Equipment!B245)</f>
        <v/>
      </c>
    </row>
    <row r="842">
      <c r="A842">
        <f>IF(ItemData_Equipment!A246="","",ItemData_Equipment!A246)</f>
        <v/>
      </c>
      <c r="B842">
        <f>IF(ItemData_Equipment!A246="","",ItemData_Equipment!B246)</f>
        <v/>
      </c>
    </row>
    <row r="843">
      <c r="A843">
        <f>IF(ItemData_Equipment!A247="","",ItemData_Equipment!A247)</f>
        <v/>
      </c>
      <c r="B843">
        <f>IF(ItemData_Equipment!A247="","",ItemData_Equipment!B247)</f>
        <v/>
      </c>
    </row>
    <row r="844">
      <c r="A844">
        <f>IF(ItemData_Equipment!A248="","",ItemData_Equipment!A248)</f>
        <v/>
      </c>
      <c r="B844">
        <f>IF(ItemData_Equipment!A248="","",ItemData_Equipment!B248)</f>
        <v/>
      </c>
    </row>
    <row r="845">
      <c r="A845">
        <f>IF(ItemData_Equipment!A249="","",ItemData_Equipment!A249)</f>
        <v/>
      </c>
      <c r="B845">
        <f>IF(ItemData_Equipment!A249="","",ItemData_Equipment!B249)</f>
        <v/>
      </c>
    </row>
    <row r="846">
      <c r="A846">
        <f>IF(ItemData_Equipment!A250="","",ItemData_Equipment!A250)</f>
        <v/>
      </c>
      <c r="B846">
        <f>IF(ItemData_Equipment!A250="","",ItemData_Equipment!B250)</f>
        <v/>
      </c>
    </row>
    <row r="847">
      <c r="A847">
        <f>IF(ItemData_Equipment!A251="","",ItemData_Equipment!A251)</f>
        <v/>
      </c>
      <c r="B847">
        <f>IF(ItemData_Equipment!A251="","",ItemData_Equipment!B251)</f>
        <v/>
      </c>
    </row>
    <row r="848">
      <c r="A848">
        <f>IF(ItemData_Equipment!A252="","",ItemData_Equipment!A252)</f>
        <v/>
      </c>
      <c r="B848">
        <f>IF(ItemData_Equipment!A252="","",ItemData_Equipment!B252)</f>
        <v/>
      </c>
    </row>
    <row r="849">
      <c r="A849">
        <f>IF(ItemData_Equipment!A253="","",ItemData_Equipment!A253)</f>
        <v/>
      </c>
      <c r="B849">
        <f>IF(ItemData_Equipment!A253="","",ItemData_Equipment!B253)</f>
        <v/>
      </c>
    </row>
    <row r="850">
      <c r="A850">
        <f>IF(ItemData_Equipment!A254="","",ItemData_Equipment!A254)</f>
        <v/>
      </c>
      <c r="B850">
        <f>IF(ItemData_Equipment!A254="","",ItemData_Equipment!B254)</f>
        <v/>
      </c>
    </row>
    <row r="851">
      <c r="A851">
        <f>IF(ItemData_Equipment!A255="","",ItemData_Equipment!A255)</f>
        <v/>
      </c>
      <c r="B851">
        <f>IF(ItemData_Equipment!A255="","",ItemData_Equipment!B255)</f>
        <v/>
      </c>
    </row>
    <row r="852">
      <c r="A852">
        <f>IF(ItemData_Equipment!A256="","",ItemData_Equipment!A256)</f>
        <v/>
      </c>
      <c r="B852">
        <f>IF(ItemData_Equipment!A256="","",ItemData_Equipment!B256)</f>
        <v/>
      </c>
    </row>
    <row r="853">
      <c r="A853">
        <f>IF(ItemData_Equipment!A257="","",ItemData_Equipment!A257)</f>
        <v/>
      </c>
      <c r="B853">
        <f>IF(ItemData_Equipment!A257="","",ItemData_Equipment!B257)</f>
        <v/>
      </c>
    </row>
    <row r="854">
      <c r="A854">
        <f>IF(ItemData_Equipment!A258="","",ItemData_Equipment!A258)</f>
        <v/>
      </c>
      <c r="B854">
        <f>IF(ItemData_Equipment!A258="","",ItemData_Equipment!B258)</f>
        <v/>
      </c>
    </row>
    <row r="855">
      <c r="A855">
        <f>IF(ItemData_Equipment!A259="","",ItemData_Equipment!A259)</f>
        <v/>
      </c>
      <c r="B855">
        <f>IF(ItemData_Equipment!A259="","",ItemData_Equipment!B259)</f>
        <v/>
      </c>
    </row>
    <row r="856">
      <c r="A856">
        <f>IF(ItemData_Equipment!A260="","",ItemData_Equipment!A260)</f>
        <v/>
      </c>
      <c r="B856">
        <f>IF(ItemData_Equipment!A260="","",ItemData_Equipment!B260)</f>
        <v/>
      </c>
    </row>
    <row r="857">
      <c r="A857">
        <f>IF(ItemData_Equipment!A261="","",ItemData_Equipment!A261)</f>
        <v/>
      </c>
      <c r="B857">
        <f>IF(ItemData_Equipment!A261="","",ItemData_Equipment!B261)</f>
        <v/>
      </c>
    </row>
    <row r="858">
      <c r="A858">
        <f>IF(ItemData_Equipment!A262="","",ItemData_Equipment!A262)</f>
        <v/>
      </c>
      <c r="B858">
        <f>IF(ItemData_Equipment!A262="","",ItemData_Equipment!B262)</f>
        <v/>
      </c>
    </row>
    <row r="859">
      <c r="A859">
        <f>IF(ItemData_Equipment!A263="","",ItemData_Equipment!A263)</f>
        <v/>
      </c>
      <c r="B859">
        <f>IF(ItemData_Equipment!A263="","",ItemData_Equipment!B263)</f>
        <v/>
      </c>
    </row>
    <row r="860">
      <c r="A860">
        <f>IF(ItemData_Equipment!A264="","",ItemData_Equipment!A264)</f>
        <v/>
      </c>
      <c r="B860">
        <f>IF(ItemData_Equipment!A264="","",ItemData_Equipment!B264)</f>
        <v/>
      </c>
    </row>
    <row r="861">
      <c r="A861">
        <f>IF(ItemData_Equipment!A265="","",ItemData_Equipment!A265)</f>
        <v/>
      </c>
      <c r="B861">
        <f>IF(ItemData_Equipment!A265="","",ItemData_Equipment!B265)</f>
        <v/>
      </c>
    </row>
    <row r="862">
      <c r="A862">
        <f>IF(ItemData_Equipment!A266="","",ItemData_Equipment!A266)</f>
        <v/>
      </c>
      <c r="B862">
        <f>IF(ItemData_Equipment!A266="","",ItemData_Equipment!B266)</f>
        <v/>
      </c>
    </row>
    <row r="863">
      <c r="A863">
        <f>IF(ItemData_Equipment!A267="","",ItemData_Equipment!A267)</f>
        <v/>
      </c>
      <c r="B863">
        <f>IF(ItemData_Equipment!A267="","",ItemData_Equipment!B267)</f>
        <v/>
      </c>
    </row>
    <row r="864">
      <c r="A864">
        <f>IF(ItemData_Equipment!A268="","",ItemData_Equipment!A268)</f>
        <v/>
      </c>
      <c r="B864">
        <f>IF(ItemData_Equipment!A268="","",ItemData_Equipment!B268)</f>
        <v/>
      </c>
    </row>
    <row r="865">
      <c r="A865">
        <f>IF(ItemData_Equipment!A269="","",ItemData_Equipment!A269)</f>
        <v/>
      </c>
      <c r="B865">
        <f>IF(ItemData_Equipment!A269="","",ItemData_Equipment!B269)</f>
        <v/>
      </c>
    </row>
    <row r="866">
      <c r="A866">
        <f>IF(ItemData_Equipment!A270="","",ItemData_Equipment!A270)</f>
        <v/>
      </c>
      <c r="B866">
        <f>IF(ItemData_Equipment!A270="","",ItemData_Equipment!B270)</f>
        <v/>
      </c>
    </row>
    <row r="867">
      <c r="A867">
        <f>IF(ItemData_Equipment!A271="","",ItemData_Equipment!A271)</f>
        <v/>
      </c>
      <c r="B867">
        <f>IF(ItemData_Equipment!A271="","",ItemData_Equipment!B271)</f>
        <v/>
      </c>
    </row>
    <row r="868">
      <c r="A868">
        <f>IF(ItemData_Equipment!A272="","",ItemData_Equipment!A272)</f>
        <v/>
      </c>
      <c r="B868">
        <f>IF(ItemData_Equipment!A272="","",ItemData_Equipment!B272)</f>
        <v/>
      </c>
    </row>
    <row r="869">
      <c r="A869">
        <f>IF(ItemData_Equipment!A273="","",ItemData_Equipment!A273)</f>
        <v/>
      </c>
      <c r="B869">
        <f>IF(ItemData_Equipment!A273="","",ItemData_Equipment!B273)</f>
        <v/>
      </c>
    </row>
    <row r="870">
      <c r="A870">
        <f>IF(ItemData_Equipment!A274="","",ItemData_Equipment!A274)</f>
        <v/>
      </c>
      <c r="B870">
        <f>IF(ItemData_Equipment!A274="","",ItemData_Equipment!B274)</f>
        <v/>
      </c>
    </row>
    <row r="871">
      <c r="A871">
        <f>IF(ItemData_Equipment!A275="","",ItemData_Equipment!A275)</f>
        <v/>
      </c>
      <c r="B871">
        <f>IF(ItemData_Equipment!A275="","",ItemData_Equipment!B275)</f>
        <v/>
      </c>
    </row>
    <row r="872">
      <c r="A872">
        <f>IF(ItemData_Equipment!A276="","",ItemData_Equipment!A276)</f>
        <v/>
      </c>
      <c r="B872">
        <f>IF(ItemData_Equipment!A276="","",ItemData_Equipment!B276)</f>
        <v/>
      </c>
    </row>
    <row r="873">
      <c r="A873">
        <f>IF(ItemData_Equipment!A277="","",ItemData_Equipment!A277)</f>
        <v/>
      </c>
      <c r="B873">
        <f>IF(ItemData_Equipment!A277="","",ItemData_Equipment!B277)</f>
        <v/>
      </c>
    </row>
    <row r="874">
      <c r="A874">
        <f>IF(ItemData_Equipment!A278="","",ItemData_Equipment!A278)</f>
        <v/>
      </c>
      <c r="B874">
        <f>IF(ItemData_Equipment!A278="","",ItemData_Equipment!B278)</f>
        <v/>
      </c>
    </row>
    <row r="875">
      <c r="A875">
        <f>IF(ItemData_Equipment!A279="","",ItemData_Equipment!A279)</f>
        <v/>
      </c>
      <c r="B875">
        <f>IF(ItemData_Equipment!A279="","",ItemData_Equipment!B279)</f>
        <v/>
      </c>
    </row>
    <row r="876">
      <c r="A876">
        <f>IF(ItemData_Equipment!A280="","",ItemData_Equipment!A280)</f>
        <v/>
      </c>
      <c r="B876">
        <f>IF(ItemData_Equipment!A280="","",ItemData_Equipment!B280)</f>
        <v/>
      </c>
    </row>
    <row r="877">
      <c r="A877">
        <f>IF(ItemData_Equipment!A281="","",ItemData_Equipment!A281)</f>
        <v/>
      </c>
      <c r="B877">
        <f>IF(ItemData_Equipment!A281="","",ItemData_Equipment!B281)</f>
        <v/>
      </c>
    </row>
    <row r="878">
      <c r="A878">
        <f>IF(ItemData_Equipment!A282="","",ItemData_Equipment!A282)</f>
        <v/>
      </c>
      <c r="B878">
        <f>IF(ItemData_Equipment!A282="","",ItemData_Equipment!B282)</f>
        <v/>
      </c>
    </row>
    <row r="879">
      <c r="A879">
        <f>IF(ItemData_Equipment!A283="","",ItemData_Equipment!A283)</f>
        <v/>
      </c>
      <c r="B879">
        <f>IF(ItemData_Equipment!A283="","",ItemData_Equipment!B283)</f>
        <v/>
      </c>
    </row>
    <row r="880">
      <c r="A880">
        <f>IF(ItemData_Equipment!A284="","",ItemData_Equipment!A284)</f>
        <v/>
      </c>
      <c r="B880">
        <f>IF(ItemData_Equipment!A284="","",ItemData_Equipment!B284)</f>
        <v/>
      </c>
    </row>
    <row r="881">
      <c r="A881">
        <f>IF(ItemData_Equipment!A285="","",ItemData_Equipment!A285)</f>
        <v/>
      </c>
      <c r="B881">
        <f>IF(ItemData_Equipment!A285="","",ItemData_Equipment!B285)</f>
        <v/>
      </c>
    </row>
    <row r="882">
      <c r="A882">
        <f>IF(ItemData_Equipment!A286="","",ItemData_Equipment!A286)</f>
        <v/>
      </c>
      <c r="B882">
        <f>IF(ItemData_Equipment!A286="","",ItemData_Equipment!B286)</f>
        <v/>
      </c>
    </row>
    <row r="883">
      <c r="A883">
        <f>IF(ItemData_Equipment!A287="","",ItemData_Equipment!A287)</f>
        <v/>
      </c>
      <c r="B883">
        <f>IF(ItemData_Equipment!A287="","",ItemData_Equipment!B287)</f>
        <v/>
      </c>
    </row>
    <row r="884">
      <c r="A884">
        <f>IF(ItemData_Equipment!A288="","",ItemData_Equipment!A288)</f>
        <v/>
      </c>
      <c r="B884">
        <f>IF(ItemData_Equipment!A288="","",ItemData_Equipment!B288)</f>
        <v/>
      </c>
    </row>
    <row r="885">
      <c r="A885">
        <f>IF(ItemData_Equipment!A289="","",ItemData_Equipment!A289)</f>
        <v/>
      </c>
      <c r="B885">
        <f>IF(ItemData_Equipment!A289="","",ItemData_Equipment!B289)</f>
        <v/>
      </c>
    </row>
    <row r="886">
      <c r="A886">
        <f>IF(ItemData_Equipment!A290="","",ItemData_Equipment!A290)</f>
        <v/>
      </c>
      <c r="B886">
        <f>IF(ItemData_Equipment!A290="","",ItemData_Equipment!B290)</f>
        <v/>
      </c>
    </row>
    <row r="887">
      <c r="A887">
        <f>IF(ItemData_Equipment!A291="","",ItemData_Equipment!A291)</f>
        <v/>
      </c>
      <c r="B887">
        <f>IF(ItemData_Equipment!A291="","",ItemData_Equipment!B291)</f>
        <v/>
      </c>
    </row>
    <row r="888">
      <c r="A888">
        <f>IF(ItemData_Equipment!A292="","",ItemData_Equipment!A292)</f>
        <v/>
      </c>
      <c r="B888">
        <f>IF(ItemData_Equipment!A292="","",ItemData_Equipment!B292)</f>
        <v/>
      </c>
    </row>
    <row r="889">
      <c r="A889">
        <f>IF(ItemData_Equipment!A293="","",ItemData_Equipment!A293)</f>
        <v/>
      </c>
      <c r="B889">
        <f>IF(ItemData_Equipment!A293="","",ItemData_Equipment!B293)</f>
        <v/>
      </c>
    </row>
    <row r="890">
      <c r="A890">
        <f>IF(ItemData_Equipment!A294="","",ItemData_Equipment!A294)</f>
        <v/>
      </c>
      <c r="B890">
        <f>IF(ItemData_Equipment!A294="","",ItemData_Equipment!B294)</f>
        <v/>
      </c>
    </row>
    <row r="891">
      <c r="A891">
        <f>IF(ItemData_Equipment!A295="","",ItemData_Equipment!A295)</f>
        <v/>
      </c>
      <c r="B891">
        <f>IF(ItemData_Equipment!A295="","",ItemData_Equipment!B295)</f>
        <v/>
      </c>
    </row>
    <row r="892">
      <c r="A892">
        <f>IF(ItemData_Equipment!A296="","",ItemData_Equipment!A296)</f>
        <v/>
      </c>
      <c r="B892">
        <f>IF(ItemData_Equipment!A296="","",ItemData_Equipment!B296)</f>
        <v/>
      </c>
    </row>
    <row r="893">
      <c r="A893">
        <f>IF(ItemData_Equipment!A297="","",ItemData_Equipment!A297)</f>
        <v/>
      </c>
      <c r="B893">
        <f>IF(ItemData_Equipment!A297="","",ItemData_Equipment!B297)</f>
        <v/>
      </c>
    </row>
    <row r="894">
      <c r="A894">
        <f>IF(ItemData_Equipment!A298="","",ItemData_Equipment!A298)</f>
        <v/>
      </c>
      <c r="B894">
        <f>IF(ItemData_Equipment!A298="","",ItemData_Equipment!B298)</f>
        <v/>
      </c>
    </row>
    <row r="895">
      <c r="A895">
        <f>IF(ItemData_Equipment!A299="","",ItemData_Equipment!A299)</f>
        <v/>
      </c>
      <c r="B895">
        <f>IF(ItemData_Equipment!A299="","",ItemData_Equipment!B299)</f>
        <v/>
      </c>
    </row>
    <row r="896">
      <c r="A896">
        <f>IF(ItemData_Equipment!A300="","",ItemData_Equipment!A300)</f>
        <v/>
      </c>
      <c r="B896">
        <f>IF(ItemData_Equipment!A300="","",ItemData_Equipment!B300)</f>
        <v/>
      </c>
    </row>
    <row r="897">
      <c r="A897">
        <f>IF(ItemData_Consumables!A3="","",ItemData_Consumables!A3)</f>
        <v/>
      </c>
      <c r="B897">
        <f>IF(ItemData_Consumables!A3="","",ItemData_Consumables!B3)</f>
        <v/>
      </c>
      <c r="C897" t="inlineStr">
        <is>
          <t>ItemData_Consumables</t>
        </is>
      </c>
    </row>
    <row r="898">
      <c r="A898">
        <f>IF(ItemData_Consumables!A4="","",ItemData_Consumables!A4)</f>
        <v/>
      </c>
      <c r="B898">
        <f>IF(ItemData_Consumables!A4="","",ItemData_Consumables!B4)</f>
        <v/>
      </c>
    </row>
    <row r="899">
      <c r="A899">
        <f>IF(ItemData_Consumables!A5="","",ItemData_Consumables!A5)</f>
        <v/>
      </c>
      <c r="B899">
        <f>IF(ItemData_Consumables!A5="","",ItemData_Consumables!B5)</f>
        <v/>
      </c>
    </row>
    <row r="900">
      <c r="A900">
        <f>IF(ItemData_Consumables!A6="","",ItemData_Consumables!A6)</f>
        <v/>
      </c>
      <c r="B900">
        <f>IF(ItemData_Consumables!A6="","",ItemData_Consumables!B6)</f>
        <v/>
      </c>
    </row>
    <row r="901">
      <c r="A901">
        <f>IF(ItemData_Consumables!A7="","",ItemData_Consumables!A7)</f>
        <v/>
      </c>
      <c r="B901">
        <f>IF(ItemData_Consumables!A7="","",ItemData_Consumables!B7)</f>
        <v/>
      </c>
    </row>
    <row r="902">
      <c r="A902">
        <f>IF(ItemData_Consumables!A8="","",ItemData_Consumables!A8)</f>
        <v/>
      </c>
      <c r="B902">
        <f>IF(ItemData_Consumables!A8="","",ItemData_Consumables!B8)</f>
        <v/>
      </c>
    </row>
    <row r="903">
      <c r="A903">
        <f>IF(ItemData_Consumables!A9="","",ItemData_Consumables!A9)</f>
        <v/>
      </c>
      <c r="B903">
        <f>IF(ItemData_Consumables!A9="","",ItemData_Consumables!B9)</f>
        <v/>
      </c>
    </row>
    <row r="904">
      <c r="A904">
        <f>IF(ItemData_Consumables!A10="","",ItemData_Consumables!A10)</f>
        <v/>
      </c>
      <c r="B904">
        <f>IF(ItemData_Consumables!A10="","",ItemData_Consumables!B10)</f>
        <v/>
      </c>
    </row>
    <row r="905">
      <c r="A905">
        <f>IF(ItemData_Consumables!A11="","",ItemData_Consumables!A11)</f>
        <v/>
      </c>
      <c r="B905">
        <f>IF(ItemData_Consumables!A11="","",ItemData_Consumables!B11)</f>
        <v/>
      </c>
    </row>
    <row r="906">
      <c r="A906">
        <f>IF(ItemData_Consumables!A12="","",ItemData_Consumables!A12)</f>
        <v/>
      </c>
      <c r="B906">
        <f>IF(ItemData_Consumables!A12="","",ItemData_Consumables!B12)</f>
        <v/>
      </c>
    </row>
    <row r="907">
      <c r="A907">
        <f>IF(ItemData_Consumables!A13="","",ItemData_Consumables!A13)</f>
        <v/>
      </c>
      <c r="B907">
        <f>IF(ItemData_Consumables!A13="","",ItemData_Consumables!B13)</f>
        <v/>
      </c>
    </row>
    <row r="908">
      <c r="A908">
        <f>IF(ItemData_Consumables!A14="","",ItemData_Consumables!A14)</f>
        <v/>
      </c>
      <c r="B908">
        <f>IF(ItemData_Consumables!A14="","",ItemData_Consumables!B14)</f>
        <v/>
      </c>
    </row>
    <row r="909">
      <c r="A909">
        <f>IF(ItemData_Consumables!A15="","",ItemData_Consumables!A15)</f>
        <v/>
      </c>
      <c r="B909">
        <f>IF(ItemData_Consumables!A15="","",ItemData_Consumables!B15)</f>
        <v/>
      </c>
    </row>
    <row r="910">
      <c r="A910">
        <f>IF(ItemData_Consumables!A16="","",ItemData_Consumables!A16)</f>
        <v/>
      </c>
      <c r="B910">
        <f>IF(ItemData_Consumables!A16="","",ItemData_Consumables!B16)</f>
        <v/>
      </c>
    </row>
    <row r="911">
      <c r="A911">
        <f>IF(ItemData_Consumables!A17="","",ItemData_Consumables!A17)</f>
        <v/>
      </c>
      <c r="B911">
        <f>IF(ItemData_Consumables!A17="","",ItemData_Consumables!B17)</f>
        <v/>
      </c>
    </row>
    <row r="912">
      <c r="A912">
        <f>IF(ItemData_Consumables!A18="","",ItemData_Consumables!A18)</f>
        <v/>
      </c>
      <c r="B912">
        <f>IF(ItemData_Consumables!A18="","",ItemData_Consumables!B18)</f>
        <v/>
      </c>
    </row>
    <row r="913">
      <c r="A913">
        <f>IF(ItemData_Consumables!A19="","",ItemData_Consumables!A19)</f>
        <v/>
      </c>
      <c r="B913">
        <f>IF(ItemData_Consumables!A19="","",ItemData_Consumables!B19)</f>
        <v/>
      </c>
    </row>
    <row r="914">
      <c r="A914">
        <f>IF(ItemData_Consumables!A20="","",ItemData_Consumables!A20)</f>
        <v/>
      </c>
      <c r="B914">
        <f>IF(ItemData_Consumables!A20="","",ItemData_Consumables!B20)</f>
        <v/>
      </c>
    </row>
    <row r="915">
      <c r="A915">
        <f>IF(ItemData_Consumables!A21="","",ItemData_Consumables!A21)</f>
        <v/>
      </c>
      <c r="B915">
        <f>IF(ItemData_Consumables!A21="","",ItemData_Consumables!B21)</f>
        <v/>
      </c>
    </row>
    <row r="916">
      <c r="A916">
        <f>IF(ItemData_Consumables!A22="","",ItemData_Consumables!A22)</f>
        <v/>
      </c>
      <c r="B916">
        <f>IF(ItemData_Consumables!A22="","",ItemData_Consumables!B22)</f>
        <v/>
      </c>
    </row>
    <row r="917">
      <c r="A917">
        <f>IF(ItemData_Consumables!A23="","",ItemData_Consumables!A23)</f>
        <v/>
      </c>
      <c r="B917">
        <f>IF(ItemData_Consumables!A23="","",ItemData_Consumables!B23)</f>
        <v/>
      </c>
    </row>
    <row r="918">
      <c r="A918">
        <f>IF(ItemData_Consumables!A24="","",ItemData_Consumables!A24)</f>
        <v/>
      </c>
      <c r="B918">
        <f>IF(ItemData_Consumables!A24="","",ItemData_Consumables!B24)</f>
        <v/>
      </c>
    </row>
    <row r="919">
      <c r="A919">
        <f>IF(ItemData_Consumables!A25="","",ItemData_Consumables!A25)</f>
        <v/>
      </c>
      <c r="B919">
        <f>IF(ItemData_Consumables!A25="","",ItemData_Consumables!B25)</f>
        <v/>
      </c>
    </row>
    <row r="920">
      <c r="A920">
        <f>IF(ItemData_Consumables!A26="","",ItemData_Consumables!A26)</f>
        <v/>
      </c>
      <c r="B920">
        <f>IF(ItemData_Consumables!A26="","",ItemData_Consumables!B26)</f>
        <v/>
      </c>
    </row>
    <row r="921">
      <c r="A921">
        <f>IF(ItemData_Consumables!A27="","",ItemData_Consumables!A27)</f>
        <v/>
      </c>
      <c r="B921">
        <f>IF(ItemData_Consumables!A27="","",ItemData_Consumables!B27)</f>
        <v/>
      </c>
    </row>
    <row r="922">
      <c r="A922">
        <f>IF(ItemData_Consumables!A28="","",ItemData_Consumables!A28)</f>
        <v/>
      </c>
      <c r="B922">
        <f>IF(ItemData_Consumables!A28="","",ItemData_Consumables!B28)</f>
        <v/>
      </c>
    </row>
    <row r="923">
      <c r="A923">
        <f>IF(ItemData_Consumables!A29="","",ItemData_Consumables!A29)</f>
        <v/>
      </c>
      <c r="B923">
        <f>IF(ItemData_Consumables!A29="","",ItemData_Consumables!B29)</f>
        <v/>
      </c>
    </row>
    <row r="924">
      <c r="A924">
        <f>IF(ItemData_Consumables!A30="","",ItemData_Consumables!A30)</f>
        <v/>
      </c>
      <c r="B924">
        <f>IF(ItemData_Consumables!A30="","",ItemData_Consumables!B30)</f>
        <v/>
      </c>
    </row>
    <row r="925">
      <c r="A925">
        <f>IF(ItemData_Consumables!A31="","",ItemData_Consumables!A31)</f>
        <v/>
      </c>
      <c r="B925">
        <f>IF(ItemData_Consumables!A31="","",ItemData_Consumables!B31)</f>
        <v/>
      </c>
    </row>
    <row r="926">
      <c r="A926">
        <f>IF(ItemData_Consumables!A32="","",ItemData_Consumables!A32)</f>
        <v/>
      </c>
      <c r="B926">
        <f>IF(ItemData_Consumables!A32="","",ItemData_Consumables!B32)</f>
        <v/>
      </c>
    </row>
    <row r="927">
      <c r="A927">
        <f>IF(ItemData_Consumables!A33="","",ItemData_Consumables!A33)</f>
        <v/>
      </c>
      <c r="B927">
        <f>IF(ItemData_Consumables!A33="","",ItemData_Consumables!B33)</f>
        <v/>
      </c>
    </row>
    <row r="928">
      <c r="A928">
        <f>IF(ItemData_Consumables!A34="","",ItemData_Consumables!A34)</f>
        <v/>
      </c>
      <c r="B928">
        <f>IF(ItemData_Consumables!A34="","",ItemData_Consumables!B34)</f>
        <v/>
      </c>
    </row>
    <row r="929">
      <c r="A929">
        <f>IF(ItemData_Consumables!A35="","",ItemData_Consumables!A35)</f>
        <v/>
      </c>
      <c r="B929">
        <f>IF(ItemData_Consumables!A35="","",ItemData_Consumables!B35)</f>
        <v/>
      </c>
    </row>
    <row r="930">
      <c r="A930">
        <f>IF(ItemData_Consumables!A36="","",ItemData_Consumables!A36)</f>
        <v/>
      </c>
      <c r="B930">
        <f>IF(ItemData_Consumables!A36="","",ItemData_Consumables!B36)</f>
        <v/>
      </c>
    </row>
    <row r="931">
      <c r="A931">
        <f>IF(ItemData_Consumables!A37="","",ItemData_Consumables!A37)</f>
        <v/>
      </c>
      <c r="B931">
        <f>IF(ItemData_Consumables!A37="","",ItemData_Consumables!B37)</f>
        <v/>
      </c>
    </row>
    <row r="932">
      <c r="A932">
        <f>IF(ItemData_Consumables!A38="","",ItemData_Consumables!A38)</f>
        <v/>
      </c>
      <c r="B932">
        <f>IF(ItemData_Consumables!A38="","",ItemData_Consumables!B38)</f>
        <v/>
      </c>
    </row>
    <row r="933">
      <c r="A933">
        <f>IF(ItemData_Consumables!A39="","",ItemData_Consumables!A39)</f>
        <v/>
      </c>
      <c r="B933">
        <f>IF(ItemData_Consumables!A39="","",ItemData_Consumables!B39)</f>
        <v/>
      </c>
    </row>
    <row r="934">
      <c r="A934">
        <f>IF(ItemData_Consumables!A40="","",ItemData_Consumables!A40)</f>
        <v/>
      </c>
      <c r="B934">
        <f>IF(ItemData_Consumables!A40="","",ItemData_Consumables!B40)</f>
        <v/>
      </c>
    </row>
    <row r="935">
      <c r="A935">
        <f>IF(ItemData_Consumables!A41="","",ItemData_Consumables!A41)</f>
        <v/>
      </c>
      <c r="B935">
        <f>IF(ItemData_Consumables!A41="","",ItemData_Consumables!B41)</f>
        <v/>
      </c>
    </row>
    <row r="936">
      <c r="A936">
        <f>IF(ItemData_Consumables!A42="","",ItemData_Consumables!A42)</f>
        <v/>
      </c>
      <c r="B936">
        <f>IF(ItemData_Consumables!A42="","",ItemData_Consumables!B42)</f>
        <v/>
      </c>
    </row>
    <row r="937">
      <c r="A937">
        <f>IF(ItemData_Consumables!A43="","",ItemData_Consumables!A43)</f>
        <v/>
      </c>
      <c r="B937">
        <f>IF(ItemData_Consumables!A43="","",ItemData_Consumables!B43)</f>
        <v/>
      </c>
    </row>
    <row r="938">
      <c r="A938">
        <f>IF(ItemData_Consumables!A44="","",ItemData_Consumables!A44)</f>
        <v/>
      </c>
      <c r="B938">
        <f>IF(ItemData_Consumables!A44="","",ItemData_Consumables!B44)</f>
        <v/>
      </c>
    </row>
    <row r="939">
      <c r="A939">
        <f>IF(ItemData_Consumables!A45="","",ItemData_Consumables!A45)</f>
        <v/>
      </c>
      <c r="B939">
        <f>IF(ItemData_Consumables!A45="","",ItemData_Consumables!B45)</f>
        <v/>
      </c>
    </row>
    <row r="940">
      <c r="A940">
        <f>IF(ItemData_Consumables!A46="","",ItemData_Consumables!A46)</f>
        <v/>
      </c>
      <c r="B940">
        <f>IF(ItemData_Consumables!A46="","",ItemData_Consumables!B46)</f>
        <v/>
      </c>
    </row>
    <row r="941">
      <c r="A941">
        <f>IF(ItemData_Consumables!A47="","",ItemData_Consumables!A47)</f>
        <v/>
      </c>
      <c r="B941">
        <f>IF(ItemData_Consumables!A47="","",ItemData_Consumables!B47)</f>
        <v/>
      </c>
    </row>
    <row r="942">
      <c r="A942">
        <f>IF(ItemData_Consumables!A48="","",ItemData_Consumables!A48)</f>
        <v/>
      </c>
      <c r="B942">
        <f>IF(ItemData_Consumables!A48="","",ItemData_Consumables!B48)</f>
        <v/>
      </c>
    </row>
    <row r="943">
      <c r="A943">
        <f>IF(ItemData_Consumables!A49="","",ItemData_Consumables!A49)</f>
        <v/>
      </c>
      <c r="B943">
        <f>IF(ItemData_Consumables!A49="","",ItemData_Consumables!B49)</f>
        <v/>
      </c>
    </row>
    <row r="944">
      <c r="A944">
        <f>IF(ItemData_Consumables!A50="","",ItemData_Consumables!A50)</f>
        <v/>
      </c>
      <c r="B944">
        <f>IF(ItemData_Consumables!A50="","",ItemData_Consumables!B50)</f>
        <v/>
      </c>
    </row>
    <row r="945">
      <c r="A945">
        <f>IF(ItemData_Consumables!A51="","",ItemData_Consumables!A51)</f>
        <v/>
      </c>
      <c r="B945">
        <f>IF(ItemData_Consumables!A51="","",ItemData_Consumables!B51)</f>
        <v/>
      </c>
    </row>
    <row r="946">
      <c r="A946">
        <f>IF(ItemData_Consumables!A52="","",ItemData_Consumables!A52)</f>
        <v/>
      </c>
      <c r="B946">
        <f>IF(ItemData_Consumables!A52="","",ItemData_Consumables!B52)</f>
        <v/>
      </c>
    </row>
    <row r="947">
      <c r="A947">
        <f>IF(ItemData_Consumables!A53="","",ItemData_Consumables!A53)</f>
        <v/>
      </c>
      <c r="B947">
        <f>IF(ItemData_Consumables!A53="","",ItemData_Consumables!B53)</f>
        <v/>
      </c>
    </row>
    <row r="948">
      <c r="A948">
        <f>IF(ItemData_Consumables!A54="","",ItemData_Consumables!A54)</f>
        <v/>
      </c>
      <c r="B948">
        <f>IF(ItemData_Consumables!A54="","",ItemData_Consumables!B54)</f>
        <v/>
      </c>
    </row>
    <row r="949">
      <c r="A949">
        <f>IF(ItemData_Consumables!A55="","",ItemData_Consumables!A55)</f>
        <v/>
      </c>
      <c r="B949">
        <f>IF(ItemData_Consumables!A55="","",ItemData_Consumables!B55)</f>
        <v/>
      </c>
    </row>
    <row r="950">
      <c r="A950">
        <f>IF(ItemData_Consumables!A56="","",ItemData_Consumables!A56)</f>
        <v/>
      </c>
      <c r="B950">
        <f>IF(ItemData_Consumables!A56="","",ItemData_Consumables!B56)</f>
        <v/>
      </c>
    </row>
    <row r="951">
      <c r="A951">
        <f>IF(ItemData_Consumables!A57="","",ItemData_Consumables!A57)</f>
        <v/>
      </c>
      <c r="B951">
        <f>IF(ItemData_Consumables!A57="","",ItemData_Consumables!B57)</f>
        <v/>
      </c>
    </row>
    <row r="952">
      <c r="A952">
        <f>IF(ItemData_Consumables!A58="","",ItemData_Consumables!A58)</f>
        <v/>
      </c>
      <c r="B952">
        <f>IF(ItemData_Consumables!A58="","",ItemData_Consumables!B58)</f>
        <v/>
      </c>
    </row>
    <row r="953">
      <c r="A953">
        <f>IF(ItemData_Consumables!A59="","",ItemData_Consumables!A59)</f>
        <v/>
      </c>
      <c r="B953">
        <f>IF(ItemData_Consumables!A59="","",ItemData_Consumables!B59)</f>
        <v/>
      </c>
    </row>
    <row r="954">
      <c r="A954">
        <f>IF(ItemData_Consumables!A60="","",ItemData_Consumables!A60)</f>
        <v/>
      </c>
      <c r="B954">
        <f>IF(ItemData_Consumables!A60="","",ItemData_Consumables!B60)</f>
        <v/>
      </c>
    </row>
    <row r="955">
      <c r="A955">
        <f>IF(ItemData_Consumables!A61="","",ItemData_Consumables!A61)</f>
        <v/>
      </c>
      <c r="B955">
        <f>IF(ItemData_Consumables!A61="","",ItemData_Consumables!B61)</f>
        <v/>
      </c>
    </row>
    <row r="956">
      <c r="A956">
        <f>IF(ItemData_Consumables!A62="","",ItemData_Consumables!A62)</f>
        <v/>
      </c>
      <c r="B956">
        <f>IF(ItemData_Consumables!A62="","",ItemData_Consumables!B62)</f>
        <v/>
      </c>
    </row>
    <row r="957">
      <c r="A957">
        <f>IF(ItemData_Consumables!A63="","",ItemData_Consumables!A63)</f>
        <v/>
      </c>
      <c r="B957">
        <f>IF(ItemData_Consumables!A63="","",ItemData_Consumables!B63)</f>
        <v/>
      </c>
    </row>
    <row r="958">
      <c r="A958">
        <f>IF(ItemData_Consumables!A64="","",ItemData_Consumables!A64)</f>
        <v/>
      </c>
      <c r="B958">
        <f>IF(ItemData_Consumables!A64="","",ItemData_Consumables!B64)</f>
        <v/>
      </c>
    </row>
    <row r="959">
      <c r="A959">
        <f>IF(ItemData_Consumables!A65="","",ItemData_Consumables!A65)</f>
        <v/>
      </c>
      <c r="B959">
        <f>IF(ItemData_Consumables!A65="","",ItemData_Consumables!B65)</f>
        <v/>
      </c>
    </row>
    <row r="960">
      <c r="A960">
        <f>IF(ItemData_Consumables!A66="","",ItemData_Consumables!A66)</f>
        <v/>
      </c>
      <c r="B960">
        <f>IF(ItemData_Consumables!A66="","",ItemData_Consumables!B66)</f>
        <v/>
      </c>
    </row>
    <row r="961">
      <c r="A961">
        <f>IF(ItemData_Consumables!A67="","",ItemData_Consumables!A67)</f>
        <v/>
      </c>
      <c r="B961">
        <f>IF(ItemData_Consumables!A67="","",ItemData_Consumables!B67)</f>
        <v/>
      </c>
    </row>
    <row r="962">
      <c r="A962">
        <f>IF(ItemData_Consumables!A68="","",ItemData_Consumables!A68)</f>
        <v/>
      </c>
      <c r="B962">
        <f>IF(ItemData_Consumables!A68="","",ItemData_Consumables!B68)</f>
        <v/>
      </c>
    </row>
    <row r="963">
      <c r="A963">
        <f>IF(ItemData_Consumables!A69="","",ItemData_Consumables!A69)</f>
        <v/>
      </c>
      <c r="B963">
        <f>IF(ItemData_Consumables!A69="","",ItemData_Consumables!B69)</f>
        <v/>
      </c>
    </row>
    <row r="964">
      <c r="A964">
        <f>IF(ItemData_Consumables!A70="","",ItemData_Consumables!A70)</f>
        <v/>
      </c>
      <c r="B964">
        <f>IF(ItemData_Consumables!A70="","",ItemData_Consumables!B70)</f>
        <v/>
      </c>
    </row>
    <row r="965">
      <c r="A965">
        <f>IF(ItemData_Consumables!A71="","",ItemData_Consumables!A71)</f>
        <v/>
      </c>
      <c r="B965">
        <f>IF(ItemData_Consumables!A71="","",ItemData_Consumables!B71)</f>
        <v/>
      </c>
    </row>
    <row r="966">
      <c r="A966">
        <f>IF(ItemData_Consumables!A72="","",ItemData_Consumables!A72)</f>
        <v/>
      </c>
      <c r="B966">
        <f>IF(ItemData_Consumables!A72="","",ItemData_Consumables!B72)</f>
        <v/>
      </c>
    </row>
    <row r="967">
      <c r="A967">
        <f>IF(ItemData_Consumables!A73="","",ItemData_Consumables!A73)</f>
        <v/>
      </c>
      <c r="B967">
        <f>IF(ItemData_Consumables!A73="","",ItemData_Consumables!B73)</f>
        <v/>
      </c>
    </row>
    <row r="968">
      <c r="A968">
        <f>IF(ItemData_Consumables!A74="","",ItemData_Consumables!A74)</f>
        <v/>
      </c>
      <c r="B968">
        <f>IF(ItemData_Consumables!A74="","",ItemData_Consumables!B74)</f>
        <v/>
      </c>
    </row>
    <row r="969">
      <c r="A969">
        <f>IF(ItemData_Consumables!A75="","",ItemData_Consumables!A75)</f>
        <v/>
      </c>
      <c r="B969">
        <f>IF(ItemData_Consumables!A75="","",ItemData_Consumables!B75)</f>
        <v/>
      </c>
    </row>
    <row r="970">
      <c r="A970">
        <f>IF(ItemData_Consumables!A76="","",ItemData_Consumables!A76)</f>
        <v/>
      </c>
      <c r="B970">
        <f>IF(ItemData_Consumables!A76="","",ItemData_Consumables!B76)</f>
        <v/>
      </c>
    </row>
    <row r="971">
      <c r="A971">
        <f>IF(ItemData_Consumables!A77="","",ItemData_Consumables!A77)</f>
        <v/>
      </c>
      <c r="B971">
        <f>IF(ItemData_Consumables!A77="","",ItemData_Consumables!B77)</f>
        <v/>
      </c>
    </row>
    <row r="972">
      <c r="A972">
        <f>IF(ItemData_Consumables!A78="","",ItemData_Consumables!A78)</f>
        <v/>
      </c>
      <c r="B972">
        <f>IF(ItemData_Consumables!A78="","",ItemData_Consumables!B78)</f>
        <v/>
      </c>
    </row>
    <row r="973">
      <c r="A973">
        <f>IF(ItemData_Consumables!A79="","",ItemData_Consumables!A79)</f>
        <v/>
      </c>
      <c r="B973">
        <f>IF(ItemData_Consumables!A79="","",ItemData_Consumables!B79)</f>
        <v/>
      </c>
    </row>
    <row r="974">
      <c r="A974">
        <f>IF(ItemData_Consumables!A80="","",ItemData_Consumables!A80)</f>
        <v/>
      </c>
      <c r="B974">
        <f>IF(ItemData_Consumables!A80="","",ItemData_Consumables!B80)</f>
        <v/>
      </c>
    </row>
    <row r="975">
      <c r="A975">
        <f>IF(ItemData_Consumables!A81="","",ItemData_Consumables!A81)</f>
        <v/>
      </c>
      <c r="B975">
        <f>IF(ItemData_Consumables!A81="","",ItemData_Consumables!B81)</f>
        <v/>
      </c>
    </row>
    <row r="976">
      <c r="A976">
        <f>IF(ItemData_Consumables!A82="","",ItemData_Consumables!A82)</f>
        <v/>
      </c>
      <c r="B976">
        <f>IF(ItemData_Consumables!A82="","",ItemData_Consumables!B82)</f>
        <v/>
      </c>
    </row>
    <row r="977">
      <c r="A977">
        <f>IF(ItemData_Consumables!A83="","",ItemData_Consumables!A83)</f>
        <v/>
      </c>
      <c r="B977">
        <f>IF(ItemData_Consumables!A83="","",ItemData_Consumables!B83)</f>
        <v/>
      </c>
    </row>
    <row r="978">
      <c r="A978">
        <f>IF(ItemData_Consumables!A84="","",ItemData_Consumables!A84)</f>
        <v/>
      </c>
      <c r="B978">
        <f>IF(ItemData_Consumables!A84="","",ItemData_Consumables!B84)</f>
        <v/>
      </c>
    </row>
    <row r="979">
      <c r="A979">
        <f>IF(ItemData_Consumables!A85="","",ItemData_Consumables!A85)</f>
        <v/>
      </c>
      <c r="B979">
        <f>IF(ItemData_Consumables!A85="","",ItemData_Consumables!B85)</f>
        <v/>
      </c>
    </row>
    <row r="980">
      <c r="A980">
        <f>IF(ItemData_Consumables!A86="","",ItemData_Consumables!A86)</f>
        <v/>
      </c>
      <c r="B980">
        <f>IF(ItemData_Consumables!A86="","",ItemData_Consumables!B86)</f>
        <v/>
      </c>
    </row>
    <row r="981">
      <c r="A981">
        <f>IF(ItemData_Consumables!A87="","",ItemData_Consumables!A87)</f>
        <v/>
      </c>
      <c r="B981">
        <f>IF(ItemData_Consumables!A87="","",ItemData_Consumables!B87)</f>
        <v/>
      </c>
    </row>
    <row r="982">
      <c r="A982">
        <f>IF(ItemData_Consumables!A88="","",ItemData_Consumables!A88)</f>
        <v/>
      </c>
      <c r="B982">
        <f>IF(ItemData_Consumables!A88="","",ItemData_Consumables!B88)</f>
        <v/>
      </c>
    </row>
    <row r="983">
      <c r="A983">
        <f>IF(ItemData_Consumables!A89="","",ItemData_Consumables!A89)</f>
        <v/>
      </c>
      <c r="B983">
        <f>IF(ItemData_Consumables!A89="","",ItemData_Consumables!B89)</f>
        <v/>
      </c>
    </row>
    <row r="984">
      <c r="A984">
        <f>IF(ItemData_Consumables!A90="","",ItemData_Consumables!A90)</f>
        <v/>
      </c>
      <c r="B984">
        <f>IF(ItemData_Consumables!A90="","",ItemData_Consumables!B90)</f>
        <v/>
      </c>
    </row>
    <row r="985">
      <c r="A985">
        <f>IF(ItemData_Consumables!A91="","",ItemData_Consumables!A91)</f>
        <v/>
      </c>
      <c r="B985">
        <f>IF(ItemData_Consumables!A91="","",ItemData_Consumables!B91)</f>
        <v/>
      </c>
    </row>
    <row r="986">
      <c r="A986">
        <f>IF(ItemData_Consumables!A92="","",ItemData_Consumables!A92)</f>
        <v/>
      </c>
      <c r="B986">
        <f>IF(ItemData_Consumables!A92="","",ItemData_Consumables!B92)</f>
        <v/>
      </c>
    </row>
    <row r="987">
      <c r="A987">
        <f>IF(ItemData_Consumables!A93="","",ItemData_Consumables!A93)</f>
        <v/>
      </c>
      <c r="B987">
        <f>IF(ItemData_Consumables!A93="","",ItemData_Consumables!B93)</f>
        <v/>
      </c>
    </row>
    <row r="988">
      <c r="A988">
        <f>IF(ItemData_Consumables!A94="","",ItemData_Consumables!A94)</f>
        <v/>
      </c>
      <c r="B988">
        <f>IF(ItemData_Consumables!A94="","",ItemData_Consumables!B94)</f>
        <v/>
      </c>
    </row>
    <row r="989">
      <c r="A989">
        <f>IF(ItemData_Consumables!A95="","",ItemData_Consumables!A95)</f>
        <v/>
      </c>
      <c r="B989">
        <f>IF(ItemData_Consumables!A95="","",ItemData_Consumables!B95)</f>
        <v/>
      </c>
    </row>
    <row r="990">
      <c r="A990">
        <f>IF(ItemData_Consumables!A96="","",ItemData_Consumables!A96)</f>
        <v/>
      </c>
      <c r="B990">
        <f>IF(ItemData_Consumables!A96="","",ItemData_Consumables!B96)</f>
        <v/>
      </c>
    </row>
    <row r="991">
      <c r="A991">
        <f>IF(ItemData_Consumables!A97="","",ItemData_Consumables!A97)</f>
        <v/>
      </c>
      <c r="B991">
        <f>IF(ItemData_Consumables!A97="","",ItemData_Consumables!B97)</f>
        <v/>
      </c>
    </row>
    <row r="992">
      <c r="A992">
        <f>IF(ItemData_Consumables!A98="","",ItemData_Consumables!A98)</f>
        <v/>
      </c>
      <c r="B992">
        <f>IF(ItemData_Consumables!A98="","",ItemData_Consumables!B98)</f>
        <v/>
      </c>
    </row>
    <row r="993">
      <c r="A993">
        <f>IF(ItemData_Consumables!A99="","",ItemData_Consumables!A99)</f>
        <v/>
      </c>
      <c r="B993">
        <f>IF(ItemData_Consumables!A99="","",ItemData_Consumables!B99)</f>
        <v/>
      </c>
    </row>
    <row r="994">
      <c r="A994">
        <f>IF(ItemData_Consumables!A100="","",ItemData_Consumables!A100)</f>
        <v/>
      </c>
      <c r="B994">
        <f>IF(ItemData_Consumables!A100="","",ItemData_Consumables!B100)</f>
        <v/>
      </c>
    </row>
    <row r="995">
      <c r="A995">
        <f>IF(ItemData_Consumables!A101="","",ItemData_Consumables!A101)</f>
        <v/>
      </c>
      <c r="B995">
        <f>IF(ItemData_Consumables!A101="","",ItemData_Consumables!B101)</f>
        <v/>
      </c>
    </row>
    <row r="996">
      <c r="A996">
        <f>IF(ItemData_Consumables!A102="","",ItemData_Consumables!A102)</f>
        <v/>
      </c>
      <c r="B996">
        <f>IF(ItemData_Consumables!A102="","",ItemData_Consumables!B102)</f>
        <v/>
      </c>
    </row>
    <row r="997">
      <c r="A997">
        <f>IF(ItemData_Consumables!A103="","",ItemData_Consumables!A103)</f>
        <v/>
      </c>
      <c r="B997">
        <f>IF(ItemData_Consumables!A103="","",ItemData_Consumables!B103)</f>
        <v/>
      </c>
    </row>
    <row r="998">
      <c r="A998">
        <f>IF(ItemData_Consumables!A104="","",ItemData_Consumables!A104)</f>
        <v/>
      </c>
      <c r="B998">
        <f>IF(ItemData_Consumables!A104="","",ItemData_Consumables!B104)</f>
        <v/>
      </c>
    </row>
    <row r="999">
      <c r="A999">
        <f>IF(ItemData_Consumables!A105="","",ItemData_Consumables!A105)</f>
        <v/>
      </c>
      <c r="B999">
        <f>IF(ItemData_Consumables!A105="","",ItemData_Consumables!B105)</f>
        <v/>
      </c>
    </row>
    <row r="1000">
      <c r="A1000">
        <f>IF(ItemData_Consumables!A106="","",ItemData_Consumables!A106)</f>
        <v/>
      </c>
      <c r="B1000">
        <f>IF(ItemData_Consumables!A106="","",ItemData_Consumables!B106)</f>
        <v/>
      </c>
    </row>
    <row r="1001">
      <c r="A1001">
        <f>IF(ItemData_Consumables!A107="","",ItemData_Consumables!A107)</f>
        <v/>
      </c>
      <c r="B1001">
        <f>IF(ItemData_Consumables!A107="","",ItemData_Consumables!B107)</f>
        <v/>
      </c>
    </row>
    <row r="1002">
      <c r="A1002">
        <f>IF(ItemData_Consumables!A108="","",ItemData_Consumables!A108)</f>
        <v/>
      </c>
      <c r="B1002">
        <f>IF(ItemData_Consumables!A108="","",ItemData_Consumables!B108)</f>
        <v/>
      </c>
    </row>
    <row r="1003">
      <c r="A1003">
        <f>IF(ItemData_Consumables!A109="","",ItemData_Consumables!A109)</f>
        <v/>
      </c>
      <c r="B1003">
        <f>IF(ItemData_Consumables!A109="","",ItemData_Consumables!B109)</f>
        <v/>
      </c>
    </row>
    <row r="1004">
      <c r="A1004">
        <f>IF(ItemData_Consumables!A110="","",ItemData_Consumables!A110)</f>
        <v/>
      </c>
      <c r="B1004">
        <f>IF(ItemData_Consumables!A110="","",ItemData_Consumables!B110)</f>
        <v/>
      </c>
    </row>
    <row r="1005">
      <c r="A1005">
        <f>IF(ItemData_Consumables!A111="","",ItemData_Consumables!A111)</f>
        <v/>
      </c>
      <c r="B1005">
        <f>IF(ItemData_Consumables!A111="","",ItemData_Consumables!B111)</f>
        <v/>
      </c>
    </row>
    <row r="1006">
      <c r="A1006">
        <f>IF(ItemData_Consumables!A112="","",ItemData_Consumables!A112)</f>
        <v/>
      </c>
      <c r="B1006">
        <f>IF(ItemData_Consumables!A112="","",ItemData_Consumables!B112)</f>
        <v/>
      </c>
    </row>
    <row r="1007">
      <c r="A1007">
        <f>IF(ItemData_Consumables!A113="","",ItemData_Consumables!A113)</f>
        <v/>
      </c>
      <c r="B1007">
        <f>IF(ItemData_Consumables!A113="","",ItemData_Consumables!B113)</f>
        <v/>
      </c>
    </row>
    <row r="1008">
      <c r="A1008">
        <f>IF(ItemData_Consumables!A114="","",ItemData_Consumables!A114)</f>
        <v/>
      </c>
      <c r="B1008">
        <f>IF(ItemData_Consumables!A114="","",ItemData_Consumables!B114)</f>
        <v/>
      </c>
    </row>
    <row r="1009">
      <c r="A1009">
        <f>IF(ItemData_Consumables!A115="","",ItemData_Consumables!A115)</f>
        <v/>
      </c>
      <c r="B1009">
        <f>IF(ItemData_Consumables!A115="","",ItemData_Consumables!B115)</f>
        <v/>
      </c>
    </row>
    <row r="1010">
      <c r="A1010">
        <f>IF(ItemData_Consumables!A116="","",ItemData_Consumables!A116)</f>
        <v/>
      </c>
      <c r="B1010">
        <f>IF(ItemData_Consumables!A116="","",ItemData_Consumables!B116)</f>
        <v/>
      </c>
    </row>
    <row r="1011">
      <c r="A1011">
        <f>IF(ItemData_Consumables!A117="","",ItemData_Consumables!A117)</f>
        <v/>
      </c>
      <c r="B1011">
        <f>IF(ItemData_Consumables!A117="","",ItemData_Consumables!B117)</f>
        <v/>
      </c>
    </row>
    <row r="1012">
      <c r="A1012">
        <f>IF(ItemData_Consumables!A118="","",ItemData_Consumables!A118)</f>
        <v/>
      </c>
      <c r="B1012">
        <f>IF(ItemData_Consumables!A118="","",ItemData_Consumables!B118)</f>
        <v/>
      </c>
    </row>
    <row r="1013">
      <c r="A1013">
        <f>IF(ItemData_Consumables!A119="","",ItemData_Consumables!A119)</f>
        <v/>
      </c>
      <c r="B1013">
        <f>IF(ItemData_Consumables!A119="","",ItemData_Consumables!B119)</f>
        <v/>
      </c>
    </row>
    <row r="1014">
      <c r="A1014">
        <f>IF(ItemData_Consumables!A120="","",ItemData_Consumables!A120)</f>
        <v/>
      </c>
      <c r="B1014">
        <f>IF(ItemData_Consumables!A120="","",ItemData_Consumables!B120)</f>
        <v/>
      </c>
    </row>
    <row r="1015">
      <c r="A1015">
        <f>IF(ItemData_Consumables!A121="","",ItemData_Consumables!A121)</f>
        <v/>
      </c>
      <c r="B1015">
        <f>IF(ItemData_Consumables!A121="","",ItemData_Consumables!B121)</f>
        <v/>
      </c>
    </row>
    <row r="1016">
      <c r="A1016">
        <f>IF(ItemData_Consumables!A122="","",ItemData_Consumables!A122)</f>
        <v/>
      </c>
      <c r="B1016">
        <f>IF(ItemData_Consumables!A122="","",ItemData_Consumables!B122)</f>
        <v/>
      </c>
    </row>
    <row r="1017">
      <c r="A1017">
        <f>IF(ItemData_Consumables!A123="","",ItemData_Consumables!A123)</f>
        <v/>
      </c>
      <c r="B1017">
        <f>IF(ItemData_Consumables!A123="","",ItemData_Consumables!B123)</f>
        <v/>
      </c>
    </row>
    <row r="1018">
      <c r="A1018">
        <f>IF(ItemData_Consumables!A124="","",ItemData_Consumables!A124)</f>
        <v/>
      </c>
      <c r="B1018">
        <f>IF(ItemData_Consumables!A124="","",ItemData_Consumables!B124)</f>
        <v/>
      </c>
    </row>
    <row r="1019">
      <c r="A1019">
        <f>IF(ItemData_Consumables!A125="","",ItemData_Consumables!A125)</f>
        <v/>
      </c>
      <c r="B1019">
        <f>IF(ItemData_Consumables!A125="","",ItemData_Consumables!B125)</f>
        <v/>
      </c>
    </row>
    <row r="1020">
      <c r="A1020">
        <f>IF(ItemData_Consumables!A126="","",ItemData_Consumables!A126)</f>
        <v/>
      </c>
      <c r="B1020">
        <f>IF(ItemData_Consumables!A126="","",ItemData_Consumables!B126)</f>
        <v/>
      </c>
    </row>
    <row r="1021">
      <c r="A1021">
        <f>IF(ItemData_Consumables!A127="","",ItemData_Consumables!A127)</f>
        <v/>
      </c>
      <c r="B1021">
        <f>IF(ItemData_Consumables!A127="","",ItemData_Consumables!B127)</f>
        <v/>
      </c>
    </row>
    <row r="1022">
      <c r="A1022">
        <f>IF(ItemData_Consumables!A128="","",ItemData_Consumables!A128)</f>
        <v/>
      </c>
      <c r="B1022">
        <f>IF(ItemData_Consumables!A128="","",ItemData_Consumables!B128)</f>
        <v/>
      </c>
    </row>
    <row r="1023">
      <c r="A1023">
        <f>IF(ItemData_Consumables!A129="","",ItemData_Consumables!A129)</f>
        <v/>
      </c>
      <c r="B1023">
        <f>IF(ItemData_Consumables!A129="","",ItemData_Consumables!B129)</f>
        <v/>
      </c>
    </row>
    <row r="1024">
      <c r="A1024">
        <f>IF(ItemData_Consumables!A130="","",ItemData_Consumables!A130)</f>
        <v/>
      </c>
      <c r="B1024">
        <f>IF(ItemData_Consumables!A130="","",ItemData_Consumables!B130)</f>
        <v/>
      </c>
    </row>
    <row r="1025">
      <c r="A1025">
        <f>IF(ItemData_Consumables!A131="","",ItemData_Consumables!A131)</f>
        <v/>
      </c>
      <c r="B1025">
        <f>IF(ItemData_Consumables!A131="","",ItemData_Consumables!B131)</f>
        <v/>
      </c>
    </row>
    <row r="1026">
      <c r="A1026">
        <f>IF(ItemData_Consumables!A132="","",ItemData_Consumables!A132)</f>
        <v/>
      </c>
      <c r="B1026">
        <f>IF(ItemData_Consumables!A132="","",ItemData_Consumables!B132)</f>
        <v/>
      </c>
    </row>
    <row r="1027">
      <c r="A1027">
        <f>IF(ItemData_Consumables!A133="","",ItemData_Consumables!A133)</f>
        <v/>
      </c>
      <c r="B1027">
        <f>IF(ItemData_Consumables!A133="","",ItemData_Consumables!B133)</f>
        <v/>
      </c>
    </row>
    <row r="1028">
      <c r="A1028">
        <f>IF(ItemData_Consumables!A134="","",ItemData_Consumables!A134)</f>
        <v/>
      </c>
      <c r="B1028">
        <f>IF(ItemData_Consumables!A134="","",ItemData_Consumables!B134)</f>
        <v/>
      </c>
    </row>
    <row r="1029">
      <c r="A1029">
        <f>IF(ItemData_Consumables!A135="","",ItemData_Consumables!A135)</f>
        <v/>
      </c>
      <c r="B1029">
        <f>IF(ItemData_Consumables!A135="","",ItemData_Consumables!B135)</f>
        <v/>
      </c>
    </row>
    <row r="1030">
      <c r="A1030">
        <f>IF(ItemData_Consumables!A136="","",ItemData_Consumables!A136)</f>
        <v/>
      </c>
      <c r="B1030">
        <f>IF(ItemData_Consumables!A136="","",ItemData_Consumables!B136)</f>
        <v/>
      </c>
    </row>
    <row r="1031">
      <c r="A1031">
        <f>IF(ItemData_Consumables!A137="","",ItemData_Consumables!A137)</f>
        <v/>
      </c>
      <c r="B1031">
        <f>IF(ItemData_Consumables!A137="","",ItemData_Consumables!B137)</f>
        <v/>
      </c>
    </row>
    <row r="1032">
      <c r="A1032">
        <f>IF(ItemData_Consumables!A138="","",ItemData_Consumables!A138)</f>
        <v/>
      </c>
      <c r="B1032">
        <f>IF(ItemData_Consumables!A138="","",ItemData_Consumables!B138)</f>
        <v/>
      </c>
    </row>
    <row r="1033">
      <c r="A1033">
        <f>IF(ItemData_Consumables!A139="","",ItemData_Consumables!A139)</f>
        <v/>
      </c>
      <c r="B1033">
        <f>IF(ItemData_Consumables!A139="","",ItemData_Consumables!B139)</f>
        <v/>
      </c>
    </row>
    <row r="1034">
      <c r="A1034">
        <f>IF(ItemData_Consumables!A140="","",ItemData_Consumables!A140)</f>
        <v/>
      </c>
      <c r="B1034">
        <f>IF(ItemData_Consumables!A140="","",ItemData_Consumables!B140)</f>
        <v/>
      </c>
    </row>
    <row r="1035">
      <c r="A1035">
        <f>IF(ItemData_Consumables!A141="","",ItemData_Consumables!A141)</f>
        <v/>
      </c>
      <c r="B1035">
        <f>IF(ItemData_Consumables!A141="","",ItemData_Consumables!B141)</f>
        <v/>
      </c>
    </row>
    <row r="1036">
      <c r="A1036">
        <f>IF(ItemData_Consumables!A142="","",ItemData_Consumables!A142)</f>
        <v/>
      </c>
      <c r="B1036">
        <f>IF(ItemData_Consumables!A142="","",ItemData_Consumables!B142)</f>
        <v/>
      </c>
    </row>
    <row r="1037">
      <c r="A1037">
        <f>IF(ItemData_Consumables!A143="","",ItemData_Consumables!A143)</f>
        <v/>
      </c>
      <c r="B1037">
        <f>IF(ItemData_Consumables!A143="","",ItemData_Consumables!B143)</f>
        <v/>
      </c>
    </row>
    <row r="1038">
      <c r="A1038">
        <f>IF(ItemData_Consumables!A144="","",ItemData_Consumables!A144)</f>
        <v/>
      </c>
      <c r="B1038">
        <f>IF(ItemData_Consumables!A144="","",ItemData_Consumables!B144)</f>
        <v/>
      </c>
    </row>
    <row r="1039">
      <c r="A1039">
        <f>IF(ItemData_Consumables!A145="","",ItemData_Consumables!A145)</f>
        <v/>
      </c>
      <c r="B1039">
        <f>IF(ItemData_Consumables!A145="","",ItemData_Consumables!B145)</f>
        <v/>
      </c>
    </row>
    <row r="1040">
      <c r="A1040">
        <f>IF(ItemData_Consumables!A146="","",ItemData_Consumables!A146)</f>
        <v/>
      </c>
      <c r="B1040">
        <f>IF(ItemData_Consumables!A146="","",ItemData_Consumables!B146)</f>
        <v/>
      </c>
    </row>
    <row r="1041">
      <c r="A1041">
        <f>IF(ItemData_Consumables!A147="","",ItemData_Consumables!A147)</f>
        <v/>
      </c>
      <c r="B1041">
        <f>IF(ItemData_Consumables!A147="","",ItemData_Consumables!B147)</f>
        <v/>
      </c>
    </row>
    <row r="1042">
      <c r="A1042">
        <f>IF(ItemData_Consumables!A148="","",ItemData_Consumables!A148)</f>
        <v/>
      </c>
      <c r="B1042">
        <f>IF(ItemData_Consumables!A148="","",ItemData_Consumables!B148)</f>
        <v/>
      </c>
    </row>
    <row r="1043">
      <c r="A1043">
        <f>IF(ItemData_Consumables!A149="","",ItemData_Consumables!A149)</f>
        <v/>
      </c>
      <c r="B1043">
        <f>IF(ItemData_Consumables!A149="","",ItemData_Consumables!B149)</f>
        <v/>
      </c>
    </row>
    <row r="1044">
      <c r="A1044">
        <f>IF(ItemData_Consumables!A150="","",ItemData_Consumables!A150)</f>
        <v/>
      </c>
      <c r="B1044">
        <f>IF(ItemData_Consumables!A150="","",ItemData_Consumables!B150)</f>
        <v/>
      </c>
    </row>
    <row r="1045">
      <c r="A1045">
        <f>IF(ItemData_Consumables!A151="","",ItemData_Consumables!A151)</f>
        <v/>
      </c>
      <c r="B1045">
        <f>IF(ItemData_Consumables!A151="","",ItemData_Consumables!B151)</f>
        <v/>
      </c>
    </row>
    <row r="1046">
      <c r="A1046">
        <f>IF(ItemData_Consumables!A152="","",ItemData_Consumables!A152)</f>
        <v/>
      </c>
      <c r="B1046">
        <f>IF(ItemData_Consumables!A152="","",ItemData_Consumables!B152)</f>
        <v/>
      </c>
    </row>
    <row r="1047">
      <c r="A1047">
        <f>IF(ItemData_Consumables!A153="","",ItemData_Consumables!A153)</f>
        <v/>
      </c>
      <c r="B1047">
        <f>IF(ItemData_Consumables!A153="","",ItemData_Consumables!B153)</f>
        <v/>
      </c>
    </row>
    <row r="1048">
      <c r="A1048">
        <f>IF(ItemData_Consumables!A154="","",ItemData_Consumables!A154)</f>
        <v/>
      </c>
      <c r="B1048">
        <f>IF(ItemData_Consumables!A154="","",ItemData_Consumables!B154)</f>
        <v/>
      </c>
    </row>
    <row r="1049">
      <c r="A1049">
        <f>IF(ItemData_Consumables!A155="","",ItemData_Consumables!A155)</f>
        <v/>
      </c>
      <c r="B1049">
        <f>IF(ItemData_Consumables!A155="","",ItemData_Consumables!B155)</f>
        <v/>
      </c>
    </row>
    <row r="1050">
      <c r="A1050">
        <f>IF(ItemData_Consumables!A156="","",ItemData_Consumables!A156)</f>
        <v/>
      </c>
      <c r="B1050">
        <f>IF(ItemData_Consumables!A156="","",ItemData_Consumables!B156)</f>
        <v/>
      </c>
    </row>
    <row r="1051">
      <c r="A1051">
        <f>IF(ItemData_Consumables!A157="","",ItemData_Consumables!A157)</f>
        <v/>
      </c>
      <c r="B1051">
        <f>IF(ItemData_Consumables!A157="","",ItemData_Consumables!B157)</f>
        <v/>
      </c>
    </row>
    <row r="1052">
      <c r="A1052">
        <f>IF(ItemData_Consumables!A158="","",ItemData_Consumables!A158)</f>
        <v/>
      </c>
      <c r="B1052">
        <f>IF(ItemData_Consumables!A158="","",ItemData_Consumables!B158)</f>
        <v/>
      </c>
    </row>
    <row r="1053">
      <c r="A1053">
        <f>IF(ItemData_Consumables!A159="","",ItemData_Consumables!A159)</f>
        <v/>
      </c>
      <c r="B1053">
        <f>IF(ItemData_Consumables!A159="","",ItemData_Consumables!B159)</f>
        <v/>
      </c>
    </row>
    <row r="1054">
      <c r="A1054">
        <f>IF(ItemData_Consumables!A160="","",ItemData_Consumables!A160)</f>
        <v/>
      </c>
      <c r="B1054">
        <f>IF(ItemData_Consumables!A160="","",ItemData_Consumables!B160)</f>
        <v/>
      </c>
    </row>
    <row r="1055">
      <c r="A1055">
        <f>IF(ItemData_Consumables!A161="","",ItemData_Consumables!A161)</f>
        <v/>
      </c>
      <c r="B1055">
        <f>IF(ItemData_Consumables!A161="","",ItemData_Consumables!B161)</f>
        <v/>
      </c>
    </row>
    <row r="1056">
      <c r="A1056">
        <f>IF(ItemData_Consumables!A162="","",ItemData_Consumables!A162)</f>
        <v/>
      </c>
      <c r="B1056">
        <f>IF(ItemData_Consumables!A162="","",ItemData_Consumables!B162)</f>
        <v/>
      </c>
    </row>
    <row r="1057">
      <c r="A1057">
        <f>IF(ItemData_Consumables!A163="","",ItemData_Consumables!A163)</f>
        <v/>
      </c>
      <c r="B1057">
        <f>IF(ItemData_Consumables!A163="","",ItemData_Consumables!B163)</f>
        <v/>
      </c>
    </row>
    <row r="1058">
      <c r="A1058">
        <f>IF(ItemData_Consumables!A164="","",ItemData_Consumables!A164)</f>
        <v/>
      </c>
      <c r="B1058">
        <f>IF(ItemData_Consumables!A164="","",ItemData_Consumables!B164)</f>
        <v/>
      </c>
    </row>
    <row r="1059">
      <c r="A1059">
        <f>IF(ItemData_Consumables!A165="","",ItemData_Consumables!A165)</f>
        <v/>
      </c>
      <c r="B1059">
        <f>IF(ItemData_Consumables!A165="","",ItemData_Consumables!B165)</f>
        <v/>
      </c>
    </row>
    <row r="1060">
      <c r="A1060">
        <f>IF(ItemData_Consumables!A166="","",ItemData_Consumables!A166)</f>
        <v/>
      </c>
      <c r="B1060">
        <f>IF(ItemData_Consumables!A166="","",ItemData_Consumables!B166)</f>
        <v/>
      </c>
    </row>
    <row r="1061">
      <c r="A1061">
        <f>IF(ItemData_Consumables!A167="","",ItemData_Consumables!A167)</f>
        <v/>
      </c>
      <c r="B1061">
        <f>IF(ItemData_Consumables!A167="","",ItemData_Consumables!B167)</f>
        <v/>
      </c>
    </row>
    <row r="1062">
      <c r="A1062">
        <f>IF(ItemData_Consumables!A168="","",ItemData_Consumables!A168)</f>
        <v/>
      </c>
      <c r="B1062">
        <f>IF(ItemData_Consumables!A168="","",ItemData_Consumables!B168)</f>
        <v/>
      </c>
    </row>
    <row r="1063">
      <c r="A1063">
        <f>IF(ItemData_Consumables!A169="","",ItemData_Consumables!A169)</f>
        <v/>
      </c>
      <c r="B1063">
        <f>IF(ItemData_Consumables!A169="","",ItemData_Consumables!B169)</f>
        <v/>
      </c>
    </row>
    <row r="1064">
      <c r="A1064">
        <f>IF(ItemData_Consumables!A170="","",ItemData_Consumables!A170)</f>
        <v/>
      </c>
      <c r="B1064">
        <f>IF(ItemData_Consumables!A170="","",ItemData_Consumables!B170)</f>
        <v/>
      </c>
    </row>
    <row r="1065">
      <c r="A1065">
        <f>IF(ItemData_Consumables!A171="","",ItemData_Consumables!A171)</f>
        <v/>
      </c>
      <c r="B1065">
        <f>IF(ItemData_Consumables!A171="","",ItemData_Consumables!B171)</f>
        <v/>
      </c>
    </row>
    <row r="1066">
      <c r="A1066">
        <f>IF(ItemData_Consumables!A172="","",ItemData_Consumables!A172)</f>
        <v/>
      </c>
      <c r="B1066">
        <f>IF(ItemData_Consumables!A172="","",ItemData_Consumables!B172)</f>
        <v/>
      </c>
    </row>
    <row r="1067">
      <c r="A1067">
        <f>IF(ItemData_Consumables!A173="","",ItemData_Consumables!A173)</f>
        <v/>
      </c>
      <c r="B1067">
        <f>IF(ItemData_Consumables!A173="","",ItemData_Consumables!B173)</f>
        <v/>
      </c>
    </row>
    <row r="1068">
      <c r="A1068">
        <f>IF(ItemData_Consumables!A174="","",ItemData_Consumables!A174)</f>
        <v/>
      </c>
      <c r="B1068">
        <f>IF(ItemData_Consumables!A174="","",ItemData_Consumables!B174)</f>
        <v/>
      </c>
    </row>
    <row r="1069">
      <c r="A1069">
        <f>IF(ItemData_Consumables!A175="","",ItemData_Consumables!A175)</f>
        <v/>
      </c>
      <c r="B1069">
        <f>IF(ItemData_Consumables!A175="","",ItemData_Consumables!B175)</f>
        <v/>
      </c>
    </row>
    <row r="1070">
      <c r="A1070">
        <f>IF(ItemData_Consumables!A176="","",ItemData_Consumables!A176)</f>
        <v/>
      </c>
      <c r="B1070">
        <f>IF(ItemData_Consumables!A176="","",ItemData_Consumables!B176)</f>
        <v/>
      </c>
    </row>
    <row r="1071">
      <c r="A1071">
        <f>IF(ItemData_Consumables!A177="","",ItemData_Consumables!A177)</f>
        <v/>
      </c>
      <c r="B1071">
        <f>IF(ItemData_Consumables!A177="","",ItemData_Consumables!B177)</f>
        <v/>
      </c>
    </row>
    <row r="1072">
      <c r="A1072">
        <f>IF(ItemData_Consumables!A178="","",ItemData_Consumables!A178)</f>
        <v/>
      </c>
      <c r="B1072">
        <f>IF(ItemData_Consumables!A178="","",ItemData_Consumables!B178)</f>
        <v/>
      </c>
    </row>
    <row r="1073">
      <c r="A1073">
        <f>IF(ItemData_Consumables!A179="","",ItemData_Consumables!A179)</f>
        <v/>
      </c>
      <c r="B1073">
        <f>IF(ItemData_Consumables!A179="","",ItemData_Consumables!B179)</f>
        <v/>
      </c>
    </row>
    <row r="1074">
      <c r="A1074">
        <f>IF(ItemData_Consumables!A180="","",ItemData_Consumables!A180)</f>
        <v/>
      </c>
      <c r="B1074">
        <f>IF(ItemData_Consumables!A180="","",ItemData_Consumables!B180)</f>
        <v/>
      </c>
    </row>
    <row r="1075">
      <c r="A1075">
        <f>IF(ItemData_Consumables!A181="","",ItemData_Consumables!A181)</f>
        <v/>
      </c>
      <c r="B1075">
        <f>IF(ItemData_Consumables!A181="","",ItemData_Consumables!B181)</f>
        <v/>
      </c>
    </row>
    <row r="1076">
      <c r="A1076">
        <f>IF(ItemData_Consumables!A182="","",ItemData_Consumables!A182)</f>
        <v/>
      </c>
      <c r="B1076">
        <f>IF(ItemData_Consumables!A182="","",ItemData_Consumables!B182)</f>
        <v/>
      </c>
    </row>
    <row r="1077">
      <c r="A1077">
        <f>IF(ItemData_Consumables!A183="","",ItemData_Consumables!A183)</f>
        <v/>
      </c>
      <c r="B1077">
        <f>IF(ItemData_Consumables!A183="","",ItemData_Consumables!B183)</f>
        <v/>
      </c>
    </row>
    <row r="1078">
      <c r="A1078">
        <f>IF(ItemData_Consumables!A184="","",ItemData_Consumables!A184)</f>
        <v/>
      </c>
      <c r="B1078">
        <f>IF(ItemData_Consumables!A184="","",ItemData_Consumables!B184)</f>
        <v/>
      </c>
    </row>
    <row r="1079">
      <c r="A1079">
        <f>IF(ItemData_Consumables!A185="","",ItemData_Consumables!A185)</f>
        <v/>
      </c>
      <c r="B1079">
        <f>IF(ItemData_Consumables!A185="","",ItemData_Consumables!B185)</f>
        <v/>
      </c>
    </row>
    <row r="1080">
      <c r="A1080">
        <f>IF(ItemData_Consumables!A186="","",ItemData_Consumables!A186)</f>
        <v/>
      </c>
      <c r="B1080">
        <f>IF(ItemData_Consumables!A186="","",ItemData_Consumables!B186)</f>
        <v/>
      </c>
    </row>
    <row r="1081">
      <c r="A1081">
        <f>IF(ItemData_Consumables!A187="","",ItemData_Consumables!A187)</f>
        <v/>
      </c>
      <c r="B1081">
        <f>IF(ItemData_Consumables!A187="","",ItemData_Consumables!B187)</f>
        <v/>
      </c>
    </row>
    <row r="1082">
      <c r="A1082">
        <f>IF(ItemData_Consumables!A188="","",ItemData_Consumables!A188)</f>
        <v/>
      </c>
      <c r="B1082">
        <f>IF(ItemData_Consumables!A188="","",ItemData_Consumables!B188)</f>
        <v/>
      </c>
    </row>
    <row r="1083">
      <c r="A1083">
        <f>IF(ItemData_Consumables!A189="","",ItemData_Consumables!A189)</f>
        <v/>
      </c>
      <c r="B1083">
        <f>IF(ItemData_Consumables!A189="","",ItemData_Consumables!B189)</f>
        <v/>
      </c>
    </row>
    <row r="1084">
      <c r="A1084">
        <f>IF(ItemData_Consumables!A190="","",ItemData_Consumables!A190)</f>
        <v/>
      </c>
      <c r="B1084">
        <f>IF(ItemData_Consumables!A190="","",ItemData_Consumables!B190)</f>
        <v/>
      </c>
    </row>
    <row r="1085">
      <c r="A1085">
        <f>IF(ItemData_Consumables!A191="","",ItemData_Consumables!A191)</f>
        <v/>
      </c>
      <c r="B1085">
        <f>IF(ItemData_Consumables!A191="","",ItemData_Consumables!B191)</f>
        <v/>
      </c>
    </row>
    <row r="1086">
      <c r="A1086">
        <f>IF(ItemData_Consumables!A192="","",ItemData_Consumables!A192)</f>
        <v/>
      </c>
      <c r="B1086">
        <f>IF(ItemData_Consumables!A192="","",ItemData_Consumables!B192)</f>
        <v/>
      </c>
    </row>
    <row r="1087">
      <c r="A1087">
        <f>IF(ItemData_Consumables!A193="","",ItemData_Consumables!A193)</f>
        <v/>
      </c>
      <c r="B1087">
        <f>IF(ItemData_Consumables!A193="","",ItemData_Consumables!B193)</f>
        <v/>
      </c>
    </row>
    <row r="1088">
      <c r="A1088">
        <f>IF(ItemData_Consumables!A194="","",ItemData_Consumables!A194)</f>
        <v/>
      </c>
      <c r="B1088">
        <f>IF(ItemData_Consumables!A194="","",ItemData_Consumables!B194)</f>
        <v/>
      </c>
    </row>
    <row r="1089">
      <c r="A1089">
        <f>IF(ItemData_Consumables!A195="","",ItemData_Consumables!A195)</f>
        <v/>
      </c>
      <c r="B1089">
        <f>IF(ItemData_Consumables!A195="","",ItemData_Consumables!B195)</f>
        <v/>
      </c>
    </row>
    <row r="1090">
      <c r="A1090">
        <f>IF(ItemData_Consumables!A196="","",ItemData_Consumables!A196)</f>
        <v/>
      </c>
      <c r="B1090">
        <f>IF(ItemData_Consumables!A196="","",ItemData_Consumables!B196)</f>
        <v/>
      </c>
    </row>
    <row r="1091">
      <c r="A1091">
        <f>IF(ItemData_Consumables!A197="","",ItemData_Consumables!A197)</f>
        <v/>
      </c>
      <c r="B1091">
        <f>IF(ItemData_Consumables!A197="","",ItemData_Consumables!B197)</f>
        <v/>
      </c>
    </row>
    <row r="1092">
      <c r="A1092">
        <f>IF(ItemData_Consumables!A198="","",ItemData_Consumables!A198)</f>
        <v/>
      </c>
      <c r="B1092">
        <f>IF(ItemData_Consumables!A198="","",ItemData_Consumables!B198)</f>
        <v/>
      </c>
    </row>
    <row r="1093">
      <c r="A1093">
        <f>IF(ItemData_Consumables!A199="","",ItemData_Consumables!A199)</f>
        <v/>
      </c>
      <c r="B1093">
        <f>IF(ItemData_Consumables!A199="","",ItemData_Consumables!B199)</f>
        <v/>
      </c>
    </row>
    <row r="1094">
      <c r="A1094">
        <f>IF(ItemData_Consumables!A200="","",ItemData_Consumables!A200)</f>
        <v/>
      </c>
      <c r="B1094">
        <f>IF(ItemData_Consumables!A200="","",ItemData_Consumables!B200)</f>
        <v/>
      </c>
    </row>
    <row r="1095">
      <c r="A1095">
        <f>IF(ItemData_Consumables!A201="","",ItemData_Consumables!A201)</f>
        <v/>
      </c>
      <c r="B1095">
        <f>IF(ItemData_Consumables!A201="","",ItemData_Consumables!B201)</f>
        <v/>
      </c>
    </row>
    <row r="1096">
      <c r="A1096">
        <f>IF(ItemData_Consumables!A202="","",ItemData_Consumables!A202)</f>
        <v/>
      </c>
      <c r="B1096">
        <f>IF(ItemData_Consumables!A202="","",ItemData_Consumables!B202)</f>
        <v/>
      </c>
    </row>
    <row r="1097">
      <c r="A1097">
        <f>IF(ItemData_Consumables!A203="","",ItemData_Consumables!A203)</f>
        <v/>
      </c>
      <c r="B1097">
        <f>IF(ItemData_Consumables!A203="","",ItemData_Consumables!B203)</f>
        <v/>
      </c>
    </row>
    <row r="1098">
      <c r="A1098">
        <f>IF(ItemData_Consumables!A204="","",ItemData_Consumables!A204)</f>
        <v/>
      </c>
      <c r="B1098">
        <f>IF(ItemData_Consumables!A204="","",ItemData_Consumables!B204)</f>
        <v/>
      </c>
    </row>
    <row r="1099">
      <c r="A1099">
        <f>IF(ItemData_Consumables!A205="","",ItemData_Consumables!A205)</f>
        <v/>
      </c>
      <c r="B1099">
        <f>IF(ItemData_Consumables!A205="","",ItemData_Consumables!B205)</f>
        <v/>
      </c>
    </row>
    <row r="1100">
      <c r="A1100">
        <f>IF(ItemData_Consumables!A206="","",ItemData_Consumables!A206)</f>
        <v/>
      </c>
      <c r="B1100">
        <f>IF(ItemData_Consumables!A206="","",ItemData_Consumables!B206)</f>
        <v/>
      </c>
    </row>
    <row r="1101">
      <c r="A1101">
        <f>IF(ItemData_Consumables!A207="","",ItemData_Consumables!A207)</f>
        <v/>
      </c>
      <c r="B1101">
        <f>IF(ItemData_Consumables!A207="","",ItemData_Consumables!B207)</f>
        <v/>
      </c>
    </row>
    <row r="1102">
      <c r="A1102">
        <f>IF(ItemData_Consumables!A208="","",ItemData_Consumables!A208)</f>
        <v/>
      </c>
      <c r="B1102">
        <f>IF(ItemData_Consumables!A208="","",ItemData_Consumables!B208)</f>
        <v/>
      </c>
    </row>
    <row r="1103">
      <c r="A1103">
        <f>IF(ItemData_Consumables!A209="","",ItemData_Consumables!A209)</f>
        <v/>
      </c>
      <c r="B1103">
        <f>IF(ItemData_Consumables!A209="","",ItemData_Consumables!B209)</f>
        <v/>
      </c>
    </row>
    <row r="1104">
      <c r="A1104">
        <f>IF(ItemData_Consumables!A210="","",ItemData_Consumables!A210)</f>
        <v/>
      </c>
      <c r="B1104">
        <f>IF(ItemData_Consumables!A210="","",ItemData_Consumables!B210)</f>
        <v/>
      </c>
    </row>
    <row r="1105">
      <c r="A1105">
        <f>IF(ItemData_Consumables!A211="","",ItemData_Consumables!A211)</f>
        <v/>
      </c>
      <c r="B1105">
        <f>IF(ItemData_Consumables!A211="","",ItemData_Consumables!B211)</f>
        <v/>
      </c>
    </row>
    <row r="1106">
      <c r="A1106">
        <f>IF(ItemData_Consumables!A212="","",ItemData_Consumables!A212)</f>
        <v/>
      </c>
      <c r="B1106">
        <f>IF(ItemData_Consumables!A212="","",ItemData_Consumables!B212)</f>
        <v/>
      </c>
    </row>
    <row r="1107">
      <c r="A1107">
        <f>IF(ItemData_Consumables!A213="","",ItemData_Consumables!A213)</f>
        <v/>
      </c>
      <c r="B1107">
        <f>IF(ItemData_Consumables!A213="","",ItemData_Consumables!B213)</f>
        <v/>
      </c>
    </row>
    <row r="1108">
      <c r="A1108">
        <f>IF(ItemData_Consumables!A214="","",ItemData_Consumables!A214)</f>
        <v/>
      </c>
      <c r="B1108">
        <f>IF(ItemData_Consumables!A214="","",ItemData_Consumables!B214)</f>
        <v/>
      </c>
    </row>
    <row r="1109">
      <c r="A1109">
        <f>IF(ItemData_Consumables!A215="","",ItemData_Consumables!A215)</f>
        <v/>
      </c>
      <c r="B1109">
        <f>IF(ItemData_Consumables!A215="","",ItemData_Consumables!B215)</f>
        <v/>
      </c>
    </row>
    <row r="1110">
      <c r="A1110">
        <f>IF(ItemData_Consumables!A216="","",ItemData_Consumables!A216)</f>
        <v/>
      </c>
      <c r="B1110">
        <f>IF(ItemData_Consumables!A216="","",ItemData_Consumables!B216)</f>
        <v/>
      </c>
    </row>
    <row r="1111">
      <c r="A1111">
        <f>IF(ItemData_Consumables!A217="","",ItemData_Consumables!A217)</f>
        <v/>
      </c>
      <c r="B1111">
        <f>IF(ItemData_Consumables!A217="","",ItemData_Consumables!B217)</f>
        <v/>
      </c>
    </row>
    <row r="1112">
      <c r="A1112">
        <f>IF(ItemData_Consumables!A218="","",ItemData_Consumables!A218)</f>
        <v/>
      </c>
      <c r="B1112">
        <f>IF(ItemData_Consumables!A218="","",ItemData_Consumables!B218)</f>
        <v/>
      </c>
    </row>
    <row r="1113">
      <c r="A1113">
        <f>IF(ItemData_Consumables!A219="","",ItemData_Consumables!A219)</f>
        <v/>
      </c>
      <c r="B1113">
        <f>IF(ItemData_Consumables!A219="","",ItemData_Consumables!B219)</f>
        <v/>
      </c>
    </row>
    <row r="1114">
      <c r="A1114">
        <f>IF(ItemData_Consumables!A220="","",ItemData_Consumables!A220)</f>
        <v/>
      </c>
      <c r="B1114">
        <f>IF(ItemData_Consumables!A220="","",ItemData_Consumables!B220)</f>
        <v/>
      </c>
    </row>
    <row r="1115">
      <c r="A1115">
        <f>IF(ItemData_Consumables!A221="","",ItemData_Consumables!A221)</f>
        <v/>
      </c>
      <c r="B1115">
        <f>IF(ItemData_Consumables!A221="","",ItemData_Consumables!B221)</f>
        <v/>
      </c>
    </row>
    <row r="1116">
      <c r="A1116">
        <f>IF(ItemData_Consumables!A222="","",ItemData_Consumables!A222)</f>
        <v/>
      </c>
      <c r="B1116">
        <f>IF(ItemData_Consumables!A222="","",ItemData_Consumables!B222)</f>
        <v/>
      </c>
    </row>
    <row r="1117">
      <c r="A1117">
        <f>IF(ItemData_Consumables!A223="","",ItemData_Consumables!A223)</f>
        <v/>
      </c>
      <c r="B1117">
        <f>IF(ItemData_Consumables!A223="","",ItemData_Consumables!B223)</f>
        <v/>
      </c>
    </row>
    <row r="1118">
      <c r="A1118">
        <f>IF(ItemData_Consumables!A224="","",ItemData_Consumables!A224)</f>
        <v/>
      </c>
      <c r="B1118">
        <f>IF(ItemData_Consumables!A224="","",ItemData_Consumables!B224)</f>
        <v/>
      </c>
    </row>
    <row r="1119">
      <c r="A1119">
        <f>IF(ItemData_Consumables!A225="","",ItemData_Consumables!A225)</f>
        <v/>
      </c>
      <c r="B1119">
        <f>IF(ItemData_Consumables!A225="","",ItemData_Consumables!B225)</f>
        <v/>
      </c>
    </row>
    <row r="1120">
      <c r="A1120">
        <f>IF(ItemData_Consumables!A226="","",ItemData_Consumables!A226)</f>
        <v/>
      </c>
      <c r="B1120">
        <f>IF(ItemData_Consumables!A226="","",ItemData_Consumables!B226)</f>
        <v/>
      </c>
    </row>
    <row r="1121">
      <c r="A1121">
        <f>IF(ItemData_Consumables!A227="","",ItemData_Consumables!A227)</f>
        <v/>
      </c>
      <c r="B1121">
        <f>IF(ItemData_Consumables!A227="","",ItemData_Consumables!B227)</f>
        <v/>
      </c>
    </row>
    <row r="1122">
      <c r="A1122">
        <f>IF(ItemData_Consumables!A228="","",ItemData_Consumables!A228)</f>
        <v/>
      </c>
      <c r="B1122">
        <f>IF(ItemData_Consumables!A228="","",ItemData_Consumables!B228)</f>
        <v/>
      </c>
    </row>
    <row r="1123">
      <c r="A1123">
        <f>IF(ItemData_Consumables!A229="","",ItemData_Consumables!A229)</f>
        <v/>
      </c>
      <c r="B1123">
        <f>IF(ItemData_Consumables!A229="","",ItemData_Consumables!B229)</f>
        <v/>
      </c>
    </row>
    <row r="1124">
      <c r="A1124">
        <f>IF(ItemData_Consumables!A230="","",ItemData_Consumables!A230)</f>
        <v/>
      </c>
      <c r="B1124">
        <f>IF(ItemData_Consumables!A230="","",ItemData_Consumables!B230)</f>
        <v/>
      </c>
    </row>
    <row r="1125">
      <c r="A1125">
        <f>IF(ItemData_Consumables!A231="","",ItemData_Consumables!A231)</f>
        <v/>
      </c>
      <c r="B1125">
        <f>IF(ItemData_Consumables!A231="","",ItemData_Consumables!B231)</f>
        <v/>
      </c>
    </row>
    <row r="1126">
      <c r="A1126">
        <f>IF(ItemData_Consumables!A232="","",ItemData_Consumables!A232)</f>
        <v/>
      </c>
      <c r="B1126">
        <f>IF(ItemData_Consumables!A232="","",ItemData_Consumables!B232)</f>
        <v/>
      </c>
    </row>
    <row r="1127">
      <c r="A1127">
        <f>IF(ItemData_Consumables!A233="","",ItemData_Consumables!A233)</f>
        <v/>
      </c>
      <c r="B1127">
        <f>IF(ItemData_Consumables!A233="","",ItemData_Consumables!B233)</f>
        <v/>
      </c>
    </row>
    <row r="1128">
      <c r="A1128">
        <f>IF(ItemData_Consumables!A234="","",ItemData_Consumables!A234)</f>
        <v/>
      </c>
      <c r="B1128">
        <f>IF(ItemData_Consumables!A234="","",ItemData_Consumables!B234)</f>
        <v/>
      </c>
    </row>
    <row r="1129">
      <c r="A1129">
        <f>IF(ItemData_Consumables!A235="","",ItemData_Consumables!A235)</f>
        <v/>
      </c>
      <c r="B1129">
        <f>IF(ItemData_Consumables!A235="","",ItemData_Consumables!B235)</f>
        <v/>
      </c>
    </row>
    <row r="1130">
      <c r="A1130">
        <f>IF(ItemData_Consumables!A236="","",ItemData_Consumables!A236)</f>
        <v/>
      </c>
      <c r="B1130">
        <f>IF(ItemData_Consumables!A236="","",ItemData_Consumables!B236)</f>
        <v/>
      </c>
    </row>
    <row r="1131">
      <c r="A1131">
        <f>IF(ItemData_Consumables!A237="","",ItemData_Consumables!A237)</f>
        <v/>
      </c>
      <c r="B1131">
        <f>IF(ItemData_Consumables!A237="","",ItemData_Consumables!B237)</f>
        <v/>
      </c>
    </row>
    <row r="1132">
      <c r="A1132">
        <f>IF(ItemData_Consumables!A238="","",ItemData_Consumables!A238)</f>
        <v/>
      </c>
      <c r="B1132">
        <f>IF(ItemData_Consumables!A238="","",ItemData_Consumables!B238)</f>
        <v/>
      </c>
    </row>
    <row r="1133">
      <c r="A1133">
        <f>IF(ItemData_Consumables!A239="","",ItemData_Consumables!A239)</f>
        <v/>
      </c>
      <c r="B1133">
        <f>IF(ItemData_Consumables!A239="","",ItemData_Consumables!B239)</f>
        <v/>
      </c>
    </row>
    <row r="1134">
      <c r="A1134">
        <f>IF(ItemData_Consumables!A240="","",ItemData_Consumables!A240)</f>
        <v/>
      </c>
      <c r="B1134">
        <f>IF(ItemData_Consumables!A240="","",ItemData_Consumables!B240)</f>
        <v/>
      </c>
    </row>
    <row r="1135">
      <c r="A1135">
        <f>IF(ItemData_Consumables!A241="","",ItemData_Consumables!A241)</f>
        <v/>
      </c>
      <c r="B1135">
        <f>IF(ItemData_Consumables!A241="","",ItemData_Consumables!B241)</f>
        <v/>
      </c>
    </row>
    <row r="1136">
      <c r="A1136">
        <f>IF(ItemData_Consumables!A242="","",ItemData_Consumables!A242)</f>
        <v/>
      </c>
      <c r="B1136">
        <f>IF(ItemData_Consumables!A242="","",ItemData_Consumables!B242)</f>
        <v/>
      </c>
    </row>
    <row r="1137">
      <c r="A1137">
        <f>IF(ItemData_Consumables!A243="","",ItemData_Consumables!A243)</f>
        <v/>
      </c>
      <c r="B1137">
        <f>IF(ItemData_Consumables!A243="","",ItemData_Consumables!B243)</f>
        <v/>
      </c>
    </row>
    <row r="1138">
      <c r="A1138">
        <f>IF(ItemData_Consumables!A244="","",ItemData_Consumables!A244)</f>
        <v/>
      </c>
      <c r="B1138">
        <f>IF(ItemData_Consumables!A244="","",ItemData_Consumables!B244)</f>
        <v/>
      </c>
    </row>
    <row r="1139">
      <c r="A1139">
        <f>IF(ItemData_Consumables!A245="","",ItemData_Consumables!A245)</f>
        <v/>
      </c>
      <c r="B1139">
        <f>IF(ItemData_Consumables!A245="","",ItemData_Consumables!B245)</f>
        <v/>
      </c>
    </row>
    <row r="1140">
      <c r="A1140">
        <f>IF(ItemData_Consumables!A246="","",ItemData_Consumables!A246)</f>
        <v/>
      </c>
      <c r="B1140">
        <f>IF(ItemData_Consumables!A246="","",ItemData_Consumables!B246)</f>
        <v/>
      </c>
    </row>
    <row r="1141">
      <c r="A1141">
        <f>IF(ItemData_Consumables!A247="","",ItemData_Consumables!A247)</f>
        <v/>
      </c>
      <c r="B1141">
        <f>IF(ItemData_Consumables!A247="","",ItemData_Consumables!B247)</f>
        <v/>
      </c>
    </row>
    <row r="1142">
      <c r="A1142">
        <f>IF(ItemData_Consumables!A248="","",ItemData_Consumables!A248)</f>
        <v/>
      </c>
      <c r="B1142">
        <f>IF(ItemData_Consumables!A248="","",ItemData_Consumables!B248)</f>
        <v/>
      </c>
    </row>
    <row r="1143">
      <c r="A1143">
        <f>IF(ItemData_Consumables!A249="","",ItemData_Consumables!A249)</f>
        <v/>
      </c>
      <c r="B1143">
        <f>IF(ItemData_Consumables!A249="","",ItemData_Consumables!B249)</f>
        <v/>
      </c>
    </row>
    <row r="1144">
      <c r="A1144">
        <f>IF(ItemData_Consumables!A250="","",ItemData_Consumables!A250)</f>
        <v/>
      </c>
      <c r="B1144">
        <f>IF(ItemData_Consumables!A250="","",ItemData_Consumables!B250)</f>
        <v/>
      </c>
    </row>
    <row r="1145">
      <c r="A1145">
        <f>IF(ItemData_Consumables!A251="","",ItemData_Consumables!A251)</f>
        <v/>
      </c>
      <c r="B1145">
        <f>IF(ItemData_Consumables!A251="","",ItemData_Consumables!B251)</f>
        <v/>
      </c>
    </row>
    <row r="1146">
      <c r="A1146">
        <f>IF(ItemData_Consumables!A252="","",ItemData_Consumables!A252)</f>
        <v/>
      </c>
      <c r="B1146">
        <f>IF(ItemData_Consumables!A252="","",ItemData_Consumables!B252)</f>
        <v/>
      </c>
    </row>
    <row r="1147">
      <c r="A1147">
        <f>IF(ItemData_Consumables!A253="","",ItemData_Consumables!A253)</f>
        <v/>
      </c>
      <c r="B1147">
        <f>IF(ItemData_Consumables!A253="","",ItemData_Consumables!B253)</f>
        <v/>
      </c>
    </row>
    <row r="1148">
      <c r="A1148">
        <f>IF(ItemData_Consumables!A254="","",ItemData_Consumables!A254)</f>
        <v/>
      </c>
      <c r="B1148">
        <f>IF(ItemData_Consumables!A254="","",ItemData_Consumables!B254)</f>
        <v/>
      </c>
    </row>
    <row r="1149">
      <c r="A1149">
        <f>IF(ItemData_Consumables!A255="","",ItemData_Consumables!A255)</f>
        <v/>
      </c>
      <c r="B1149">
        <f>IF(ItemData_Consumables!A255="","",ItemData_Consumables!B255)</f>
        <v/>
      </c>
    </row>
    <row r="1150">
      <c r="A1150">
        <f>IF(ItemData_Consumables!A256="","",ItemData_Consumables!A256)</f>
        <v/>
      </c>
      <c r="B1150">
        <f>IF(ItemData_Consumables!A256="","",ItemData_Consumables!B256)</f>
        <v/>
      </c>
    </row>
    <row r="1151">
      <c r="A1151">
        <f>IF(ItemData_Consumables!A257="","",ItemData_Consumables!A257)</f>
        <v/>
      </c>
      <c r="B1151">
        <f>IF(ItemData_Consumables!A257="","",ItemData_Consumables!B257)</f>
        <v/>
      </c>
    </row>
    <row r="1152">
      <c r="A1152">
        <f>IF(ItemData_Consumables!A258="","",ItemData_Consumables!A258)</f>
        <v/>
      </c>
      <c r="B1152">
        <f>IF(ItemData_Consumables!A258="","",ItemData_Consumables!B258)</f>
        <v/>
      </c>
    </row>
    <row r="1153">
      <c r="A1153">
        <f>IF(ItemData_Consumables!A259="","",ItemData_Consumables!A259)</f>
        <v/>
      </c>
      <c r="B1153">
        <f>IF(ItemData_Consumables!A259="","",ItemData_Consumables!B259)</f>
        <v/>
      </c>
    </row>
    <row r="1154">
      <c r="A1154">
        <f>IF(ItemData_Consumables!A260="","",ItemData_Consumables!A260)</f>
        <v/>
      </c>
      <c r="B1154">
        <f>IF(ItemData_Consumables!A260="","",ItemData_Consumables!B260)</f>
        <v/>
      </c>
    </row>
    <row r="1155">
      <c r="A1155">
        <f>IF(ItemData_Consumables!A261="","",ItemData_Consumables!A261)</f>
        <v/>
      </c>
      <c r="B1155">
        <f>IF(ItemData_Consumables!A261="","",ItemData_Consumables!B261)</f>
        <v/>
      </c>
    </row>
    <row r="1156">
      <c r="A1156">
        <f>IF(ItemData_Consumables!A262="","",ItemData_Consumables!A262)</f>
        <v/>
      </c>
      <c r="B1156">
        <f>IF(ItemData_Consumables!A262="","",ItemData_Consumables!B262)</f>
        <v/>
      </c>
    </row>
    <row r="1157">
      <c r="A1157">
        <f>IF(ItemData_Consumables!A263="","",ItemData_Consumables!A263)</f>
        <v/>
      </c>
      <c r="B1157">
        <f>IF(ItemData_Consumables!A263="","",ItemData_Consumables!B263)</f>
        <v/>
      </c>
    </row>
    <row r="1158">
      <c r="A1158">
        <f>IF(ItemData_Consumables!A264="","",ItemData_Consumables!A264)</f>
        <v/>
      </c>
      <c r="B1158">
        <f>IF(ItemData_Consumables!A264="","",ItemData_Consumables!B264)</f>
        <v/>
      </c>
    </row>
    <row r="1159">
      <c r="A1159">
        <f>IF(ItemData_Consumables!A265="","",ItemData_Consumables!A265)</f>
        <v/>
      </c>
      <c r="B1159">
        <f>IF(ItemData_Consumables!A265="","",ItemData_Consumables!B265)</f>
        <v/>
      </c>
    </row>
    <row r="1160">
      <c r="A1160">
        <f>IF(ItemData_Consumables!A266="","",ItemData_Consumables!A266)</f>
        <v/>
      </c>
      <c r="B1160">
        <f>IF(ItemData_Consumables!A266="","",ItemData_Consumables!B266)</f>
        <v/>
      </c>
    </row>
    <row r="1161">
      <c r="A1161">
        <f>IF(ItemData_Consumables!A267="","",ItemData_Consumables!A267)</f>
        <v/>
      </c>
      <c r="B1161">
        <f>IF(ItemData_Consumables!A267="","",ItemData_Consumables!B267)</f>
        <v/>
      </c>
    </row>
    <row r="1162">
      <c r="A1162">
        <f>IF(ItemData_Consumables!A268="","",ItemData_Consumables!A268)</f>
        <v/>
      </c>
      <c r="B1162">
        <f>IF(ItemData_Consumables!A268="","",ItemData_Consumables!B268)</f>
        <v/>
      </c>
    </row>
    <row r="1163">
      <c r="A1163">
        <f>IF(ItemData_Consumables!A269="","",ItemData_Consumables!A269)</f>
        <v/>
      </c>
      <c r="B1163">
        <f>IF(ItemData_Consumables!A269="","",ItemData_Consumables!B269)</f>
        <v/>
      </c>
    </row>
    <row r="1164">
      <c r="A1164">
        <f>IF(ItemData_Consumables!A270="","",ItemData_Consumables!A270)</f>
        <v/>
      </c>
      <c r="B1164">
        <f>IF(ItemData_Consumables!A270="","",ItemData_Consumables!B270)</f>
        <v/>
      </c>
    </row>
    <row r="1165">
      <c r="A1165">
        <f>IF(ItemData_Consumables!A271="","",ItemData_Consumables!A271)</f>
        <v/>
      </c>
      <c r="B1165">
        <f>IF(ItemData_Consumables!A271="","",ItemData_Consumables!B271)</f>
        <v/>
      </c>
    </row>
    <row r="1166">
      <c r="A1166">
        <f>IF(ItemData_Consumables!A272="","",ItemData_Consumables!A272)</f>
        <v/>
      </c>
      <c r="B1166">
        <f>IF(ItemData_Consumables!A272="","",ItemData_Consumables!B272)</f>
        <v/>
      </c>
    </row>
    <row r="1167">
      <c r="A1167">
        <f>IF(ItemData_Consumables!A273="","",ItemData_Consumables!A273)</f>
        <v/>
      </c>
      <c r="B1167">
        <f>IF(ItemData_Consumables!A273="","",ItemData_Consumables!B273)</f>
        <v/>
      </c>
    </row>
    <row r="1168">
      <c r="A1168">
        <f>IF(ItemData_Consumables!A274="","",ItemData_Consumables!A274)</f>
        <v/>
      </c>
      <c r="B1168">
        <f>IF(ItemData_Consumables!A274="","",ItemData_Consumables!B274)</f>
        <v/>
      </c>
    </row>
    <row r="1169">
      <c r="A1169">
        <f>IF(ItemData_Consumables!A275="","",ItemData_Consumables!A275)</f>
        <v/>
      </c>
      <c r="B1169">
        <f>IF(ItemData_Consumables!A275="","",ItemData_Consumables!B275)</f>
        <v/>
      </c>
    </row>
    <row r="1170">
      <c r="A1170">
        <f>IF(ItemData_Consumables!A276="","",ItemData_Consumables!A276)</f>
        <v/>
      </c>
      <c r="B1170">
        <f>IF(ItemData_Consumables!A276="","",ItemData_Consumables!B276)</f>
        <v/>
      </c>
    </row>
    <row r="1171">
      <c r="A1171">
        <f>IF(ItemData_Consumables!A277="","",ItemData_Consumables!A277)</f>
        <v/>
      </c>
      <c r="B1171">
        <f>IF(ItemData_Consumables!A277="","",ItemData_Consumables!B277)</f>
        <v/>
      </c>
    </row>
    <row r="1172">
      <c r="A1172">
        <f>IF(ItemData_Consumables!A278="","",ItemData_Consumables!A278)</f>
        <v/>
      </c>
      <c r="B1172">
        <f>IF(ItemData_Consumables!A278="","",ItemData_Consumables!B278)</f>
        <v/>
      </c>
    </row>
    <row r="1173">
      <c r="A1173">
        <f>IF(ItemData_Consumables!A279="","",ItemData_Consumables!A279)</f>
        <v/>
      </c>
      <c r="B1173">
        <f>IF(ItemData_Consumables!A279="","",ItemData_Consumables!B279)</f>
        <v/>
      </c>
    </row>
    <row r="1174">
      <c r="A1174">
        <f>IF(ItemData_Consumables!A280="","",ItemData_Consumables!A280)</f>
        <v/>
      </c>
      <c r="B1174">
        <f>IF(ItemData_Consumables!A280="","",ItemData_Consumables!B280)</f>
        <v/>
      </c>
    </row>
    <row r="1175">
      <c r="A1175">
        <f>IF(ItemData_Consumables!A281="","",ItemData_Consumables!A281)</f>
        <v/>
      </c>
      <c r="B1175">
        <f>IF(ItemData_Consumables!A281="","",ItemData_Consumables!B281)</f>
        <v/>
      </c>
    </row>
    <row r="1176">
      <c r="A1176">
        <f>IF(ItemData_Consumables!A282="","",ItemData_Consumables!A282)</f>
        <v/>
      </c>
      <c r="B1176">
        <f>IF(ItemData_Consumables!A282="","",ItemData_Consumables!B282)</f>
        <v/>
      </c>
    </row>
    <row r="1177">
      <c r="A1177">
        <f>IF(ItemData_Consumables!A283="","",ItemData_Consumables!A283)</f>
        <v/>
      </c>
      <c r="B1177">
        <f>IF(ItemData_Consumables!A283="","",ItemData_Consumables!B283)</f>
        <v/>
      </c>
    </row>
    <row r="1178">
      <c r="A1178">
        <f>IF(ItemData_Consumables!A284="","",ItemData_Consumables!A284)</f>
        <v/>
      </c>
      <c r="B1178">
        <f>IF(ItemData_Consumables!A284="","",ItemData_Consumables!B284)</f>
        <v/>
      </c>
    </row>
    <row r="1179">
      <c r="A1179">
        <f>IF(ItemData_Consumables!A285="","",ItemData_Consumables!A285)</f>
        <v/>
      </c>
      <c r="B1179">
        <f>IF(ItemData_Consumables!A285="","",ItemData_Consumables!B285)</f>
        <v/>
      </c>
    </row>
    <row r="1180">
      <c r="A1180">
        <f>IF(ItemData_Consumables!A286="","",ItemData_Consumables!A286)</f>
        <v/>
      </c>
      <c r="B1180">
        <f>IF(ItemData_Consumables!A286="","",ItemData_Consumables!B286)</f>
        <v/>
      </c>
    </row>
    <row r="1181">
      <c r="A1181">
        <f>IF(ItemData_Consumables!A287="","",ItemData_Consumables!A287)</f>
        <v/>
      </c>
      <c r="B1181">
        <f>IF(ItemData_Consumables!A287="","",ItemData_Consumables!B287)</f>
        <v/>
      </c>
    </row>
    <row r="1182">
      <c r="A1182">
        <f>IF(ItemData_Consumables!A288="","",ItemData_Consumables!A288)</f>
        <v/>
      </c>
      <c r="B1182">
        <f>IF(ItemData_Consumables!A288="","",ItemData_Consumables!B288)</f>
        <v/>
      </c>
    </row>
    <row r="1183">
      <c r="A1183">
        <f>IF(ItemData_Consumables!A289="","",ItemData_Consumables!A289)</f>
        <v/>
      </c>
      <c r="B1183">
        <f>IF(ItemData_Consumables!A289="","",ItemData_Consumables!B289)</f>
        <v/>
      </c>
    </row>
    <row r="1184">
      <c r="A1184">
        <f>IF(ItemData_Consumables!A290="","",ItemData_Consumables!A290)</f>
        <v/>
      </c>
      <c r="B1184">
        <f>IF(ItemData_Consumables!A290="","",ItemData_Consumables!B290)</f>
        <v/>
      </c>
    </row>
    <row r="1185">
      <c r="A1185">
        <f>IF(ItemData_Consumables!A291="","",ItemData_Consumables!A291)</f>
        <v/>
      </c>
      <c r="B1185">
        <f>IF(ItemData_Consumables!A291="","",ItemData_Consumables!B291)</f>
        <v/>
      </c>
    </row>
    <row r="1186">
      <c r="A1186">
        <f>IF(ItemData_Consumables!A292="","",ItemData_Consumables!A292)</f>
        <v/>
      </c>
      <c r="B1186">
        <f>IF(ItemData_Consumables!A292="","",ItemData_Consumables!B292)</f>
        <v/>
      </c>
    </row>
    <row r="1187">
      <c r="A1187">
        <f>IF(ItemData_Consumables!A293="","",ItemData_Consumables!A293)</f>
        <v/>
      </c>
      <c r="B1187">
        <f>IF(ItemData_Consumables!A293="","",ItemData_Consumables!B293)</f>
        <v/>
      </c>
    </row>
    <row r="1188">
      <c r="A1188">
        <f>IF(ItemData_Consumables!A294="","",ItemData_Consumables!A294)</f>
        <v/>
      </c>
      <c r="B1188">
        <f>IF(ItemData_Consumables!A294="","",ItemData_Consumables!B294)</f>
        <v/>
      </c>
    </row>
    <row r="1189">
      <c r="A1189">
        <f>IF(ItemData_Consumables!A295="","",ItemData_Consumables!A295)</f>
        <v/>
      </c>
      <c r="B1189">
        <f>IF(ItemData_Consumables!A295="","",ItemData_Consumables!B295)</f>
        <v/>
      </c>
    </row>
    <row r="1190">
      <c r="A1190">
        <f>IF(ItemData_Consumables!A296="","",ItemData_Consumables!A296)</f>
        <v/>
      </c>
      <c r="B1190">
        <f>IF(ItemData_Consumables!A296="","",ItemData_Consumables!B296)</f>
        <v/>
      </c>
    </row>
    <row r="1191">
      <c r="A1191">
        <f>IF(ItemData_Consumables!A297="","",ItemData_Consumables!A297)</f>
        <v/>
      </c>
      <c r="B1191">
        <f>IF(ItemData_Consumables!A297="","",ItemData_Consumables!B297)</f>
        <v/>
      </c>
    </row>
    <row r="1192">
      <c r="A1192">
        <f>IF(ItemData_Consumables!A298="","",ItemData_Consumables!A298)</f>
        <v/>
      </c>
      <c r="B1192">
        <f>IF(ItemData_Consumables!A298="","",ItemData_Consumables!B298)</f>
        <v/>
      </c>
    </row>
    <row r="1193">
      <c r="A1193">
        <f>IF(ItemData_Consumables!A299="","",ItemData_Consumables!A299)</f>
        <v/>
      </c>
      <c r="B1193">
        <f>IF(ItemData_Consumables!A299="","",ItemData_Consumables!B299)</f>
        <v/>
      </c>
    </row>
    <row r="1194">
      <c r="A1194">
        <f>IF(ItemData_Consumables!A300="","",ItemData_Consumables!A300)</f>
        <v/>
      </c>
      <c r="B1194">
        <f>IF(ItemData_Consumables!A300="","",ItemData_Consumables!B300)</f>
        <v/>
      </c>
    </row>
    <row r="1195">
      <c r="A1195">
        <f>IF(BattleFishData!A3="","",BattleFishData!A3)</f>
        <v/>
      </c>
      <c r="B1195">
        <f>IF(BattleFishData!A3="","",BattleFishData!B3)</f>
        <v/>
      </c>
      <c r="C1195" t="inlineStr">
        <is>
          <t>BattleFishData</t>
        </is>
      </c>
    </row>
    <row r="1196">
      <c r="A1196">
        <f>IF(BattleFishData!A4="","",BattleFishData!A4)</f>
        <v/>
      </c>
      <c r="B1196">
        <f>IF(BattleFishData!A4="","",BattleFishData!B4)</f>
        <v/>
      </c>
    </row>
    <row r="1197">
      <c r="A1197">
        <f>IF(BattleFishData!A5="","",BattleFishData!A5)</f>
        <v/>
      </c>
      <c r="B1197">
        <f>IF(BattleFishData!A5="","",BattleFishData!B5)</f>
        <v/>
      </c>
    </row>
    <row r="1198">
      <c r="A1198">
        <f>IF(BattleFishData!A6="","",BattleFishData!A6)</f>
        <v/>
      </c>
      <c r="B1198">
        <f>IF(BattleFishData!A6="","",BattleFishData!B6)</f>
        <v/>
      </c>
    </row>
    <row r="1199">
      <c r="A1199">
        <f>IF(BattleFishData!A7="","",BattleFishData!A7)</f>
        <v/>
      </c>
      <c r="B1199">
        <f>IF(BattleFishData!A7="","",BattleFishData!B7)</f>
        <v/>
      </c>
    </row>
    <row r="1200">
      <c r="A1200">
        <f>IF(BattleFishData!A8="","",BattleFishData!A8)</f>
        <v/>
      </c>
      <c r="B1200">
        <f>IF(BattleFishData!A8="","",BattleFishData!B8)</f>
        <v/>
      </c>
    </row>
    <row r="1201">
      <c r="A1201">
        <f>IF(BattleFishData!A9="","",BattleFishData!A9)</f>
        <v/>
      </c>
      <c r="B1201">
        <f>IF(BattleFishData!A9="","",BattleFishData!B9)</f>
        <v/>
      </c>
    </row>
    <row r="1202">
      <c r="A1202">
        <f>IF(BattleFishData!A10="","",BattleFishData!A10)</f>
        <v/>
      </c>
      <c r="B1202">
        <f>IF(BattleFishData!A10="","",BattleFishData!B10)</f>
        <v/>
      </c>
    </row>
    <row r="1203">
      <c r="A1203">
        <f>IF(BattleFishData!A11="","",BattleFishData!A11)</f>
        <v/>
      </c>
      <c r="B1203">
        <f>IF(BattleFishData!A11="","",BattleFishData!B11)</f>
        <v/>
      </c>
    </row>
    <row r="1204">
      <c r="A1204">
        <f>IF(BattleFishData!A12="","",BattleFishData!A12)</f>
        <v/>
      </c>
      <c r="B1204">
        <f>IF(BattleFishData!A12="","",BattleFishData!B12)</f>
        <v/>
      </c>
    </row>
    <row r="1205">
      <c r="A1205">
        <f>IF(BattleFishData!A13="","",BattleFishData!A13)</f>
        <v/>
      </c>
      <c r="B1205">
        <f>IF(BattleFishData!A13="","",BattleFishData!B13)</f>
        <v/>
      </c>
    </row>
    <row r="1206">
      <c r="A1206">
        <f>IF(BattleFishData!A14="","",BattleFishData!A14)</f>
        <v/>
      </c>
      <c r="B1206">
        <f>IF(BattleFishData!A14="","",BattleFishData!B14)</f>
        <v/>
      </c>
    </row>
    <row r="1207">
      <c r="A1207">
        <f>IF(BattleFishData!A15="","",BattleFishData!A15)</f>
        <v/>
      </c>
      <c r="B1207">
        <f>IF(BattleFishData!A15="","",BattleFishData!B15)</f>
        <v/>
      </c>
    </row>
    <row r="1208">
      <c r="A1208">
        <f>IF(BattleFishData!A16="","",BattleFishData!A16)</f>
        <v/>
      </c>
      <c r="B1208">
        <f>IF(BattleFishData!A16="","",BattleFishData!B16)</f>
        <v/>
      </c>
    </row>
    <row r="1209">
      <c r="A1209">
        <f>IF(BattleFishData!A17="","",BattleFishData!A17)</f>
        <v/>
      </c>
      <c r="B1209">
        <f>IF(BattleFishData!A17="","",BattleFishData!B17)</f>
        <v/>
      </c>
    </row>
    <row r="1210">
      <c r="A1210">
        <f>IF(BattleFishData!A18="","",BattleFishData!A18)</f>
        <v/>
      </c>
      <c r="B1210">
        <f>IF(BattleFishData!A18="","",BattleFishData!B18)</f>
        <v/>
      </c>
    </row>
    <row r="1211">
      <c r="A1211">
        <f>IF(BattleFishData!A19="","",BattleFishData!A19)</f>
        <v/>
      </c>
      <c r="B1211">
        <f>IF(BattleFishData!A19="","",BattleFishData!B19)</f>
        <v/>
      </c>
    </row>
    <row r="1212">
      <c r="A1212">
        <f>IF(BattleFishData!A20="","",BattleFishData!A20)</f>
        <v/>
      </c>
      <c r="B1212">
        <f>IF(BattleFishData!A20="","",BattleFishData!B20)</f>
        <v/>
      </c>
    </row>
    <row r="1213">
      <c r="A1213">
        <f>IF(BattleFishData!A21="","",BattleFishData!A21)</f>
        <v/>
      </c>
      <c r="B1213">
        <f>IF(BattleFishData!A21="","",BattleFishData!B21)</f>
        <v/>
      </c>
    </row>
    <row r="1214">
      <c r="A1214">
        <f>IF(BattleFishData!A22="","",BattleFishData!A22)</f>
        <v/>
      </c>
      <c r="B1214">
        <f>IF(BattleFishData!A22="","",BattleFishData!B22)</f>
        <v/>
      </c>
    </row>
    <row r="1215">
      <c r="A1215">
        <f>IF(BattleFishData!A23="","",BattleFishData!A23)</f>
        <v/>
      </c>
      <c r="B1215">
        <f>IF(BattleFishData!A23="","",BattleFishData!B23)</f>
        <v/>
      </c>
    </row>
    <row r="1216">
      <c r="A1216">
        <f>IF(BattleFishData!A24="","",BattleFishData!A24)</f>
        <v/>
      </c>
      <c r="B1216">
        <f>IF(BattleFishData!A24="","",BattleFishData!B24)</f>
        <v/>
      </c>
    </row>
    <row r="1217">
      <c r="A1217">
        <f>IF(BattleFishData!A25="","",BattleFishData!A25)</f>
        <v/>
      </c>
      <c r="B1217">
        <f>IF(BattleFishData!A25="","",BattleFishData!B25)</f>
        <v/>
      </c>
    </row>
    <row r="1218">
      <c r="A1218">
        <f>IF(BattleFishData!A26="","",BattleFishData!A26)</f>
        <v/>
      </c>
      <c r="B1218">
        <f>IF(BattleFishData!A26="","",BattleFishData!B26)</f>
        <v/>
      </c>
    </row>
    <row r="1219">
      <c r="A1219">
        <f>IF(BattleFishData!A27="","",BattleFishData!A27)</f>
        <v/>
      </c>
      <c r="B1219">
        <f>IF(BattleFishData!A27="","",BattleFishData!B27)</f>
        <v/>
      </c>
    </row>
    <row r="1220">
      <c r="A1220">
        <f>IF(BattleFishData!A28="","",BattleFishData!A28)</f>
        <v/>
      </c>
      <c r="B1220">
        <f>IF(BattleFishData!A28="","",BattleFishData!B28)</f>
        <v/>
      </c>
    </row>
    <row r="1221">
      <c r="A1221">
        <f>IF(BattleFishData!A29="","",BattleFishData!A29)</f>
        <v/>
      </c>
      <c r="B1221">
        <f>IF(BattleFishData!A29="","",BattleFishData!B29)</f>
        <v/>
      </c>
    </row>
    <row r="1222">
      <c r="A1222">
        <f>IF(BattleFishData!A30="","",BattleFishData!A30)</f>
        <v/>
      </c>
      <c r="B1222">
        <f>IF(BattleFishData!A30="","",BattleFishData!B30)</f>
        <v/>
      </c>
    </row>
    <row r="1223">
      <c r="A1223">
        <f>IF(BattleFishData!A31="","",BattleFishData!A31)</f>
        <v/>
      </c>
      <c r="B1223">
        <f>IF(BattleFishData!A31="","",BattleFishData!B31)</f>
        <v/>
      </c>
    </row>
    <row r="1224">
      <c r="A1224">
        <f>IF(BattleFishData!A32="","",BattleFishData!A32)</f>
        <v/>
      </c>
      <c r="B1224">
        <f>IF(BattleFishData!A32="","",BattleFishData!B32)</f>
        <v/>
      </c>
    </row>
    <row r="1225">
      <c r="A1225">
        <f>IF(BattleFishData!A33="","",BattleFishData!A33)</f>
        <v/>
      </c>
      <c r="B1225">
        <f>IF(BattleFishData!A33="","",BattleFishData!B33)</f>
        <v/>
      </c>
    </row>
    <row r="1226">
      <c r="A1226">
        <f>IF(BattleFishData!A34="","",BattleFishData!A34)</f>
        <v/>
      </c>
      <c r="B1226">
        <f>IF(BattleFishData!A34="","",BattleFishData!B34)</f>
        <v/>
      </c>
    </row>
    <row r="1227">
      <c r="A1227">
        <f>IF(BattleFishData!A35="","",BattleFishData!A35)</f>
        <v/>
      </c>
      <c r="B1227">
        <f>IF(BattleFishData!A35="","",BattleFishData!B35)</f>
        <v/>
      </c>
    </row>
    <row r="1228">
      <c r="A1228">
        <f>IF(BattleFishData!A36="","",BattleFishData!A36)</f>
        <v/>
      </c>
      <c r="B1228">
        <f>IF(BattleFishData!A36="","",BattleFishData!B36)</f>
        <v/>
      </c>
    </row>
    <row r="1229">
      <c r="A1229">
        <f>IF(BattleFishData!A37="","",BattleFishData!A37)</f>
        <v/>
      </c>
      <c r="B1229">
        <f>IF(BattleFishData!A37="","",BattleFishData!B37)</f>
        <v/>
      </c>
    </row>
    <row r="1230">
      <c r="A1230">
        <f>IF(BattleFishData!A38="","",BattleFishData!A38)</f>
        <v/>
      </c>
      <c r="B1230">
        <f>IF(BattleFishData!A38="","",BattleFishData!B38)</f>
        <v/>
      </c>
    </row>
    <row r="1231">
      <c r="A1231">
        <f>IF(BattleFishData!A39="","",BattleFishData!A39)</f>
        <v/>
      </c>
      <c r="B1231">
        <f>IF(BattleFishData!A39="","",BattleFishData!B39)</f>
        <v/>
      </c>
    </row>
    <row r="1232">
      <c r="A1232">
        <f>IF(BattleFishData!A40="","",BattleFishData!A40)</f>
        <v/>
      </c>
      <c r="B1232">
        <f>IF(BattleFishData!A40="","",BattleFishData!B40)</f>
        <v/>
      </c>
    </row>
    <row r="1233">
      <c r="A1233">
        <f>IF(BattleFishData!A41="","",BattleFishData!A41)</f>
        <v/>
      </c>
      <c r="B1233">
        <f>IF(BattleFishData!A41="","",BattleFishData!B41)</f>
        <v/>
      </c>
    </row>
    <row r="1234">
      <c r="A1234">
        <f>IF(BattleFishData!A42="","",BattleFishData!A42)</f>
        <v/>
      </c>
      <c r="B1234">
        <f>IF(BattleFishData!A42="","",BattleFishData!B42)</f>
        <v/>
      </c>
    </row>
    <row r="1235">
      <c r="A1235">
        <f>IF(BattleFishData!A43="","",BattleFishData!A43)</f>
        <v/>
      </c>
      <c r="B1235">
        <f>IF(BattleFishData!A43="","",BattleFishData!B43)</f>
        <v/>
      </c>
    </row>
    <row r="1236">
      <c r="A1236">
        <f>IF(BattleFishData!A44="","",BattleFishData!A44)</f>
        <v/>
      </c>
      <c r="B1236">
        <f>IF(BattleFishData!A44="","",BattleFishData!B44)</f>
        <v/>
      </c>
    </row>
    <row r="1237">
      <c r="A1237">
        <f>IF(BattleFishData!A45="","",BattleFishData!A45)</f>
        <v/>
      </c>
      <c r="B1237">
        <f>IF(BattleFishData!A45="","",BattleFishData!B45)</f>
        <v/>
      </c>
    </row>
    <row r="1238">
      <c r="A1238">
        <f>IF(BattleFishData!A46="","",BattleFishData!A46)</f>
        <v/>
      </c>
      <c r="B1238">
        <f>IF(BattleFishData!A46="","",BattleFishData!B46)</f>
        <v/>
      </c>
    </row>
    <row r="1239">
      <c r="A1239">
        <f>IF(BattleFishData!A47="","",BattleFishData!A47)</f>
        <v/>
      </c>
      <c r="B1239">
        <f>IF(BattleFishData!A47="","",BattleFishData!B47)</f>
        <v/>
      </c>
    </row>
    <row r="1240">
      <c r="A1240">
        <f>IF(BattleFishData!A48="","",BattleFishData!A48)</f>
        <v/>
      </c>
      <c r="B1240">
        <f>IF(BattleFishData!A48="","",BattleFishData!B48)</f>
        <v/>
      </c>
    </row>
    <row r="1241">
      <c r="A1241">
        <f>IF(BattleFishData!A49="","",BattleFishData!A49)</f>
        <v/>
      </c>
      <c r="B1241">
        <f>IF(BattleFishData!A49="","",BattleFishData!B49)</f>
        <v/>
      </c>
    </row>
    <row r="1242">
      <c r="A1242">
        <f>IF(BattleFishData!A50="","",BattleFishData!A50)</f>
        <v/>
      </c>
      <c r="B1242">
        <f>IF(BattleFishData!A50="","",BattleFishData!B50)</f>
        <v/>
      </c>
    </row>
    <row r="1243">
      <c r="A1243">
        <f>IF(BattleFishData!A51="","",BattleFishData!A51)</f>
        <v/>
      </c>
      <c r="B1243">
        <f>IF(BattleFishData!A51="","",BattleFishData!B51)</f>
        <v/>
      </c>
    </row>
    <row r="1244">
      <c r="A1244">
        <f>IF(BattleFishData!A52="","",BattleFishData!A52)</f>
        <v/>
      </c>
      <c r="B1244">
        <f>IF(BattleFishData!A52="","",BattleFishData!B52)</f>
        <v/>
      </c>
    </row>
    <row r="1245">
      <c r="A1245">
        <f>IF(BattleFishData!A53="","",BattleFishData!A53)</f>
        <v/>
      </c>
      <c r="B1245">
        <f>IF(BattleFishData!A53="","",BattleFishData!B53)</f>
        <v/>
      </c>
    </row>
    <row r="1246">
      <c r="A1246">
        <f>IF(BattleFishData!A54="","",BattleFishData!A54)</f>
        <v/>
      </c>
      <c r="B1246">
        <f>IF(BattleFishData!A54="","",BattleFishData!B54)</f>
        <v/>
      </c>
    </row>
    <row r="1247">
      <c r="A1247">
        <f>IF(BattleFishData!A55="","",BattleFishData!A55)</f>
        <v/>
      </c>
      <c r="B1247">
        <f>IF(BattleFishData!A55="","",BattleFishData!B55)</f>
        <v/>
      </c>
    </row>
    <row r="1248">
      <c r="A1248">
        <f>IF(BattleFishData!A56="","",BattleFishData!A56)</f>
        <v/>
      </c>
      <c r="B1248">
        <f>IF(BattleFishData!A56="","",BattleFishData!B56)</f>
        <v/>
      </c>
    </row>
    <row r="1249">
      <c r="A1249">
        <f>IF(BattleFishData!A57="","",BattleFishData!A57)</f>
        <v/>
      </c>
      <c r="B1249">
        <f>IF(BattleFishData!A57="","",BattleFishData!B57)</f>
        <v/>
      </c>
    </row>
    <row r="1250">
      <c r="A1250">
        <f>IF(BattleFishData!A58="","",BattleFishData!A58)</f>
        <v/>
      </c>
      <c r="B1250">
        <f>IF(BattleFishData!A58="","",BattleFishData!B58)</f>
        <v/>
      </c>
    </row>
    <row r="1251">
      <c r="A1251">
        <f>IF(BattleFishData!A59="","",BattleFishData!A59)</f>
        <v/>
      </c>
      <c r="B1251">
        <f>IF(BattleFishData!A59="","",BattleFishData!B59)</f>
        <v/>
      </c>
    </row>
    <row r="1252">
      <c r="A1252">
        <f>IF(BattleFishData!A60="","",BattleFishData!A60)</f>
        <v/>
      </c>
      <c r="B1252">
        <f>IF(BattleFishData!A60="","",BattleFishData!B60)</f>
        <v/>
      </c>
    </row>
    <row r="1253">
      <c r="A1253">
        <f>IF(BattleFishData!A61="","",BattleFishData!A61)</f>
        <v/>
      </c>
      <c r="B1253">
        <f>IF(BattleFishData!A61="","",BattleFishData!B61)</f>
        <v/>
      </c>
    </row>
    <row r="1254">
      <c r="A1254">
        <f>IF(BattleFishData!A62="","",BattleFishData!A62)</f>
        <v/>
      </c>
      <c r="B1254">
        <f>IF(BattleFishData!A62="","",BattleFishData!B62)</f>
        <v/>
      </c>
    </row>
    <row r="1255">
      <c r="A1255">
        <f>IF(BattleFishData!A63="","",BattleFishData!A63)</f>
        <v/>
      </c>
      <c r="B1255">
        <f>IF(BattleFishData!A63="","",BattleFishData!B63)</f>
        <v/>
      </c>
    </row>
    <row r="1256">
      <c r="A1256">
        <f>IF(BattleFishData!A64="","",BattleFishData!A64)</f>
        <v/>
      </c>
      <c r="B1256">
        <f>IF(BattleFishData!A64="","",BattleFishData!B64)</f>
        <v/>
      </c>
    </row>
    <row r="1257">
      <c r="A1257">
        <f>IF(BattleFishData!A65="","",BattleFishData!A65)</f>
        <v/>
      </c>
      <c r="B1257">
        <f>IF(BattleFishData!A65="","",BattleFishData!B65)</f>
        <v/>
      </c>
    </row>
    <row r="1258">
      <c r="A1258">
        <f>IF(BattleFishData!A66="","",BattleFishData!A66)</f>
        <v/>
      </c>
      <c r="B1258">
        <f>IF(BattleFishData!A66="","",BattleFishData!B66)</f>
        <v/>
      </c>
    </row>
    <row r="1259">
      <c r="A1259">
        <f>IF(BattleFishData!A67="","",BattleFishData!A67)</f>
        <v/>
      </c>
      <c r="B1259">
        <f>IF(BattleFishData!A67="","",BattleFishData!B67)</f>
        <v/>
      </c>
    </row>
    <row r="1260">
      <c r="A1260">
        <f>IF(BattleFishData!A68="","",BattleFishData!A68)</f>
        <v/>
      </c>
      <c r="B1260">
        <f>IF(BattleFishData!A68="","",BattleFishData!B68)</f>
        <v/>
      </c>
    </row>
    <row r="1261">
      <c r="A1261">
        <f>IF(BattleFishData!A69="","",BattleFishData!A69)</f>
        <v/>
      </c>
      <c r="B1261">
        <f>IF(BattleFishData!A69="","",BattleFishData!B69)</f>
        <v/>
      </c>
    </row>
    <row r="1262">
      <c r="A1262">
        <f>IF(BattleFishData!A70="","",BattleFishData!A70)</f>
        <v/>
      </c>
      <c r="B1262">
        <f>IF(BattleFishData!A70="","",BattleFishData!B70)</f>
        <v/>
      </c>
    </row>
    <row r="1263">
      <c r="A1263">
        <f>IF(BattleFishData!A71="","",BattleFishData!A71)</f>
        <v/>
      </c>
      <c r="B1263">
        <f>IF(BattleFishData!A71="","",BattleFishData!B71)</f>
        <v/>
      </c>
    </row>
    <row r="1264">
      <c r="A1264">
        <f>IF(BattleFishData!A72="","",BattleFishData!A72)</f>
        <v/>
      </c>
      <c r="B1264">
        <f>IF(BattleFishData!A72="","",BattleFishData!B72)</f>
        <v/>
      </c>
    </row>
    <row r="1265">
      <c r="A1265">
        <f>IF(BattleFishData!A73="","",BattleFishData!A73)</f>
        <v/>
      </c>
      <c r="B1265">
        <f>IF(BattleFishData!A73="","",BattleFishData!B73)</f>
        <v/>
      </c>
    </row>
    <row r="1266">
      <c r="A1266">
        <f>IF(BattleFishData!A74="","",BattleFishData!A74)</f>
        <v/>
      </c>
      <c r="B1266">
        <f>IF(BattleFishData!A74="","",BattleFishData!B74)</f>
        <v/>
      </c>
    </row>
    <row r="1267">
      <c r="A1267">
        <f>IF(BattleFishData!A75="","",BattleFishData!A75)</f>
        <v/>
      </c>
      <c r="B1267">
        <f>IF(BattleFishData!A75="","",BattleFishData!B75)</f>
        <v/>
      </c>
    </row>
    <row r="1268">
      <c r="A1268">
        <f>IF(BattleFishData!A76="","",BattleFishData!A76)</f>
        <v/>
      </c>
      <c r="B1268">
        <f>IF(BattleFishData!A76="","",BattleFishData!B76)</f>
        <v/>
      </c>
    </row>
    <row r="1269">
      <c r="A1269">
        <f>IF(BattleFishData!A77="","",BattleFishData!A77)</f>
        <v/>
      </c>
      <c r="B1269">
        <f>IF(BattleFishData!A77="","",BattleFishData!B77)</f>
        <v/>
      </c>
    </row>
    <row r="1270">
      <c r="A1270">
        <f>IF(BattleFishData!A78="","",BattleFishData!A78)</f>
        <v/>
      </c>
      <c r="B1270">
        <f>IF(BattleFishData!A78="","",BattleFishData!B78)</f>
        <v/>
      </c>
    </row>
    <row r="1271">
      <c r="A1271">
        <f>IF(BattleFishData!A79="","",BattleFishData!A79)</f>
        <v/>
      </c>
      <c r="B1271">
        <f>IF(BattleFishData!A79="","",BattleFishData!B79)</f>
        <v/>
      </c>
    </row>
    <row r="1272">
      <c r="A1272">
        <f>IF(BattleFishData!A80="","",BattleFishData!A80)</f>
        <v/>
      </c>
      <c r="B1272">
        <f>IF(BattleFishData!A80="","",BattleFishData!B80)</f>
        <v/>
      </c>
    </row>
    <row r="1273">
      <c r="A1273">
        <f>IF(BattleFishData!A81="","",BattleFishData!A81)</f>
        <v/>
      </c>
      <c r="B1273">
        <f>IF(BattleFishData!A81="","",BattleFishData!B81)</f>
        <v/>
      </c>
    </row>
    <row r="1274">
      <c r="A1274">
        <f>IF(BattleFishData!A82="","",BattleFishData!A82)</f>
        <v/>
      </c>
      <c r="B1274">
        <f>IF(BattleFishData!A82="","",BattleFishData!B82)</f>
        <v/>
      </c>
    </row>
    <row r="1275">
      <c r="A1275">
        <f>IF(BattleFishData!A83="","",BattleFishData!A83)</f>
        <v/>
      </c>
      <c r="B1275">
        <f>IF(BattleFishData!A83="","",BattleFishData!B83)</f>
        <v/>
      </c>
    </row>
    <row r="1276">
      <c r="A1276">
        <f>IF(BattleFishData!A84="","",BattleFishData!A84)</f>
        <v/>
      </c>
      <c r="B1276">
        <f>IF(BattleFishData!A84="","",BattleFishData!B84)</f>
        <v/>
      </c>
    </row>
    <row r="1277">
      <c r="A1277">
        <f>IF(BattleFishData!A85="","",BattleFishData!A85)</f>
        <v/>
      </c>
      <c r="B1277">
        <f>IF(BattleFishData!A85="","",BattleFishData!B85)</f>
        <v/>
      </c>
    </row>
    <row r="1278">
      <c r="A1278">
        <f>IF(BattleFishData!A86="","",BattleFishData!A86)</f>
        <v/>
      </c>
      <c r="B1278">
        <f>IF(BattleFishData!A86="","",BattleFishData!B86)</f>
        <v/>
      </c>
    </row>
    <row r="1279">
      <c r="A1279">
        <f>IF(BattleFishData!A87="","",BattleFishData!A87)</f>
        <v/>
      </c>
      <c r="B1279">
        <f>IF(BattleFishData!A87="","",BattleFishData!B87)</f>
        <v/>
      </c>
    </row>
    <row r="1280">
      <c r="A1280">
        <f>IF(BattleFishData!A88="","",BattleFishData!A88)</f>
        <v/>
      </c>
      <c r="B1280">
        <f>IF(BattleFishData!A88="","",BattleFishData!B88)</f>
        <v/>
      </c>
    </row>
    <row r="1281">
      <c r="A1281">
        <f>IF(BattleFishData!A89="","",BattleFishData!A89)</f>
        <v/>
      </c>
      <c r="B1281">
        <f>IF(BattleFishData!A89="","",BattleFishData!B89)</f>
        <v/>
      </c>
    </row>
    <row r="1282">
      <c r="A1282">
        <f>IF(BattleFishData!A90="","",BattleFishData!A90)</f>
        <v/>
      </c>
      <c r="B1282">
        <f>IF(BattleFishData!A90="","",BattleFishData!B90)</f>
        <v/>
      </c>
    </row>
    <row r="1283">
      <c r="A1283">
        <f>IF(BattleFishData!A91="","",BattleFishData!A91)</f>
        <v/>
      </c>
      <c r="B1283">
        <f>IF(BattleFishData!A91="","",BattleFishData!B91)</f>
        <v/>
      </c>
    </row>
    <row r="1284">
      <c r="A1284">
        <f>IF(BattleFishData!A92="","",BattleFishData!A92)</f>
        <v/>
      </c>
      <c r="B1284">
        <f>IF(BattleFishData!A92="","",BattleFishData!B92)</f>
        <v/>
      </c>
    </row>
    <row r="1285">
      <c r="A1285">
        <f>IF(BattleFishData!A93="","",BattleFishData!A93)</f>
        <v/>
      </c>
      <c r="B1285">
        <f>IF(BattleFishData!A93="","",BattleFishData!B93)</f>
        <v/>
      </c>
    </row>
    <row r="1286">
      <c r="A1286">
        <f>IF(BattleFishData!A94="","",BattleFishData!A94)</f>
        <v/>
      </c>
      <c r="B1286">
        <f>IF(BattleFishData!A94="","",BattleFishData!B94)</f>
        <v/>
      </c>
    </row>
    <row r="1287">
      <c r="A1287">
        <f>IF(BattleFishData!A95="","",BattleFishData!A95)</f>
        <v/>
      </c>
      <c r="B1287">
        <f>IF(BattleFishData!A95="","",BattleFishData!B95)</f>
        <v/>
      </c>
    </row>
    <row r="1288">
      <c r="A1288">
        <f>IF(BattleFishData!A96="","",BattleFishData!A96)</f>
        <v/>
      </c>
      <c r="B1288">
        <f>IF(BattleFishData!A96="","",BattleFishData!B96)</f>
        <v/>
      </c>
    </row>
    <row r="1289">
      <c r="A1289">
        <f>IF(BattleFishData!A97="","",BattleFishData!A97)</f>
        <v/>
      </c>
      <c r="B1289">
        <f>IF(BattleFishData!A97="","",BattleFishData!B97)</f>
        <v/>
      </c>
    </row>
    <row r="1290">
      <c r="A1290">
        <f>IF(BattleFishData!A98="","",BattleFishData!A98)</f>
        <v/>
      </c>
      <c r="B1290">
        <f>IF(BattleFishData!A98="","",BattleFishData!B98)</f>
        <v/>
      </c>
    </row>
    <row r="1291">
      <c r="A1291">
        <f>IF(BattleFishData!A99="","",BattleFishData!A99)</f>
        <v/>
      </c>
      <c r="B1291">
        <f>IF(BattleFishData!A99="","",BattleFishData!B99)</f>
        <v/>
      </c>
    </row>
    <row r="1292">
      <c r="A1292">
        <f>IF(BattleFishData!A100="","",BattleFishData!A100)</f>
        <v/>
      </c>
      <c r="B1292">
        <f>IF(BattleFishData!A100="","",BattleFishData!B100)</f>
        <v/>
      </c>
    </row>
    <row r="1293">
      <c r="A1293">
        <f>IF(BattleFishData!A101="","",BattleFishData!A101)</f>
        <v/>
      </c>
      <c r="B1293">
        <f>IF(BattleFishData!A101="","",BattleFishData!B101)</f>
        <v/>
      </c>
    </row>
    <row r="1294">
      <c r="A1294">
        <f>IF(BattleFishData!A102="","",BattleFishData!A102)</f>
        <v/>
      </c>
      <c r="B1294">
        <f>IF(BattleFishData!A102="","",BattleFishData!B102)</f>
        <v/>
      </c>
    </row>
    <row r="1295">
      <c r="A1295">
        <f>IF(BattleFishData!A103="","",BattleFishData!A103)</f>
        <v/>
      </c>
      <c r="B1295">
        <f>IF(BattleFishData!A103="","",BattleFishData!B103)</f>
        <v/>
      </c>
    </row>
    <row r="1296">
      <c r="A1296">
        <f>IF(BattleFishData!A104="","",BattleFishData!A104)</f>
        <v/>
      </c>
      <c r="B1296">
        <f>IF(BattleFishData!A104="","",BattleFishData!B104)</f>
        <v/>
      </c>
    </row>
    <row r="1297">
      <c r="A1297">
        <f>IF(BattleFishData!A105="","",BattleFishData!A105)</f>
        <v/>
      </c>
      <c r="B1297">
        <f>IF(BattleFishData!A105="","",BattleFishData!B105)</f>
        <v/>
      </c>
    </row>
    <row r="1298">
      <c r="A1298">
        <f>IF(BattleFishData!A106="","",BattleFishData!A106)</f>
        <v/>
      </c>
      <c r="B1298">
        <f>IF(BattleFishData!A106="","",BattleFishData!B106)</f>
        <v/>
      </c>
    </row>
    <row r="1299">
      <c r="A1299">
        <f>IF(BattleFishData!A107="","",BattleFishData!A107)</f>
        <v/>
      </c>
      <c r="B1299">
        <f>IF(BattleFishData!A107="","",BattleFishData!B107)</f>
        <v/>
      </c>
    </row>
    <row r="1300">
      <c r="A1300">
        <f>IF(BattleFishData!A108="","",BattleFishData!A108)</f>
        <v/>
      </c>
      <c r="B1300">
        <f>IF(BattleFishData!A108="","",BattleFishData!B108)</f>
        <v/>
      </c>
    </row>
    <row r="1301">
      <c r="A1301">
        <f>IF(BattleFishData!A109="","",BattleFishData!A109)</f>
        <v/>
      </c>
      <c r="B1301">
        <f>IF(BattleFishData!A109="","",BattleFishData!B109)</f>
        <v/>
      </c>
    </row>
    <row r="1302">
      <c r="A1302">
        <f>IF(BattleFishData!A110="","",BattleFishData!A110)</f>
        <v/>
      </c>
      <c r="B1302">
        <f>IF(BattleFishData!A110="","",BattleFishData!B110)</f>
        <v/>
      </c>
    </row>
    <row r="1303">
      <c r="A1303">
        <f>IF(BattleFishData!A111="","",BattleFishData!A111)</f>
        <v/>
      </c>
      <c r="B1303">
        <f>IF(BattleFishData!A111="","",BattleFishData!B111)</f>
        <v/>
      </c>
    </row>
    <row r="1304">
      <c r="A1304">
        <f>IF(BattleFishData!A112="","",BattleFishData!A112)</f>
        <v/>
      </c>
      <c r="B1304">
        <f>IF(BattleFishData!A112="","",BattleFishData!B112)</f>
        <v/>
      </c>
    </row>
    <row r="1305">
      <c r="A1305">
        <f>IF(BattleFishData!A113="","",BattleFishData!A113)</f>
        <v/>
      </c>
      <c r="B1305">
        <f>IF(BattleFishData!A113="","",BattleFishData!B113)</f>
        <v/>
      </c>
    </row>
    <row r="1306">
      <c r="A1306">
        <f>IF(BattleFishData!A114="","",BattleFishData!A114)</f>
        <v/>
      </c>
      <c r="B1306">
        <f>IF(BattleFishData!A114="","",BattleFishData!B114)</f>
        <v/>
      </c>
    </row>
    <row r="1307">
      <c r="A1307">
        <f>IF(BattleFishData!A115="","",BattleFishData!A115)</f>
        <v/>
      </c>
      <c r="B1307">
        <f>IF(BattleFishData!A115="","",BattleFishData!B115)</f>
        <v/>
      </c>
    </row>
    <row r="1308">
      <c r="A1308">
        <f>IF(BattleFishData!A116="","",BattleFishData!A116)</f>
        <v/>
      </c>
      <c r="B1308">
        <f>IF(BattleFishData!A116="","",BattleFishData!B116)</f>
        <v/>
      </c>
    </row>
    <row r="1309">
      <c r="A1309">
        <f>IF(BattleFishData!A117="","",BattleFishData!A117)</f>
        <v/>
      </c>
      <c r="B1309">
        <f>IF(BattleFishData!A117="","",BattleFishData!B117)</f>
        <v/>
      </c>
    </row>
    <row r="1310">
      <c r="A1310">
        <f>IF(BattleFishData!A118="","",BattleFishData!A118)</f>
        <v/>
      </c>
      <c r="B1310">
        <f>IF(BattleFishData!A118="","",BattleFishData!B118)</f>
        <v/>
      </c>
    </row>
    <row r="1311">
      <c r="A1311">
        <f>IF(BattleFishData!A119="","",BattleFishData!A119)</f>
        <v/>
      </c>
      <c r="B1311">
        <f>IF(BattleFishData!A119="","",BattleFishData!B119)</f>
        <v/>
      </c>
    </row>
    <row r="1312">
      <c r="A1312">
        <f>IF(BattleFishData!A120="","",BattleFishData!A120)</f>
        <v/>
      </c>
      <c r="B1312">
        <f>IF(BattleFishData!A120="","",BattleFishData!B120)</f>
        <v/>
      </c>
    </row>
    <row r="1313">
      <c r="A1313">
        <f>IF(BattleFishData!A121="","",BattleFishData!A121)</f>
        <v/>
      </c>
      <c r="B1313">
        <f>IF(BattleFishData!A121="","",BattleFishData!B121)</f>
        <v/>
      </c>
    </row>
    <row r="1314">
      <c r="A1314">
        <f>IF(BattleFishData!A122="","",BattleFishData!A122)</f>
        <v/>
      </c>
      <c r="B1314">
        <f>IF(BattleFishData!A122="","",BattleFishData!B122)</f>
        <v/>
      </c>
    </row>
    <row r="1315">
      <c r="A1315">
        <f>IF(BattleFishData!A123="","",BattleFishData!A123)</f>
        <v/>
      </c>
      <c r="B1315">
        <f>IF(BattleFishData!A123="","",BattleFishData!B123)</f>
        <v/>
      </c>
    </row>
    <row r="1316">
      <c r="A1316">
        <f>IF(BattleFishData!A124="","",BattleFishData!A124)</f>
        <v/>
      </c>
      <c r="B1316">
        <f>IF(BattleFishData!A124="","",BattleFishData!B124)</f>
        <v/>
      </c>
    </row>
    <row r="1317">
      <c r="A1317">
        <f>IF(BattleFishData!A125="","",BattleFishData!A125)</f>
        <v/>
      </c>
      <c r="B1317">
        <f>IF(BattleFishData!A125="","",BattleFishData!B125)</f>
        <v/>
      </c>
    </row>
    <row r="1318">
      <c r="A1318">
        <f>IF(BattleFishData!A126="","",BattleFishData!A126)</f>
        <v/>
      </c>
      <c r="B1318">
        <f>IF(BattleFishData!A126="","",BattleFishData!B126)</f>
        <v/>
      </c>
    </row>
    <row r="1319">
      <c r="A1319">
        <f>IF(BattleFishData!A127="","",BattleFishData!A127)</f>
        <v/>
      </c>
      <c r="B1319">
        <f>IF(BattleFishData!A127="","",BattleFishData!B127)</f>
        <v/>
      </c>
    </row>
    <row r="1320">
      <c r="A1320">
        <f>IF(BattleFishData!A128="","",BattleFishData!A128)</f>
        <v/>
      </c>
      <c r="B1320">
        <f>IF(BattleFishData!A128="","",BattleFishData!B128)</f>
        <v/>
      </c>
    </row>
    <row r="1321">
      <c r="A1321">
        <f>IF(BattleFishData!A129="","",BattleFishData!A129)</f>
        <v/>
      </c>
      <c r="B1321">
        <f>IF(BattleFishData!A129="","",BattleFishData!B129)</f>
        <v/>
      </c>
    </row>
    <row r="1322">
      <c r="A1322">
        <f>IF(BattleFishData!A130="","",BattleFishData!A130)</f>
        <v/>
      </c>
      <c r="B1322">
        <f>IF(BattleFishData!A130="","",BattleFishData!B130)</f>
        <v/>
      </c>
    </row>
    <row r="1323">
      <c r="A1323">
        <f>IF(BattleFishData!A131="","",BattleFishData!A131)</f>
        <v/>
      </c>
      <c r="B1323">
        <f>IF(BattleFishData!A131="","",BattleFishData!B131)</f>
        <v/>
      </c>
    </row>
    <row r="1324">
      <c r="A1324">
        <f>IF(BattleFishData!A132="","",BattleFishData!A132)</f>
        <v/>
      </c>
      <c r="B1324">
        <f>IF(BattleFishData!A132="","",BattleFishData!B132)</f>
        <v/>
      </c>
    </row>
    <row r="1325">
      <c r="A1325">
        <f>IF(BattleFishData!A133="","",BattleFishData!A133)</f>
        <v/>
      </c>
      <c r="B1325">
        <f>IF(BattleFishData!A133="","",BattleFishData!B133)</f>
        <v/>
      </c>
    </row>
    <row r="1326">
      <c r="A1326">
        <f>IF(BattleFishData!A134="","",BattleFishData!A134)</f>
        <v/>
      </c>
      <c r="B1326">
        <f>IF(BattleFishData!A134="","",BattleFishData!B134)</f>
        <v/>
      </c>
    </row>
    <row r="1327">
      <c r="A1327">
        <f>IF(BattleFishData!A135="","",BattleFishData!A135)</f>
        <v/>
      </c>
      <c r="B1327">
        <f>IF(BattleFishData!A135="","",BattleFishData!B135)</f>
        <v/>
      </c>
    </row>
    <row r="1328">
      <c r="A1328">
        <f>IF(BattleFishData!A136="","",BattleFishData!A136)</f>
        <v/>
      </c>
      <c r="B1328">
        <f>IF(BattleFishData!A136="","",BattleFishData!B136)</f>
        <v/>
      </c>
    </row>
    <row r="1329">
      <c r="A1329">
        <f>IF(BattleFishData!A137="","",BattleFishData!A137)</f>
        <v/>
      </c>
      <c r="B1329">
        <f>IF(BattleFishData!A137="","",BattleFishData!B137)</f>
        <v/>
      </c>
    </row>
    <row r="1330">
      <c r="A1330">
        <f>IF(BattleFishData!A138="","",BattleFishData!A138)</f>
        <v/>
      </c>
      <c r="B1330">
        <f>IF(BattleFishData!A138="","",BattleFishData!B138)</f>
        <v/>
      </c>
    </row>
    <row r="1331">
      <c r="A1331">
        <f>IF(BattleFishData!A139="","",BattleFishData!A139)</f>
        <v/>
      </c>
      <c r="B1331">
        <f>IF(BattleFishData!A139="","",BattleFishData!B139)</f>
        <v/>
      </c>
    </row>
    <row r="1332">
      <c r="A1332">
        <f>IF(BattleFishData!A140="","",BattleFishData!A140)</f>
        <v/>
      </c>
      <c r="B1332">
        <f>IF(BattleFishData!A140="","",BattleFishData!B140)</f>
        <v/>
      </c>
    </row>
    <row r="1333">
      <c r="A1333">
        <f>IF(BattleFishData!A141="","",BattleFishData!A141)</f>
        <v/>
      </c>
      <c r="B1333">
        <f>IF(BattleFishData!A141="","",BattleFishData!B141)</f>
        <v/>
      </c>
    </row>
    <row r="1334">
      <c r="A1334">
        <f>IF(BattleFishData!A142="","",BattleFishData!A142)</f>
        <v/>
      </c>
      <c r="B1334">
        <f>IF(BattleFishData!A142="","",BattleFishData!B142)</f>
        <v/>
      </c>
    </row>
    <row r="1335">
      <c r="A1335">
        <f>IF(BattleFishData!A143="","",BattleFishData!A143)</f>
        <v/>
      </c>
      <c r="B1335">
        <f>IF(BattleFishData!A143="","",BattleFishData!B143)</f>
        <v/>
      </c>
    </row>
    <row r="1336">
      <c r="A1336">
        <f>IF(BattleFishData!A144="","",BattleFishData!A144)</f>
        <v/>
      </c>
      <c r="B1336">
        <f>IF(BattleFishData!A144="","",BattleFishData!B144)</f>
        <v/>
      </c>
    </row>
    <row r="1337">
      <c r="A1337">
        <f>IF(BattleFishData!A145="","",BattleFishData!A145)</f>
        <v/>
      </c>
      <c r="B1337">
        <f>IF(BattleFishData!A145="","",BattleFishData!B145)</f>
        <v/>
      </c>
    </row>
    <row r="1338">
      <c r="A1338">
        <f>IF(BattleFishData!A146="","",BattleFishData!A146)</f>
        <v/>
      </c>
      <c r="B1338">
        <f>IF(BattleFishData!A146="","",BattleFishData!B146)</f>
        <v/>
      </c>
    </row>
    <row r="1339">
      <c r="A1339">
        <f>IF(BattleFishData!A147="","",BattleFishData!A147)</f>
        <v/>
      </c>
      <c r="B1339">
        <f>IF(BattleFishData!A147="","",BattleFishData!B147)</f>
        <v/>
      </c>
    </row>
    <row r="1340">
      <c r="A1340">
        <f>IF(BattleFishData!A148="","",BattleFishData!A148)</f>
        <v/>
      </c>
      <c r="B1340">
        <f>IF(BattleFishData!A148="","",BattleFishData!B148)</f>
        <v/>
      </c>
    </row>
    <row r="1341">
      <c r="A1341">
        <f>IF(BattleFishData!A149="","",BattleFishData!A149)</f>
        <v/>
      </c>
      <c r="B1341">
        <f>IF(BattleFishData!A149="","",BattleFishData!B149)</f>
        <v/>
      </c>
    </row>
    <row r="1342">
      <c r="A1342">
        <f>IF(BattleFishData!A150="","",BattleFishData!A150)</f>
        <v/>
      </c>
      <c r="B1342">
        <f>IF(BattleFishData!A150="","",BattleFishData!B150)</f>
        <v/>
      </c>
    </row>
    <row r="1343">
      <c r="A1343">
        <f>IF(BattleFishData!A151="","",BattleFishData!A151)</f>
        <v/>
      </c>
      <c r="B1343">
        <f>IF(BattleFishData!A151="","",BattleFishData!B151)</f>
        <v/>
      </c>
    </row>
    <row r="1344">
      <c r="A1344">
        <f>IF(BattleFishData!A152="","",BattleFishData!A152)</f>
        <v/>
      </c>
      <c r="B1344">
        <f>IF(BattleFishData!A152="","",BattleFishData!B152)</f>
        <v/>
      </c>
    </row>
    <row r="1345">
      <c r="A1345">
        <f>IF(BattleFishData!A153="","",BattleFishData!A153)</f>
        <v/>
      </c>
      <c r="B1345">
        <f>IF(BattleFishData!A153="","",BattleFishData!B153)</f>
        <v/>
      </c>
    </row>
    <row r="1346">
      <c r="A1346">
        <f>IF(BattleFishData!A154="","",BattleFishData!A154)</f>
        <v/>
      </c>
      <c r="B1346">
        <f>IF(BattleFishData!A154="","",BattleFishData!B154)</f>
        <v/>
      </c>
    </row>
    <row r="1347">
      <c r="A1347">
        <f>IF(BattleFishData!A155="","",BattleFishData!A155)</f>
        <v/>
      </c>
      <c r="B1347">
        <f>IF(BattleFishData!A155="","",BattleFishData!B155)</f>
        <v/>
      </c>
    </row>
    <row r="1348">
      <c r="A1348">
        <f>IF(BattleFishData!A156="","",BattleFishData!A156)</f>
        <v/>
      </c>
      <c r="B1348">
        <f>IF(BattleFishData!A156="","",BattleFishData!B156)</f>
        <v/>
      </c>
    </row>
    <row r="1349">
      <c r="A1349">
        <f>IF(BattleFishData!A157="","",BattleFishData!A157)</f>
        <v/>
      </c>
      <c r="B1349">
        <f>IF(BattleFishData!A157="","",BattleFishData!B157)</f>
        <v/>
      </c>
    </row>
    <row r="1350">
      <c r="A1350">
        <f>IF(BattleFishData!A158="","",BattleFishData!A158)</f>
        <v/>
      </c>
      <c r="B1350">
        <f>IF(BattleFishData!A158="","",BattleFishData!B158)</f>
        <v/>
      </c>
    </row>
    <row r="1351">
      <c r="A1351">
        <f>IF(BattleFishData!A159="","",BattleFishData!A159)</f>
        <v/>
      </c>
      <c r="B1351">
        <f>IF(BattleFishData!A159="","",BattleFishData!B159)</f>
        <v/>
      </c>
    </row>
    <row r="1352">
      <c r="A1352">
        <f>IF(BattleFishData!A160="","",BattleFishData!A160)</f>
        <v/>
      </c>
      <c r="B1352">
        <f>IF(BattleFishData!A160="","",BattleFishData!B160)</f>
        <v/>
      </c>
    </row>
    <row r="1353">
      <c r="A1353">
        <f>IF(BattleFishData!A161="","",BattleFishData!A161)</f>
        <v/>
      </c>
      <c r="B1353">
        <f>IF(BattleFishData!A161="","",BattleFishData!B161)</f>
        <v/>
      </c>
    </row>
    <row r="1354">
      <c r="A1354">
        <f>IF(BattleFishData!A162="","",BattleFishData!A162)</f>
        <v/>
      </c>
      <c r="B1354">
        <f>IF(BattleFishData!A162="","",BattleFishData!B162)</f>
        <v/>
      </c>
    </row>
    <row r="1355">
      <c r="A1355">
        <f>IF(BattleFishData!A163="","",BattleFishData!A163)</f>
        <v/>
      </c>
      <c r="B1355">
        <f>IF(BattleFishData!A163="","",BattleFishData!B163)</f>
        <v/>
      </c>
    </row>
    <row r="1356">
      <c r="A1356">
        <f>IF(BattleFishData!A164="","",BattleFishData!A164)</f>
        <v/>
      </c>
      <c r="B1356">
        <f>IF(BattleFishData!A164="","",BattleFishData!B164)</f>
        <v/>
      </c>
    </row>
    <row r="1357">
      <c r="A1357">
        <f>IF(BattleFishData!A165="","",BattleFishData!A165)</f>
        <v/>
      </c>
      <c r="B1357">
        <f>IF(BattleFishData!A165="","",BattleFishData!B165)</f>
        <v/>
      </c>
    </row>
    <row r="1358">
      <c r="A1358">
        <f>IF(BattleFishData!A166="","",BattleFishData!A166)</f>
        <v/>
      </c>
      <c r="B1358">
        <f>IF(BattleFishData!A166="","",BattleFishData!B166)</f>
        <v/>
      </c>
    </row>
    <row r="1359">
      <c r="A1359">
        <f>IF(BattleFishData!A167="","",BattleFishData!A167)</f>
        <v/>
      </c>
      <c r="B1359">
        <f>IF(BattleFishData!A167="","",BattleFishData!B167)</f>
        <v/>
      </c>
    </row>
    <row r="1360">
      <c r="A1360">
        <f>IF(BattleFishData!A168="","",BattleFishData!A168)</f>
        <v/>
      </c>
      <c r="B1360">
        <f>IF(BattleFishData!A168="","",BattleFishData!B168)</f>
        <v/>
      </c>
    </row>
    <row r="1361">
      <c r="A1361">
        <f>IF(BattleFishData!A169="","",BattleFishData!A169)</f>
        <v/>
      </c>
      <c r="B1361">
        <f>IF(BattleFishData!A169="","",BattleFishData!B169)</f>
        <v/>
      </c>
    </row>
    <row r="1362">
      <c r="A1362">
        <f>IF(BattleFishData!A170="","",BattleFishData!A170)</f>
        <v/>
      </c>
      <c r="B1362">
        <f>IF(BattleFishData!A170="","",BattleFishData!B170)</f>
        <v/>
      </c>
    </row>
    <row r="1363">
      <c r="A1363">
        <f>IF(BattleFishData!A171="","",BattleFishData!A171)</f>
        <v/>
      </c>
      <c r="B1363">
        <f>IF(BattleFishData!A171="","",BattleFishData!B171)</f>
        <v/>
      </c>
    </row>
    <row r="1364">
      <c r="A1364">
        <f>IF(BattleFishData!A172="","",BattleFishData!A172)</f>
        <v/>
      </c>
      <c r="B1364">
        <f>IF(BattleFishData!A172="","",BattleFishData!B172)</f>
        <v/>
      </c>
    </row>
    <row r="1365">
      <c r="A1365">
        <f>IF(BattleFishData!A173="","",BattleFishData!A173)</f>
        <v/>
      </c>
      <c r="B1365">
        <f>IF(BattleFishData!A173="","",BattleFishData!B173)</f>
        <v/>
      </c>
    </row>
    <row r="1366">
      <c r="A1366">
        <f>IF(BattleFishData!A174="","",BattleFishData!A174)</f>
        <v/>
      </c>
      <c r="B1366">
        <f>IF(BattleFishData!A174="","",BattleFishData!B174)</f>
        <v/>
      </c>
    </row>
    <row r="1367">
      <c r="A1367">
        <f>IF(BattleFishData!A175="","",BattleFishData!A175)</f>
        <v/>
      </c>
      <c r="B1367">
        <f>IF(BattleFishData!A175="","",BattleFishData!B175)</f>
        <v/>
      </c>
    </row>
    <row r="1368">
      <c r="A1368">
        <f>IF(BattleFishData!A176="","",BattleFishData!A176)</f>
        <v/>
      </c>
      <c r="B1368">
        <f>IF(BattleFishData!A176="","",BattleFishData!B176)</f>
        <v/>
      </c>
    </row>
    <row r="1369">
      <c r="A1369">
        <f>IF(BattleFishData!A177="","",BattleFishData!A177)</f>
        <v/>
      </c>
      <c r="B1369">
        <f>IF(BattleFishData!A177="","",BattleFishData!B177)</f>
        <v/>
      </c>
    </row>
    <row r="1370">
      <c r="A1370">
        <f>IF(BattleFishData!A178="","",BattleFishData!A178)</f>
        <v/>
      </c>
      <c r="B1370">
        <f>IF(BattleFishData!A178="","",BattleFishData!B178)</f>
        <v/>
      </c>
    </row>
    <row r="1371">
      <c r="A1371">
        <f>IF(BattleFishData!A179="","",BattleFishData!A179)</f>
        <v/>
      </c>
      <c r="B1371">
        <f>IF(BattleFishData!A179="","",BattleFishData!B179)</f>
        <v/>
      </c>
    </row>
    <row r="1372">
      <c r="A1372">
        <f>IF(BattleFishData!A180="","",BattleFishData!A180)</f>
        <v/>
      </c>
      <c r="B1372">
        <f>IF(BattleFishData!A180="","",BattleFishData!B180)</f>
        <v/>
      </c>
    </row>
    <row r="1373">
      <c r="A1373">
        <f>IF(BattleFishData!A181="","",BattleFishData!A181)</f>
        <v/>
      </c>
      <c r="B1373">
        <f>IF(BattleFishData!A181="","",BattleFishData!B181)</f>
        <v/>
      </c>
    </row>
    <row r="1374">
      <c r="A1374">
        <f>IF(BattleFishData!A182="","",BattleFishData!A182)</f>
        <v/>
      </c>
      <c r="B1374">
        <f>IF(BattleFishData!A182="","",BattleFishData!B182)</f>
        <v/>
      </c>
    </row>
    <row r="1375">
      <c r="A1375">
        <f>IF(BattleFishData!A183="","",BattleFishData!A183)</f>
        <v/>
      </c>
      <c r="B1375">
        <f>IF(BattleFishData!A183="","",BattleFishData!B183)</f>
        <v/>
      </c>
    </row>
    <row r="1376">
      <c r="A1376">
        <f>IF(BattleFishData!A184="","",BattleFishData!A184)</f>
        <v/>
      </c>
      <c r="B1376">
        <f>IF(BattleFishData!A184="","",BattleFishData!B184)</f>
        <v/>
      </c>
    </row>
    <row r="1377">
      <c r="A1377">
        <f>IF(BattleFishData!A185="","",BattleFishData!A185)</f>
        <v/>
      </c>
      <c r="B1377">
        <f>IF(BattleFishData!A185="","",BattleFishData!B185)</f>
        <v/>
      </c>
    </row>
    <row r="1378">
      <c r="A1378">
        <f>IF(BattleFishData!A186="","",BattleFishData!A186)</f>
        <v/>
      </c>
      <c r="B1378">
        <f>IF(BattleFishData!A186="","",BattleFishData!B186)</f>
        <v/>
      </c>
    </row>
    <row r="1379">
      <c r="A1379">
        <f>IF(BattleFishData!A187="","",BattleFishData!A187)</f>
        <v/>
      </c>
      <c r="B1379">
        <f>IF(BattleFishData!A187="","",BattleFishData!B187)</f>
        <v/>
      </c>
    </row>
    <row r="1380">
      <c r="A1380">
        <f>IF(BattleFishData!A188="","",BattleFishData!A188)</f>
        <v/>
      </c>
      <c r="B1380">
        <f>IF(BattleFishData!A188="","",BattleFishData!B188)</f>
        <v/>
      </c>
    </row>
    <row r="1381">
      <c r="A1381">
        <f>IF(BattleFishData!A189="","",BattleFishData!A189)</f>
        <v/>
      </c>
      <c r="B1381">
        <f>IF(BattleFishData!A189="","",BattleFishData!B189)</f>
        <v/>
      </c>
    </row>
    <row r="1382">
      <c r="A1382">
        <f>IF(BattleFishData!A190="","",BattleFishData!A190)</f>
        <v/>
      </c>
      <c r="B1382">
        <f>IF(BattleFishData!A190="","",BattleFishData!B190)</f>
        <v/>
      </c>
    </row>
    <row r="1383">
      <c r="A1383">
        <f>IF(BattleFishData!A191="","",BattleFishData!A191)</f>
        <v/>
      </c>
      <c r="B1383">
        <f>IF(BattleFishData!A191="","",BattleFishData!B191)</f>
        <v/>
      </c>
    </row>
    <row r="1384">
      <c r="A1384">
        <f>IF(BattleFishData!A192="","",BattleFishData!A192)</f>
        <v/>
      </c>
      <c r="B1384">
        <f>IF(BattleFishData!A192="","",BattleFishData!B192)</f>
        <v/>
      </c>
    </row>
    <row r="1385">
      <c r="A1385">
        <f>IF(BattleFishData!A193="","",BattleFishData!A193)</f>
        <v/>
      </c>
      <c r="B1385">
        <f>IF(BattleFishData!A193="","",BattleFishData!B193)</f>
        <v/>
      </c>
    </row>
    <row r="1386">
      <c r="A1386">
        <f>IF(BattleFishData!A194="","",BattleFishData!A194)</f>
        <v/>
      </c>
      <c r="B1386">
        <f>IF(BattleFishData!A194="","",BattleFishData!B194)</f>
        <v/>
      </c>
    </row>
    <row r="1387">
      <c r="A1387">
        <f>IF(BattleFishData!A195="","",BattleFishData!A195)</f>
        <v/>
      </c>
      <c r="B1387">
        <f>IF(BattleFishData!A195="","",BattleFishData!B195)</f>
        <v/>
      </c>
    </row>
    <row r="1388">
      <c r="A1388">
        <f>IF(BattleFishData!A196="","",BattleFishData!A196)</f>
        <v/>
      </c>
      <c r="B1388">
        <f>IF(BattleFishData!A196="","",BattleFishData!B196)</f>
        <v/>
      </c>
    </row>
    <row r="1389">
      <c r="A1389">
        <f>IF(BattleFishData!A197="","",BattleFishData!A197)</f>
        <v/>
      </c>
      <c r="B1389">
        <f>IF(BattleFishData!A197="","",BattleFishData!B197)</f>
        <v/>
      </c>
    </row>
    <row r="1390">
      <c r="A1390">
        <f>IF(BattleFishData!A198="","",BattleFishData!A198)</f>
        <v/>
      </c>
      <c r="B1390">
        <f>IF(BattleFishData!A198="","",BattleFishData!B198)</f>
        <v/>
      </c>
    </row>
    <row r="1391">
      <c r="A1391">
        <f>IF(BattleFishData!A199="","",BattleFishData!A199)</f>
        <v/>
      </c>
      <c r="B1391">
        <f>IF(BattleFishData!A199="","",BattleFishData!B199)</f>
        <v/>
      </c>
    </row>
    <row r="1392">
      <c r="A1392">
        <f>IF(BattleFishData!A200="","",BattleFishData!A200)</f>
        <v/>
      </c>
      <c r="B1392">
        <f>IF(BattleFishData!A200="","",BattleFishData!B200)</f>
        <v/>
      </c>
    </row>
    <row r="1393">
      <c r="A1393">
        <f>IF(BattleFishData!A201="","",BattleFishData!A201)</f>
        <v/>
      </c>
      <c r="B1393">
        <f>IF(BattleFishData!A201="","",BattleFishData!B201)</f>
        <v/>
      </c>
    </row>
    <row r="1394">
      <c r="A1394">
        <f>IF(BattleFishData!A202="","",BattleFishData!A202)</f>
        <v/>
      </c>
      <c r="B1394">
        <f>IF(BattleFishData!A202="","",BattleFishData!B202)</f>
        <v/>
      </c>
    </row>
    <row r="1395">
      <c r="A1395">
        <f>IF(BattleFishData!A203="","",BattleFishData!A203)</f>
        <v/>
      </c>
      <c r="B1395">
        <f>IF(BattleFishData!A203="","",BattleFishData!B203)</f>
        <v/>
      </c>
    </row>
    <row r="1396">
      <c r="A1396">
        <f>IF(BattleFishData!A204="","",BattleFishData!A204)</f>
        <v/>
      </c>
      <c r="B1396">
        <f>IF(BattleFishData!A204="","",BattleFishData!B204)</f>
        <v/>
      </c>
    </row>
    <row r="1397">
      <c r="A1397">
        <f>IF(BattleFishData!A205="","",BattleFishData!A205)</f>
        <v/>
      </c>
      <c r="B1397">
        <f>IF(BattleFishData!A205="","",BattleFishData!B205)</f>
        <v/>
      </c>
    </row>
    <row r="1398">
      <c r="A1398">
        <f>IF(BattleFishData!A206="","",BattleFishData!A206)</f>
        <v/>
      </c>
      <c r="B1398">
        <f>IF(BattleFishData!A206="","",BattleFishData!B206)</f>
        <v/>
      </c>
    </row>
    <row r="1399">
      <c r="A1399">
        <f>IF(BattleFishData!A207="","",BattleFishData!A207)</f>
        <v/>
      </c>
      <c r="B1399">
        <f>IF(BattleFishData!A207="","",BattleFishData!B207)</f>
        <v/>
      </c>
    </row>
    <row r="1400">
      <c r="A1400">
        <f>IF(BattleFishData!A208="","",BattleFishData!A208)</f>
        <v/>
      </c>
      <c r="B1400">
        <f>IF(BattleFishData!A208="","",BattleFishData!B208)</f>
        <v/>
      </c>
    </row>
    <row r="1401">
      <c r="A1401">
        <f>IF(BattleFishData!A209="","",BattleFishData!A209)</f>
        <v/>
      </c>
      <c r="B1401">
        <f>IF(BattleFishData!A209="","",BattleFishData!B209)</f>
        <v/>
      </c>
    </row>
    <row r="1402">
      <c r="A1402">
        <f>IF(BattleFishData!A210="","",BattleFishData!A210)</f>
        <v/>
      </c>
      <c r="B1402">
        <f>IF(BattleFishData!A210="","",BattleFishData!B210)</f>
        <v/>
      </c>
    </row>
    <row r="1403">
      <c r="A1403">
        <f>IF(BattleFishData!A211="","",BattleFishData!A211)</f>
        <v/>
      </c>
      <c r="B1403">
        <f>IF(BattleFishData!A211="","",BattleFishData!B211)</f>
        <v/>
      </c>
    </row>
    <row r="1404">
      <c r="A1404">
        <f>IF(BattleFishData!A212="","",BattleFishData!A212)</f>
        <v/>
      </c>
      <c r="B1404">
        <f>IF(BattleFishData!A212="","",BattleFishData!B212)</f>
        <v/>
      </c>
    </row>
    <row r="1405">
      <c r="A1405">
        <f>IF(BattleFishData!A213="","",BattleFishData!A213)</f>
        <v/>
      </c>
      <c r="B1405">
        <f>IF(BattleFishData!A213="","",BattleFishData!B213)</f>
        <v/>
      </c>
    </row>
    <row r="1406">
      <c r="A1406">
        <f>IF(BattleFishData!A214="","",BattleFishData!A214)</f>
        <v/>
      </c>
      <c r="B1406">
        <f>IF(BattleFishData!A214="","",BattleFishData!B214)</f>
        <v/>
      </c>
    </row>
    <row r="1407">
      <c r="A1407">
        <f>IF(BattleFishData!A215="","",BattleFishData!A215)</f>
        <v/>
      </c>
      <c r="B1407">
        <f>IF(BattleFishData!A215="","",BattleFishData!B215)</f>
        <v/>
      </c>
    </row>
    <row r="1408">
      <c r="A1408">
        <f>IF(BattleFishData!A216="","",BattleFishData!A216)</f>
        <v/>
      </c>
      <c r="B1408">
        <f>IF(BattleFishData!A216="","",BattleFishData!B216)</f>
        <v/>
      </c>
    </row>
    <row r="1409">
      <c r="A1409">
        <f>IF(BattleFishData!A217="","",BattleFishData!A217)</f>
        <v/>
      </c>
      <c r="B1409">
        <f>IF(BattleFishData!A217="","",BattleFishData!B217)</f>
        <v/>
      </c>
    </row>
    <row r="1410">
      <c r="A1410">
        <f>IF(BattleFishData!A218="","",BattleFishData!A218)</f>
        <v/>
      </c>
      <c r="B1410">
        <f>IF(BattleFishData!A218="","",BattleFishData!B218)</f>
        <v/>
      </c>
    </row>
    <row r="1411">
      <c r="A1411">
        <f>IF(BattleFishData!A219="","",BattleFishData!A219)</f>
        <v/>
      </c>
      <c r="B1411">
        <f>IF(BattleFishData!A219="","",BattleFishData!B219)</f>
        <v/>
      </c>
    </row>
    <row r="1412">
      <c r="A1412">
        <f>IF(BattleFishData!A220="","",BattleFishData!A220)</f>
        <v/>
      </c>
      <c r="B1412">
        <f>IF(BattleFishData!A220="","",BattleFishData!B220)</f>
        <v/>
      </c>
    </row>
    <row r="1413">
      <c r="A1413">
        <f>IF(BattleFishData!A221="","",BattleFishData!A221)</f>
        <v/>
      </c>
      <c r="B1413">
        <f>IF(BattleFishData!A221="","",BattleFishData!B221)</f>
        <v/>
      </c>
    </row>
    <row r="1414">
      <c r="A1414">
        <f>IF(BattleFishData!A222="","",BattleFishData!A222)</f>
        <v/>
      </c>
      <c r="B1414">
        <f>IF(BattleFishData!A222="","",BattleFishData!B222)</f>
        <v/>
      </c>
    </row>
    <row r="1415">
      <c r="A1415">
        <f>IF(BattleFishData!A223="","",BattleFishData!A223)</f>
        <v/>
      </c>
      <c r="B1415">
        <f>IF(BattleFishData!A223="","",BattleFishData!B223)</f>
        <v/>
      </c>
    </row>
    <row r="1416">
      <c r="A1416">
        <f>IF(BattleFishData!A224="","",BattleFishData!A224)</f>
        <v/>
      </c>
      <c r="B1416">
        <f>IF(BattleFishData!A224="","",BattleFishData!B224)</f>
        <v/>
      </c>
    </row>
    <row r="1417">
      <c r="A1417">
        <f>IF(BattleFishData!A225="","",BattleFishData!A225)</f>
        <v/>
      </c>
      <c r="B1417">
        <f>IF(BattleFishData!A225="","",BattleFishData!B225)</f>
        <v/>
      </c>
    </row>
    <row r="1418">
      <c r="A1418">
        <f>IF(BattleFishData!A226="","",BattleFishData!A226)</f>
        <v/>
      </c>
      <c r="B1418">
        <f>IF(BattleFishData!A226="","",BattleFishData!B226)</f>
        <v/>
      </c>
    </row>
    <row r="1419">
      <c r="A1419">
        <f>IF(BattleFishData!A227="","",BattleFishData!A227)</f>
        <v/>
      </c>
      <c r="B1419">
        <f>IF(BattleFishData!A227="","",BattleFishData!B227)</f>
        <v/>
      </c>
    </row>
    <row r="1420">
      <c r="A1420">
        <f>IF(BattleFishData!A228="","",BattleFishData!A228)</f>
        <v/>
      </c>
      <c r="B1420">
        <f>IF(BattleFishData!A228="","",BattleFishData!B228)</f>
        <v/>
      </c>
    </row>
    <row r="1421">
      <c r="A1421">
        <f>IF(BattleFishData!A229="","",BattleFishData!A229)</f>
        <v/>
      </c>
      <c r="B1421">
        <f>IF(BattleFishData!A229="","",BattleFishData!B229)</f>
        <v/>
      </c>
    </row>
    <row r="1422">
      <c r="A1422">
        <f>IF(BattleFishData!A230="","",BattleFishData!A230)</f>
        <v/>
      </c>
      <c r="B1422">
        <f>IF(BattleFishData!A230="","",BattleFishData!B230)</f>
        <v/>
      </c>
    </row>
    <row r="1423">
      <c r="A1423">
        <f>IF(BattleFishData!A231="","",BattleFishData!A231)</f>
        <v/>
      </c>
      <c r="B1423">
        <f>IF(BattleFishData!A231="","",BattleFishData!B231)</f>
        <v/>
      </c>
    </row>
    <row r="1424">
      <c r="A1424">
        <f>IF(BattleFishData!A232="","",BattleFishData!A232)</f>
        <v/>
      </c>
      <c r="B1424">
        <f>IF(BattleFishData!A232="","",BattleFishData!B232)</f>
        <v/>
      </c>
    </row>
    <row r="1425">
      <c r="A1425">
        <f>IF(BattleFishData!A233="","",BattleFishData!A233)</f>
        <v/>
      </c>
      <c r="B1425">
        <f>IF(BattleFishData!A233="","",BattleFishData!B233)</f>
        <v/>
      </c>
    </row>
    <row r="1426">
      <c r="A1426">
        <f>IF(BattleFishData!A234="","",BattleFishData!A234)</f>
        <v/>
      </c>
      <c r="B1426">
        <f>IF(BattleFishData!A234="","",BattleFishData!B234)</f>
        <v/>
      </c>
    </row>
    <row r="1427">
      <c r="A1427">
        <f>IF(BattleFishData!A235="","",BattleFishData!A235)</f>
        <v/>
      </c>
      <c r="B1427">
        <f>IF(BattleFishData!A235="","",BattleFishData!B235)</f>
        <v/>
      </c>
    </row>
    <row r="1428">
      <c r="A1428">
        <f>IF(BattleFishData!A236="","",BattleFishData!A236)</f>
        <v/>
      </c>
      <c r="B1428">
        <f>IF(BattleFishData!A236="","",BattleFishData!B236)</f>
        <v/>
      </c>
    </row>
    <row r="1429">
      <c r="A1429">
        <f>IF(BattleFishData!A237="","",BattleFishData!A237)</f>
        <v/>
      </c>
      <c r="B1429">
        <f>IF(BattleFishData!A237="","",BattleFishData!B237)</f>
        <v/>
      </c>
    </row>
    <row r="1430">
      <c r="A1430">
        <f>IF(BattleFishData!A238="","",BattleFishData!A238)</f>
        <v/>
      </c>
      <c r="B1430">
        <f>IF(BattleFishData!A238="","",BattleFishData!B238)</f>
        <v/>
      </c>
    </row>
    <row r="1431">
      <c r="A1431">
        <f>IF(BattleFishData!A239="","",BattleFishData!A239)</f>
        <v/>
      </c>
      <c r="B1431">
        <f>IF(BattleFishData!A239="","",BattleFishData!B239)</f>
        <v/>
      </c>
    </row>
    <row r="1432">
      <c r="A1432">
        <f>IF(BattleFishData!A240="","",BattleFishData!A240)</f>
        <v/>
      </c>
      <c r="B1432">
        <f>IF(BattleFishData!A240="","",BattleFishData!B240)</f>
        <v/>
      </c>
    </row>
    <row r="1433">
      <c r="A1433">
        <f>IF(BattleFishData!A241="","",BattleFishData!A241)</f>
        <v/>
      </c>
      <c r="B1433">
        <f>IF(BattleFishData!A241="","",BattleFishData!B241)</f>
        <v/>
      </c>
    </row>
    <row r="1434">
      <c r="A1434">
        <f>IF(BattleFishData!A242="","",BattleFishData!A242)</f>
        <v/>
      </c>
      <c r="B1434">
        <f>IF(BattleFishData!A242="","",BattleFishData!B242)</f>
        <v/>
      </c>
    </row>
    <row r="1435">
      <c r="A1435">
        <f>IF(BattleFishData!A243="","",BattleFishData!A243)</f>
        <v/>
      </c>
      <c r="B1435">
        <f>IF(BattleFishData!A243="","",BattleFishData!B243)</f>
        <v/>
      </c>
    </row>
    <row r="1436">
      <c r="A1436">
        <f>IF(BattleFishData!A244="","",BattleFishData!A244)</f>
        <v/>
      </c>
      <c r="B1436">
        <f>IF(BattleFishData!A244="","",BattleFishData!B244)</f>
        <v/>
      </c>
    </row>
    <row r="1437">
      <c r="A1437">
        <f>IF(BattleFishData!A245="","",BattleFishData!A245)</f>
        <v/>
      </c>
      <c r="B1437">
        <f>IF(BattleFishData!A245="","",BattleFishData!B245)</f>
        <v/>
      </c>
    </row>
    <row r="1438">
      <c r="A1438">
        <f>IF(BattleFishData!A246="","",BattleFishData!A246)</f>
        <v/>
      </c>
      <c r="B1438">
        <f>IF(BattleFishData!A246="","",BattleFishData!B246)</f>
        <v/>
      </c>
    </row>
    <row r="1439">
      <c r="A1439">
        <f>IF(BattleFishData!A247="","",BattleFishData!A247)</f>
        <v/>
      </c>
      <c r="B1439">
        <f>IF(BattleFishData!A247="","",BattleFishData!B247)</f>
        <v/>
      </c>
    </row>
    <row r="1440">
      <c r="A1440">
        <f>IF(BattleFishData!A248="","",BattleFishData!A248)</f>
        <v/>
      </c>
      <c r="B1440">
        <f>IF(BattleFishData!A248="","",BattleFishData!B248)</f>
        <v/>
      </c>
    </row>
    <row r="1441">
      <c r="A1441">
        <f>IF(BattleFishData!A249="","",BattleFishData!A249)</f>
        <v/>
      </c>
      <c r="B1441">
        <f>IF(BattleFishData!A249="","",BattleFishData!B249)</f>
        <v/>
      </c>
    </row>
    <row r="1442">
      <c r="A1442">
        <f>IF(BattleFishData!A250="","",BattleFishData!A250)</f>
        <v/>
      </c>
      <c r="B1442">
        <f>IF(BattleFishData!A250="","",BattleFishData!B250)</f>
        <v/>
      </c>
    </row>
    <row r="1443">
      <c r="A1443">
        <f>IF(BattleFishData!A251="","",BattleFishData!A251)</f>
        <v/>
      </c>
      <c r="B1443">
        <f>IF(BattleFishData!A251="","",BattleFishData!B251)</f>
        <v/>
      </c>
    </row>
    <row r="1444">
      <c r="A1444">
        <f>IF(BattleFishData!A252="","",BattleFishData!A252)</f>
        <v/>
      </c>
      <c r="B1444">
        <f>IF(BattleFishData!A252="","",BattleFishData!B252)</f>
        <v/>
      </c>
    </row>
    <row r="1445">
      <c r="A1445">
        <f>IF(BattleFishData!A253="","",BattleFishData!A253)</f>
        <v/>
      </c>
      <c r="B1445">
        <f>IF(BattleFishData!A253="","",BattleFishData!B253)</f>
        <v/>
      </c>
    </row>
    <row r="1446">
      <c r="A1446">
        <f>IF(BattleFishData!A254="","",BattleFishData!A254)</f>
        <v/>
      </c>
      <c r="B1446">
        <f>IF(BattleFishData!A254="","",BattleFishData!B254)</f>
        <v/>
      </c>
    </row>
    <row r="1447">
      <c r="A1447">
        <f>IF(BattleFishData!A255="","",BattleFishData!A255)</f>
        <v/>
      </c>
      <c r="B1447">
        <f>IF(BattleFishData!A255="","",BattleFishData!B255)</f>
        <v/>
      </c>
    </row>
    <row r="1448">
      <c r="A1448">
        <f>IF(BattleFishData!A256="","",BattleFishData!A256)</f>
        <v/>
      </c>
      <c r="B1448">
        <f>IF(BattleFishData!A256="","",BattleFishData!B256)</f>
        <v/>
      </c>
    </row>
    <row r="1449">
      <c r="A1449">
        <f>IF(BattleFishData!A257="","",BattleFishData!A257)</f>
        <v/>
      </c>
      <c r="B1449">
        <f>IF(BattleFishData!A257="","",BattleFishData!B257)</f>
        <v/>
      </c>
    </row>
    <row r="1450">
      <c r="A1450">
        <f>IF(BattleFishData!A258="","",BattleFishData!A258)</f>
        <v/>
      </c>
      <c r="B1450">
        <f>IF(BattleFishData!A258="","",BattleFishData!B258)</f>
        <v/>
      </c>
    </row>
    <row r="1451">
      <c r="A1451">
        <f>IF(BattleFishData!A259="","",BattleFishData!A259)</f>
        <v/>
      </c>
      <c r="B1451">
        <f>IF(BattleFishData!A259="","",BattleFishData!B259)</f>
        <v/>
      </c>
    </row>
    <row r="1452">
      <c r="A1452">
        <f>IF(BattleFishData!A260="","",BattleFishData!A260)</f>
        <v/>
      </c>
      <c r="B1452">
        <f>IF(BattleFishData!A260="","",BattleFishData!B260)</f>
        <v/>
      </c>
    </row>
    <row r="1453">
      <c r="A1453">
        <f>IF(BattleFishData!A261="","",BattleFishData!A261)</f>
        <v/>
      </c>
      <c r="B1453">
        <f>IF(BattleFishData!A261="","",BattleFishData!B261)</f>
        <v/>
      </c>
    </row>
    <row r="1454">
      <c r="A1454">
        <f>IF(BattleFishData!A262="","",BattleFishData!A262)</f>
        <v/>
      </c>
      <c r="B1454">
        <f>IF(BattleFishData!A262="","",BattleFishData!B262)</f>
        <v/>
      </c>
    </row>
    <row r="1455">
      <c r="A1455">
        <f>IF(BattleFishData!A263="","",BattleFishData!A263)</f>
        <v/>
      </c>
      <c r="B1455">
        <f>IF(BattleFishData!A263="","",BattleFishData!B263)</f>
        <v/>
      </c>
    </row>
    <row r="1456">
      <c r="A1456">
        <f>IF(BattleFishData!A264="","",BattleFishData!A264)</f>
        <v/>
      </c>
      <c r="B1456">
        <f>IF(BattleFishData!A264="","",BattleFishData!B264)</f>
        <v/>
      </c>
    </row>
    <row r="1457">
      <c r="A1457">
        <f>IF(BattleFishData!A265="","",BattleFishData!A265)</f>
        <v/>
      </c>
      <c r="B1457">
        <f>IF(BattleFishData!A265="","",BattleFishData!B265)</f>
        <v/>
      </c>
    </row>
    <row r="1458">
      <c r="A1458">
        <f>IF(BattleFishData!A266="","",BattleFishData!A266)</f>
        <v/>
      </c>
      <c r="B1458">
        <f>IF(BattleFishData!A266="","",BattleFishData!B266)</f>
        <v/>
      </c>
    </row>
    <row r="1459">
      <c r="A1459">
        <f>IF(BattleFishData!A267="","",BattleFishData!A267)</f>
        <v/>
      </c>
      <c r="B1459">
        <f>IF(BattleFishData!A267="","",BattleFishData!B267)</f>
        <v/>
      </c>
    </row>
    <row r="1460">
      <c r="A1460">
        <f>IF(BattleFishData!A268="","",BattleFishData!A268)</f>
        <v/>
      </c>
      <c r="B1460">
        <f>IF(BattleFishData!A268="","",BattleFishData!B268)</f>
        <v/>
      </c>
    </row>
    <row r="1461">
      <c r="A1461">
        <f>IF(BattleFishData!A269="","",BattleFishData!A269)</f>
        <v/>
      </c>
      <c r="B1461">
        <f>IF(BattleFishData!A269="","",BattleFishData!B269)</f>
        <v/>
      </c>
    </row>
    <row r="1462">
      <c r="A1462">
        <f>IF(BattleFishData!A270="","",BattleFishData!A270)</f>
        <v/>
      </c>
      <c r="B1462">
        <f>IF(BattleFishData!A270="","",BattleFishData!B270)</f>
        <v/>
      </c>
    </row>
    <row r="1463">
      <c r="A1463">
        <f>IF(BattleFishData!A271="","",BattleFishData!A271)</f>
        <v/>
      </c>
      <c r="B1463">
        <f>IF(BattleFishData!A271="","",BattleFishData!B271)</f>
        <v/>
      </c>
    </row>
    <row r="1464">
      <c r="A1464">
        <f>IF(BattleFishData!A272="","",BattleFishData!A272)</f>
        <v/>
      </c>
      <c r="B1464">
        <f>IF(BattleFishData!A272="","",BattleFishData!B272)</f>
        <v/>
      </c>
    </row>
    <row r="1465">
      <c r="A1465">
        <f>IF(BattleFishData!A273="","",BattleFishData!A273)</f>
        <v/>
      </c>
      <c r="B1465">
        <f>IF(BattleFishData!A273="","",BattleFishData!B273)</f>
        <v/>
      </c>
    </row>
    <row r="1466">
      <c r="A1466">
        <f>IF(BattleFishData!A274="","",BattleFishData!A274)</f>
        <v/>
      </c>
      <c r="B1466">
        <f>IF(BattleFishData!A274="","",BattleFishData!B274)</f>
        <v/>
      </c>
    </row>
    <row r="1467">
      <c r="A1467">
        <f>IF(BattleFishData!A275="","",BattleFishData!A275)</f>
        <v/>
      </c>
      <c r="B1467">
        <f>IF(BattleFishData!A275="","",BattleFishData!B275)</f>
        <v/>
      </c>
    </row>
    <row r="1468">
      <c r="A1468">
        <f>IF(BattleFishData!A276="","",BattleFishData!A276)</f>
        <v/>
      </c>
      <c r="B1468">
        <f>IF(BattleFishData!A276="","",BattleFishData!B276)</f>
        <v/>
      </c>
    </row>
    <row r="1469">
      <c r="A1469">
        <f>IF(BattleFishData!A277="","",BattleFishData!A277)</f>
        <v/>
      </c>
      <c r="B1469">
        <f>IF(BattleFishData!A277="","",BattleFishData!B277)</f>
        <v/>
      </c>
    </row>
    <row r="1470">
      <c r="A1470">
        <f>IF(BattleFishData!A278="","",BattleFishData!A278)</f>
        <v/>
      </c>
      <c r="B1470">
        <f>IF(BattleFishData!A278="","",BattleFishData!B278)</f>
        <v/>
      </c>
    </row>
    <row r="1471">
      <c r="A1471">
        <f>IF(BattleFishData!A279="","",BattleFishData!A279)</f>
        <v/>
      </c>
      <c r="B1471">
        <f>IF(BattleFishData!A279="","",BattleFishData!B279)</f>
        <v/>
      </c>
    </row>
    <row r="1472">
      <c r="A1472">
        <f>IF(BattleFishData!A280="","",BattleFishData!A280)</f>
        <v/>
      </c>
      <c r="B1472">
        <f>IF(BattleFishData!A280="","",BattleFishData!B280)</f>
        <v/>
      </c>
    </row>
    <row r="1473">
      <c r="A1473">
        <f>IF(BattleFishData!A281="","",BattleFishData!A281)</f>
        <v/>
      </c>
      <c r="B1473">
        <f>IF(BattleFishData!A281="","",BattleFishData!B281)</f>
        <v/>
      </c>
    </row>
    <row r="1474">
      <c r="A1474">
        <f>IF(BattleFishData!A282="","",BattleFishData!A282)</f>
        <v/>
      </c>
      <c r="B1474">
        <f>IF(BattleFishData!A282="","",BattleFishData!B282)</f>
        <v/>
      </c>
    </row>
    <row r="1475">
      <c r="A1475">
        <f>IF(BattleFishData!A283="","",BattleFishData!A283)</f>
        <v/>
      </c>
      <c r="B1475">
        <f>IF(BattleFishData!A283="","",BattleFishData!B283)</f>
        <v/>
      </c>
    </row>
    <row r="1476">
      <c r="A1476">
        <f>IF(BattleFishData!A284="","",BattleFishData!A284)</f>
        <v/>
      </c>
      <c r="B1476">
        <f>IF(BattleFishData!A284="","",BattleFishData!B284)</f>
        <v/>
      </c>
    </row>
    <row r="1477">
      <c r="A1477">
        <f>IF(BattleFishData!A285="","",BattleFishData!A285)</f>
        <v/>
      </c>
      <c r="B1477">
        <f>IF(BattleFishData!A285="","",BattleFishData!B285)</f>
        <v/>
      </c>
    </row>
    <row r="1478">
      <c r="A1478">
        <f>IF(BattleFishData!A286="","",BattleFishData!A286)</f>
        <v/>
      </c>
      <c r="B1478">
        <f>IF(BattleFishData!A286="","",BattleFishData!B286)</f>
        <v/>
      </c>
    </row>
    <row r="1479">
      <c r="A1479">
        <f>IF(BattleFishData!A287="","",BattleFishData!A287)</f>
        <v/>
      </c>
      <c r="B1479">
        <f>IF(BattleFishData!A287="","",BattleFishData!B287)</f>
        <v/>
      </c>
    </row>
    <row r="1480">
      <c r="A1480">
        <f>IF(BattleFishData!A288="","",BattleFishData!A288)</f>
        <v/>
      </c>
      <c r="B1480">
        <f>IF(BattleFishData!A288="","",BattleFishData!B288)</f>
        <v/>
      </c>
    </row>
    <row r="1481">
      <c r="A1481">
        <f>IF(BattleFishData!A289="","",BattleFishData!A289)</f>
        <v/>
      </c>
      <c r="B1481">
        <f>IF(BattleFishData!A289="","",BattleFishData!B289)</f>
        <v/>
      </c>
    </row>
    <row r="1482">
      <c r="A1482">
        <f>IF(BattleFishData!A290="","",BattleFishData!A290)</f>
        <v/>
      </c>
      <c r="B1482">
        <f>IF(BattleFishData!A290="","",BattleFishData!B290)</f>
        <v/>
      </c>
    </row>
    <row r="1483">
      <c r="A1483">
        <f>IF(BattleFishData!A291="","",BattleFishData!A291)</f>
        <v/>
      </c>
      <c r="B1483">
        <f>IF(BattleFishData!A291="","",BattleFishData!B291)</f>
        <v/>
      </c>
    </row>
    <row r="1484">
      <c r="A1484">
        <f>IF(BattleFishData!A292="","",BattleFishData!A292)</f>
        <v/>
      </c>
      <c r="B1484">
        <f>IF(BattleFishData!A292="","",BattleFishData!B292)</f>
        <v/>
      </c>
    </row>
    <row r="1485">
      <c r="A1485">
        <f>IF(BattleFishData!A293="","",BattleFishData!A293)</f>
        <v/>
      </c>
      <c r="B1485">
        <f>IF(BattleFishData!A293="","",BattleFishData!B293)</f>
        <v/>
      </c>
    </row>
    <row r="1486">
      <c r="A1486">
        <f>IF(BattleFishData!A294="","",BattleFishData!A294)</f>
        <v/>
      </c>
      <c r="B1486">
        <f>IF(BattleFishData!A294="","",BattleFishData!B294)</f>
        <v/>
      </c>
    </row>
    <row r="1487">
      <c r="A1487">
        <f>IF(BattleFishData!A295="","",BattleFishData!A295)</f>
        <v/>
      </c>
      <c r="B1487">
        <f>IF(BattleFishData!A295="","",BattleFishData!B295)</f>
        <v/>
      </c>
    </row>
    <row r="1488">
      <c r="A1488">
        <f>IF(BattleFishData!A296="","",BattleFishData!A296)</f>
        <v/>
      </c>
      <c r="B1488">
        <f>IF(BattleFishData!A296="","",BattleFishData!B296)</f>
        <v/>
      </c>
    </row>
    <row r="1489">
      <c r="A1489">
        <f>IF(BattleFishData!A297="","",BattleFishData!A297)</f>
        <v/>
      </c>
      <c r="B1489">
        <f>IF(BattleFishData!A297="","",BattleFishData!B297)</f>
        <v/>
      </c>
    </row>
    <row r="1490">
      <c r="A1490">
        <f>IF(BattleFishData!A298="","",BattleFishData!A298)</f>
        <v/>
      </c>
      <c r="B1490">
        <f>IF(BattleFishData!A298="","",BattleFishData!B298)</f>
        <v/>
      </c>
    </row>
    <row r="1491">
      <c r="A1491">
        <f>IF(BattleFishData!A299="","",BattleFishData!A299)</f>
        <v/>
      </c>
      <c r="B1491">
        <f>IF(BattleFishData!A299="","",BattleFishData!B299)</f>
        <v/>
      </c>
    </row>
    <row r="1492">
      <c r="A1492">
        <f>IF(BattleFishData!A300="","",BattleFishData!A300)</f>
        <v/>
      </c>
      <c r="B1492">
        <f>IF(BattleFishData!A300="","",BattleFishData!B300)</f>
        <v/>
      </c>
    </row>
    <row r="1493">
      <c r="A1493">
        <f>IF(StageData!A3="","",StageData!A3)</f>
        <v/>
      </c>
      <c r="B1493">
        <f>IF(StageData!A3="","",StageData!B3)</f>
        <v/>
      </c>
      <c r="C1493" t="inlineStr">
        <is>
          <t>StageData</t>
        </is>
      </c>
    </row>
    <row r="1494">
      <c r="A1494">
        <f>IF(StageData!A4="","",StageData!A4)</f>
        <v/>
      </c>
      <c r="B1494">
        <f>IF(StageData!A4="","",StageData!B4)</f>
        <v/>
      </c>
    </row>
    <row r="1495">
      <c r="A1495">
        <f>IF(StageData!A5="","",StageData!A5)</f>
        <v/>
      </c>
      <c r="B1495">
        <f>IF(StageData!A5="","",StageData!B5)</f>
        <v/>
      </c>
    </row>
    <row r="1496">
      <c r="A1496">
        <f>IF(StageData!A6="","",StageData!A6)</f>
        <v/>
      </c>
      <c r="B1496">
        <f>IF(StageData!A6="","",StageData!B6)</f>
        <v/>
      </c>
    </row>
    <row r="1497">
      <c r="A1497">
        <f>IF(StageData!A7="","",StageData!A7)</f>
        <v/>
      </c>
      <c r="B1497">
        <f>IF(StageData!A7="","",StageData!B7)</f>
        <v/>
      </c>
    </row>
    <row r="1498">
      <c r="A1498">
        <f>IF(StageData!A8="","",StageData!A8)</f>
        <v/>
      </c>
      <c r="B1498">
        <f>IF(StageData!A8="","",StageData!B8)</f>
        <v/>
      </c>
    </row>
    <row r="1499">
      <c r="A1499">
        <f>IF(StageData!A9="","",StageData!A9)</f>
        <v/>
      </c>
      <c r="B1499">
        <f>IF(StageData!A9="","",StageData!B9)</f>
        <v/>
      </c>
    </row>
    <row r="1500">
      <c r="A1500">
        <f>IF(StageData!A10="","",StageData!A10)</f>
        <v/>
      </c>
      <c r="B1500">
        <f>IF(StageData!A10="","",StageData!B10)</f>
        <v/>
      </c>
    </row>
    <row r="1501">
      <c r="A1501">
        <f>IF(StageData!A11="","",StageData!A11)</f>
        <v/>
      </c>
      <c r="B1501">
        <f>IF(StageData!A11="","",StageData!B11)</f>
        <v/>
      </c>
    </row>
    <row r="1502">
      <c r="A1502">
        <f>IF(StageData!A12="","",StageData!A12)</f>
        <v/>
      </c>
      <c r="B1502">
        <f>IF(StageData!A12="","",StageData!B12)</f>
        <v/>
      </c>
    </row>
    <row r="1503">
      <c r="A1503">
        <f>IF(StageData!A13="","",StageData!A13)</f>
        <v/>
      </c>
      <c r="B1503">
        <f>IF(StageData!A13="","",StageData!B13)</f>
        <v/>
      </c>
    </row>
    <row r="1504">
      <c r="A1504">
        <f>IF(StageData!A14="","",StageData!A14)</f>
        <v/>
      </c>
      <c r="B1504">
        <f>IF(StageData!A14="","",StageData!B14)</f>
        <v/>
      </c>
    </row>
    <row r="1505">
      <c r="A1505">
        <f>IF(StageData!A15="","",StageData!A15)</f>
        <v/>
      </c>
      <c r="B1505">
        <f>IF(StageData!A15="","",StageData!B15)</f>
        <v/>
      </c>
    </row>
    <row r="1506">
      <c r="A1506">
        <f>IF(StageData!A16="","",StageData!A16)</f>
        <v/>
      </c>
      <c r="B1506">
        <f>IF(StageData!A16="","",StageData!B16)</f>
        <v/>
      </c>
    </row>
    <row r="1507">
      <c r="A1507">
        <f>IF(StageData!A17="","",StageData!A17)</f>
        <v/>
      </c>
      <c r="B1507">
        <f>IF(StageData!A17="","",StageData!B17)</f>
        <v/>
      </c>
    </row>
    <row r="1508">
      <c r="A1508">
        <f>IF(StageData!A18="","",StageData!A18)</f>
        <v/>
      </c>
      <c r="B1508">
        <f>IF(StageData!A18="","",StageData!B18)</f>
        <v/>
      </c>
    </row>
    <row r="1509">
      <c r="A1509">
        <f>IF(StageData!A19="","",StageData!A19)</f>
        <v/>
      </c>
      <c r="B1509">
        <f>IF(StageData!A19="","",StageData!B19)</f>
        <v/>
      </c>
    </row>
    <row r="1510">
      <c r="A1510">
        <f>IF(StageData!A20="","",StageData!A20)</f>
        <v/>
      </c>
      <c r="B1510">
        <f>IF(StageData!A20="","",StageData!B20)</f>
        <v/>
      </c>
    </row>
    <row r="1511">
      <c r="A1511">
        <f>IF(StageData!A21="","",StageData!A21)</f>
        <v/>
      </c>
      <c r="B1511">
        <f>IF(StageData!A21="","",StageData!B21)</f>
        <v/>
      </c>
    </row>
    <row r="1512">
      <c r="A1512">
        <f>IF(StageData!A22="","",StageData!A22)</f>
        <v/>
      </c>
      <c r="B1512">
        <f>IF(StageData!A22="","",StageData!B22)</f>
        <v/>
      </c>
    </row>
    <row r="1513">
      <c r="A1513">
        <f>IF(StageData!A23="","",StageData!A23)</f>
        <v/>
      </c>
      <c r="B1513">
        <f>IF(StageData!A23="","",StageData!B23)</f>
        <v/>
      </c>
    </row>
    <row r="1514">
      <c r="A1514">
        <f>IF(StageData!A24="","",StageData!A24)</f>
        <v/>
      </c>
      <c r="B1514">
        <f>IF(StageData!A24="","",StageData!B24)</f>
        <v/>
      </c>
    </row>
    <row r="1515">
      <c r="A1515">
        <f>IF(StageData!A25="","",StageData!A25)</f>
        <v/>
      </c>
      <c r="B1515">
        <f>IF(StageData!A25="","",StageData!B25)</f>
        <v/>
      </c>
    </row>
    <row r="1516">
      <c r="A1516">
        <f>IF(StageData!A26="","",StageData!A26)</f>
        <v/>
      </c>
      <c r="B1516">
        <f>IF(StageData!A26="","",StageData!B26)</f>
        <v/>
      </c>
    </row>
    <row r="1517">
      <c r="A1517">
        <f>IF(StageData!A27="","",StageData!A27)</f>
        <v/>
      </c>
      <c r="B1517">
        <f>IF(StageData!A27="","",StageData!B27)</f>
        <v/>
      </c>
    </row>
    <row r="1518">
      <c r="A1518">
        <f>IF(StageData!A28="","",StageData!A28)</f>
        <v/>
      </c>
      <c r="B1518">
        <f>IF(StageData!A28="","",StageData!B28)</f>
        <v/>
      </c>
    </row>
    <row r="1519">
      <c r="A1519">
        <f>IF(StageData!A29="","",StageData!A29)</f>
        <v/>
      </c>
      <c r="B1519">
        <f>IF(StageData!A29="","",StageData!B29)</f>
        <v/>
      </c>
    </row>
    <row r="1520">
      <c r="A1520">
        <f>IF(StageData!A30="","",StageData!A30)</f>
        <v/>
      </c>
      <c r="B1520">
        <f>IF(StageData!A30="","",StageData!B30)</f>
        <v/>
      </c>
    </row>
    <row r="1521">
      <c r="A1521">
        <f>IF(StageData!A31="","",StageData!A31)</f>
        <v/>
      </c>
      <c r="B1521">
        <f>IF(StageData!A31="","",StageData!B31)</f>
        <v/>
      </c>
    </row>
    <row r="1522">
      <c r="A1522">
        <f>IF(StageData!A32="","",StageData!A32)</f>
        <v/>
      </c>
      <c r="B1522">
        <f>IF(StageData!A32="","",StageData!B32)</f>
        <v/>
      </c>
    </row>
    <row r="1523">
      <c r="A1523">
        <f>IF(StageData!A33="","",StageData!A33)</f>
        <v/>
      </c>
      <c r="B1523">
        <f>IF(StageData!A33="","",StageData!B33)</f>
        <v/>
      </c>
    </row>
    <row r="1524">
      <c r="A1524">
        <f>IF(StageData!A34="","",StageData!A34)</f>
        <v/>
      </c>
      <c r="B1524">
        <f>IF(StageData!A34="","",StageData!B34)</f>
        <v/>
      </c>
    </row>
    <row r="1525">
      <c r="A1525">
        <f>IF(StageData!A35="","",StageData!A35)</f>
        <v/>
      </c>
      <c r="B1525">
        <f>IF(StageData!A35="","",StageData!B35)</f>
        <v/>
      </c>
    </row>
    <row r="1526">
      <c r="A1526">
        <f>IF(StageData!A36="","",StageData!A36)</f>
        <v/>
      </c>
      <c r="B1526">
        <f>IF(StageData!A36="","",StageData!B36)</f>
        <v/>
      </c>
    </row>
    <row r="1527">
      <c r="A1527">
        <f>IF(StageData!A37="","",StageData!A37)</f>
        <v/>
      </c>
      <c r="B1527">
        <f>IF(StageData!A37="","",StageData!B37)</f>
        <v/>
      </c>
    </row>
    <row r="1528">
      <c r="A1528">
        <f>IF(StageData!A38="","",StageData!A38)</f>
        <v/>
      </c>
      <c r="B1528">
        <f>IF(StageData!A38="","",StageData!B38)</f>
        <v/>
      </c>
    </row>
    <row r="1529">
      <c r="A1529">
        <f>IF(StageData!A39="","",StageData!A39)</f>
        <v/>
      </c>
      <c r="B1529">
        <f>IF(StageData!A39="","",StageData!B39)</f>
        <v/>
      </c>
    </row>
    <row r="1530">
      <c r="A1530">
        <f>IF(StageData!A40="","",StageData!A40)</f>
        <v/>
      </c>
      <c r="B1530">
        <f>IF(StageData!A40="","",StageData!B40)</f>
        <v/>
      </c>
    </row>
    <row r="1531">
      <c r="A1531">
        <f>IF(StageData!A41="","",StageData!A41)</f>
        <v/>
      </c>
      <c r="B1531">
        <f>IF(StageData!A41="","",StageData!B41)</f>
        <v/>
      </c>
    </row>
    <row r="1532">
      <c r="A1532">
        <f>IF(StageData!A42="","",StageData!A42)</f>
        <v/>
      </c>
      <c r="B1532">
        <f>IF(StageData!A42="","",StageData!B42)</f>
        <v/>
      </c>
    </row>
    <row r="1533">
      <c r="A1533">
        <f>IF(StageData!A43="","",StageData!A43)</f>
        <v/>
      </c>
      <c r="B1533">
        <f>IF(StageData!A43="","",StageData!B43)</f>
        <v/>
      </c>
    </row>
    <row r="1534">
      <c r="A1534">
        <f>IF(StageData!A44="","",StageData!A44)</f>
        <v/>
      </c>
      <c r="B1534">
        <f>IF(StageData!A44="","",StageData!B44)</f>
        <v/>
      </c>
    </row>
    <row r="1535">
      <c r="A1535">
        <f>IF(StageData!A45="","",StageData!A45)</f>
        <v/>
      </c>
      <c r="B1535">
        <f>IF(StageData!A45="","",StageData!B45)</f>
        <v/>
      </c>
    </row>
    <row r="1536">
      <c r="A1536">
        <f>IF(StageData!A46="","",StageData!A46)</f>
        <v/>
      </c>
      <c r="B1536">
        <f>IF(StageData!A46="","",StageData!B46)</f>
        <v/>
      </c>
    </row>
    <row r="1537">
      <c r="A1537">
        <f>IF(StageData!A47="","",StageData!A47)</f>
        <v/>
      </c>
      <c r="B1537">
        <f>IF(StageData!A47="","",StageData!B47)</f>
        <v/>
      </c>
    </row>
    <row r="1538">
      <c r="A1538">
        <f>IF(StageData!A48="","",StageData!A48)</f>
        <v/>
      </c>
      <c r="B1538">
        <f>IF(StageData!A48="","",StageData!B48)</f>
        <v/>
      </c>
    </row>
    <row r="1539">
      <c r="A1539">
        <f>IF(StageData!A49="","",StageData!A49)</f>
        <v/>
      </c>
      <c r="B1539">
        <f>IF(StageData!A49="","",StageData!B49)</f>
        <v/>
      </c>
    </row>
    <row r="1540">
      <c r="A1540">
        <f>IF(StageData!A50="","",StageData!A50)</f>
        <v/>
      </c>
      <c r="B1540">
        <f>IF(StageData!A50="","",StageData!B50)</f>
        <v/>
      </c>
    </row>
    <row r="1541">
      <c r="A1541">
        <f>IF(StageData!A51="","",StageData!A51)</f>
        <v/>
      </c>
      <c r="B1541">
        <f>IF(StageData!A51="","",StageData!B51)</f>
        <v/>
      </c>
    </row>
    <row r="1542">
      <c r="A1542">
        <f>IF(StageData!A52="","",StageData!A52)</f>
        <v/>
      </c>
      <c r="B1542">
        <f>IF(StageData!A52="","",StageData!B52)</f>
        <v/>
      </c>
    </row>
    <row r="1543">
      <c r="A1543">
        <f>IF(StageData!A53="","",StageData!A53)</f>
        <v/>
      </c>
      <c r="B1543">
        <f>IF(StageData!A53="","",StageData!B53)</f>
        <v/>
      </c>
    </row>
    <row r="1544">
      <c r="A1544">
        <f>IF(StageData!A54="","",StageData!A54)</f>
        <v/>
      </c>
      <c r="B1544">
        <f>IF(StageData!A54="","",StageData!B54)</f>
        <v/>
      </c>
    </row>
    <row r="1545">
      <c r="A1545">
        <f>IF(StageData!A55="","",StageData!A55)</f>
        <v/>
      </c>
      <c r="B1545">
        <f>IF(StageData!A55="","",StageData!B55)</f>
        <v/>
      </c>
    </row>
    <row r="1546">
      <c r="A1546">
        <f>IF(StageData!A56="","",StageData!A56)</f>
        <v/>
      </c>
      <c r="B1546">
        <f>IF(StageData!A56="","",StageData!B56)</f>
        <v/>
      </c>
    </row>
    <row r="1547">
      <c r="A1547">
        <f>IF(StageData!A57="","",StageData!A57)</f>
        <v/>
      </c>
      <c r="B1547">
        <f>IF(StageData!A57="","",StageData!B57)</f>
        <v/>
      </c>
    </row>
    <row r="1548">
      <c r="A1548">
        <f>IF(StageData!A58="","",StageData!A58)</f>
        <v/>
      </c>
      <c r="B1548">
        <f>IF(StageData!A58="","",StageData!B58)</f>
        <v/>
      </c>
    </row>
    <row r="1549">
      <c r="A1549">
        <f>IF(StageData!A59="","",StageData!A59)</f>
        <v/>
      </c>
      <c r="B1549">
        <f>IF(StageData!A59="","",StageData!B59)</f>
        <v/>
      </c>
    </row>
    <row r="1550">
      <c r="A1550">
        <f>IF(StageData!A60="","",StageData!A60)</f>
        <v/>
      </c>
      <c r="B1550">
        <f>IF(StageData!A60="","",StageData!B60)</f>
        <v/>
      </c>
    </row>
    <row r="1551">
      <c r="A1551">
        <f>IF(StageData!A61="","",StageData!A61)</f>
        <v/>
      </c>
      <c r="B1551">
        <f>IF(StageData!A61="","",StageData!B61)</f>
        <v/>
      </c>
    </row>
    <row r="1552">
      <c r="A1552">
        <f>IF(StageData!A62="","",StageData!A62)</f>
        <v/>
      </c>
      <c r="B1552">
        <f>IF(StageData!A62="","",StageData!B62)</f>
        <v/>
      </c>
    </row>
    <row r="1553">
      <c r="A1553">
        <f>IF(StageData!A63="","",StageData!A63)</f>
        <v/>
      </c>
      <c r="B1553">
        <f>IF(StageData!A63="","",StageData!B63)</f>
        <v/>
      </c>
    </row>
    <row r="1554">
      <c r="A1554">
        <f>IF(StageData!A64="","",StageData!A64)</f>
        <v/>
      </c>
      <c r="B1554">
        <f>IF(StageData!A64="","",StageData!B64)</f>
        <v/>
      </c>
    </row>
    <row r="1555">
      <c r="A1555">
        <f>IF(StageData!A65="","",StageData!A65)</f>
        <v/>
      </c>
      <c r="B1555">
        <f>IF(StageData!A65="","",StageData!B65)</f>
        <v/>
      </c>
    </row>
    <row r="1556">
      <c r="A1556">
        <f>IF(StageData!A66="","",StageData!A66)</f>
        <v/>
      </c>
      <c r="B1556">
        <f>IF(StageData!A66="","",StageData!B66)</f>
        <v/>
      </c>
    </row>
    <row r="1557">
      <c r="A1557">
        <f>IF(StageData!A67="","",StageData!A67)</f>
        <v/>
      </c>
      <c r="B1557">
        <f>IF(StageData!A67="","",StageData!B67)</f>
        <v/>
      </c>
    </row>
    <row r="1558">
      <c r="A1558">
        <f>IF(StageData!A68="","",StageData!A68)</f>
        <v/>
      </c>
      <c r="B1558">
        <f>IF(StageData!A68="","",StageData!B68)</f>
        <v/>
      </c>
    </row>
    <row r="1559">
      <c r="A1559">
        <f>IF(StageData!A69="","",StageData!A69)</f>
        <v/>
      </c>
      <c r="B1559">
        <f>IF(StageData!A69="","",StageData!B69)</f>
        <v/>
      </c>
    </row>
    <row r="1560">
      <c r="A1560">
        <f>IF(StageData!A70="","",StageData!A70)</f>
        <v/>
      </c>
      <c r="B1560">
        <f>IF(StageData!A70="","",StageData!B70)</f>
        <v/>
      </c>
    </row>
    <row r="1561">
      <c r="A1561">
        <f>IF(StageData!A71="","",StageData!A71)</f>
        <v/>
      </c>
      <c r="B1561">
        <f>IF(StageData!A71="","",StageData!B71)</f>
        <v/>
      </c>
    </row>
    <row r="1562">
      <c r="A1562">
        <f>IF(StageData!A72="","",StageData!A72)</f>
        <v/>
      </c>
      <c r="B1562">
        <f>IF(StageData!A72="","",StageData!B72)</f>
        <v/>
      </c>
    </row>
    <row r="1563">
      <c r="A1563">
        <f>IF(StageData!A73="","",StageData!A73)</f>
        <v/>
      </c>
      <c r="B1563">
        <f>IF(StageData!A73="","",StageData!B73)</f>
        <v/>
      </c>
    </row>
    <row r="1564">
      <c r="A1564">
        <f>IF(StageData!A74="","",StageData!A74)</f>
        <v/>
      </c>
      <c r="B1564">
        <f>IF(StageData!A74="","",StageData!B74)</f>
        <v/>
      </c>
    </row>
    <row r="1565">
      <c r="A1565">
        <f>IF(StageData!A75="","",StageData!A75)</f>
        <v/>
      </c>
      <c r="B1565">
        <f>IF(StageData!A75="","",StageData!B75)</f>
        <v/>
      </c>
    </row>
    <row r="1566">
      <c r="A1566">
        <f>IF(StageData!A76="","",StageData!A76)</f>
        <v/>
      </c>
      <c r="B1566">
        <f>IF(StageData!A76="","",StageData!B76)</f>
        <v/>
      </c>
    </row>
    <row r="1567">
      <c r="A1567">
        <f>IF(StageData!A77="","",StageData!A77)</f>
        <v/>
      </c>
      <c r="B1567">
        <f>IF(StageData!A77="","",StageData!B77)</f>
        <v/>
      </c>
    </row>
    <row r="1568">
      <c r="A1568">
        <f>IF(StageData!A78="","",StageData!A78)</f>
        <v/>
      </c>
      <c r="B1568">
        <f>IF(StageData!A78="","",StageData!B78)</f>
        <v/>
      </c>
    </row>
    <row r="1569">
      <c r="A1569">
        <f>IF(StageData!A79="","",StageData!A79)</f>
        <v/>
      </c>
      <c r="B1569">
        <f>IF(StageData!A79="","",StageData!B79)</f>
        <v/>
      </c>
    </row>
    <row r="1570">
      <c r="A1570">
        <f>IF(StageData!A80="","",StageData!A80)</f>
        <v/>
      </c>
      <c r="B1570">
        <f>IF(StageData!A80="","",StageData!B80)</f>
        <v/>
      </c>
    </row>
    <row r="1571">
      <c r="A1571">
        <f>IF(StageData!A81="","",StageData!A81)</f>
        <v/>
      </c>
      <c r="B1571">
        <f>IF(StageData!A81="","",StageData!B81)</f>
        <v/>
      </c>
    </row>
    <row r="1572">
      <c r="A1572">
        <f>IF(StageData!A82="","",StageData!A82)</f>
        <v/>
      </c>
      <c r="B1572">
        <f>IF(StageData!A82="","",StageData!B82)</f>
        <v/>
      </c>
    </row>
    <row r="1573">
      <c r="A1573">
        <f>IF(StageData!A83="","",StageData!A83)</f>
        <v/>
      </c>
      <c r="B1573">
        <f>IF(StageData!A83="","",StageData!B83)</f>
        <v/>
      </c>
    </row>
    <row r="1574">
      <c r="A1574">
        <f>IF(StageData!A84="","",StageData!A84)</f>
        <v/>
      </c>
      <c r="B1574">
        <f>IF(StageData!A84="","",StageData!B84)</f>
        <v/>
      </c>
    </row>
    <row r="1575">
      <c r="A1575">
        <f>IF(StageData!A85="","",StageData!A85)</f>
        <v/>
      </c>
      <c r="B1575">
        <f>IF(StageData!A85="","",StageData!B85)</f>
        <v/>
      </c>
    </row>
    <row r="1576">
      <c r="A1576">
        <f>IF(StageData!A86="","",StageData!A86)</f>
        <v/>
      </c>
      <c r="B1576">
        <f>IF(StageData!A86="","",StageData!B86)</f>
        <v/>
      </c>
    </row>
    <row r="1577">
      <c r="A1577">
        <f>IF(StageData!A87="","",StageData!A87)</f>
        <v/>
      </c>
      <c r="B1577">
        <f>IF(StageData!A87="","",StageData!B87)</f>
        <v/>
      </c>
    </row>
    <row r="1578">
      <c r="A1578">
        <f>IF(StageData!A88="","",StageData!A88)</f>
        <v/>
      </c>
      <c r="B1578">
        <f>IF(StageData!A88="","",StageData!B88)</f>
        <v/>
      </c>
    </row>
    <row r="1579">
      <c r="A1579">
        <f>IF(StageData!A89="","",StageData!A89)</f>
        <v/>
      </c>
      <c r="B1579">
        <f>IF(StageData!A89="","",StageData!B89)</f>
        <v/>
      </c>
    </row>
    <row r="1580">
      <c r="A1580">
        <f>IF(StageData!A90="","",StageData!A90)</f>
        <v/>
      </c>
      <c r="B1580">
        <f>IF(StageData!A90="","",StageData!B90)</f>
        <v/>
      </c>
    </row>
    <row r="1581">
      <c r="A1581">
        <f>IF(StageData!A91="","",StageData!A91)</f>
        <v/>
      </c>
      <c r="B1581">
        <f>IF(StageData!A91="","",StageData!B91)</f>
        <v/>
      </c>
    </row>
    <row r="1582">
      <c r="A1582">
        <f>IF(StageData!A92="","",StageData!A92)</f>
        <v/>
      </c>
      <c r="B1582">
        <f>IF(StageData!A92="","",StageData!B92)</f>
        <v/>
      </c>
    </row>
    <row r="1583">
      <c r="A1583">
        <f>IF(StageData!A93="","",StageData!A93)</f>
        <v/>
      </c>
      <c r="B1583">
        <f>IF(StageData!A93="","",StageData!B93)</f>
        <v/>
      </c>
    </row>
    <row r="1584">
      <c r="A1584">
        <f>IF(StageData!A94="","",StageData!A94)</f>
        <v/>
      </c>
      <c r="B1584">
        <f>IF(StageData!A94="","",StageData!B94)</f>
        <v/>
      </c>
    </row>
    <row r="1585">
      <c r="A1585">
        <f>IF(StageData!A95="","",StageData!A95)</f>
        <v/>
      </c>
      <c r="B1585">
        <f>IF(StageData!A95="","",StageData!B95)</f>
        <v/>
      </c>
    </row>
    <row r="1586">
      <c r="A1586">
        <f>IF(StageData!A96="","",StageData!A96)</f>
        <v/>
      </c>
      <c r="B1586">
        <f>IF(StageData!A96="","",StageData!B96)</f>
        <v/>
      </c>
    </row>
    <row r="1587">
      <c r="A1587">
        <f>IF(StageData!A97="","",StageData!A97)</f>
        <v/>
      </c>
      <c r="B1587">
        <f>IF(StageData!A97="","",StageData!B97)</f>
        <v/>
      </c>
    </row>
    <row r="1588">
      <c r="A1588">
        <f>IF(StageData!A98="","",StageData!A98)</f>
        <v/>
      </c>
      <c r="B1588">
        <f>IF(StageData!A98="","",StageData!B98)</f>
        <v/>
      </c>
    </row>
    <row r="1589">
      <c r="A1589">
        <f>IF(StageData!A99="","",StageData!A99)</f>
        <v/>
      </c>
      <c r="B1589">
        <f>IF(StageData!A99="","",StageData!B99)</f>
        <v/>
      </c>
    </row>
    <row r="1590">
      <c r="A1590">
        <f>IF(StageData!A100="","",StageData!A100)</f>
        <v/>
      </c>
      <c r="B1590">
        <f>IF(StageData!A100="","",StageData!B100)</f>
        <v/>
      </c>
    </row>
    <row r="1591">
      <c r="A1591">
        <f>IF(StageData!A101="","",StageData!A101)</f>
        <v/>
      </c>
      <c r="B1591">
        <f>IF(StageData!A101="","",StageData!B101)</f>
        <v/>
      </c>
    </row>
    <row r="1592">
      <c r="A1592">
        <f>IF(StageData!A102="","",StageData!A102)</f>
        <v/>
      </c>
      <c r="B1592">
        <f>IF(StageData!A102="","",StageData!B102)</f>
        <v/>
      </c>
    </row>
    <row r="1593">
      <c r="A1593">
        <f>IF(StageData!A103="","",StageData!A103)</f>
        <v/>
      </c>
      <c r="B1593">
        <f>IF(StageData!A103="","",StageData!B103)</f>
        <v/>
      </c>
    </row>
    <row r="1594">
      <c r="A1594">
        <f>IF(StageData!A104="","",StageData!A104)</f>
        <v/>
      </c>
      <c r="B1594">
        <f>IF(StageData!A104="","",StageData!B104)</f>
        <v/>
      </c>
    </row>
    <row r="1595">
      <c r="A1595">
        <f>IF(StageData!A105="","",StageData!A105)</f>
        <v/>
      </c>
      <c r="B1595">
        <f>IF(StageData!A105="","",StageData!B105)</f>
        <v/>
      </c>
    </row>
    <row r="1596">
      <c r="A1596">
        <f>IF(StageData!A106="","",StageData!A106)</f>
        <v/>
      </c>
      <c r="B1596">
        <f>IF(StageData!A106="","",StageData!B106)</f>
        <v/>
      </c>
    </row>
    <row r="1597">
      <c r="A1597">
        <f>IF(StageData!A107="","",StageData!A107)</f>
        <v/>
      </c>
      <c r="B1597">
        <f>IF(StageData!A107="","",StageData!B107)</f>
        <v/>
      </c>
    </row>
    <row r="1598">
      <c r="A1598">
        <f>IF(StageData!A108="","",StageData!A108)</f>
        <v/>
      </c>
      <c r="B1598">
        <f>IF(StageData!A108="","",StageData!B108)</f>
        <v/>
      </c>
    </row>
    <row r="1599">
      <c r="A1599">
        <f>IF(StageData!A109="","",StageData!A109)</f>
        <v/>
      </c>
      <c r="B1599">
        <f>IF(StageData!A109="","",StageData!B109)</f>
        <v/>
      </c>
    </row>
    <row r="1600">
      <c r="A1600">
        <f>IF(StageData!A110="","",StageData!A110)</f>
        <v/>
      </c>
      <c r="B1600">
        <f>IF(StageData!A110="","",StageData!B110)</f>
        <v/>
      </c>
    </row>
    <row r="1601">
      <c r="A1601">
        <f>IF(StageData!A111="","",StageData!A111)</f>
        <v/>
      </c>
      <c r="B1601">
        <f>IF(StageData!A111="","",StageData!B111)</f>
        <v/>
      </c>
    </row>
    <row r="1602">
      <c r="A1602">
        <f>IF(StageData!A112="","",StageData!A112)</f>
        <v/>
      </c>
      <c r="B1602">
        <f>IF(StageData!A112="","",StageData!B112)</f>
        <v/>
      </c>
    </row>
    <row r="1603">
      <c r="A1603">
        <f>IF(StageData!A113="","",StageData!A113)</f>
        <v/>
      </c>
      <c r="B1603">
        <f>IF(StageData!A113="","",StageData!B113)</f>
        <v/>
      </c>
    </row>
    <row r="1604">
      <c r="A1604">
        <f>IF(StageData!A114="","",StageData!A114)</f>
        <v/>
      </c>
      <c r="B1604">
        <f>IF(StageData!A114="","",StageData!B114)</f>
        <v/>
      </c>
    </row>
    <row r="1605">
      <c r="A1605">
        <f>IF(StageData!A115="","",StageData!A115)</f>
        <v/>
      </c>
      <c r="B1605">
        <f>IF(StageData!A115="","",StageData!B115)</f>
        <v/>
      </c>
    </row>
    <row r="1606">
      <c r="A1606">
        <f>IF(StageData!A116="","",StageData!A116)</f>
        <v/>
      </c>
      <c r="B1606">
        <f>IF(StageData!A116="","",StageData!B116)</f>
        <v/>
      </c>
    </row>
    <row r="1607">
      <c r="A1607">
        <f>IF(StageData!A117="","",StageData!A117)</f>
        <v/>
      </c>
      <c r="B1607">
        <f>IF(StageData!A117="","",StageData!B117)</f>
        <v/>
      </c>
    </row>
    <row r="1608">
      <c r="A1608">
        <f>IF(StageData!A118="","",StageData!A118)</f>
        <v/>
      </c>
      <c r="B1608">
        <f>IF(StageData!A118="","",StageData!B118)</f>
        <v/>
      </c>
    </row>
    <row r="1609">
      <c r="A1609">
        <f>IF(StageData!A119="","",StageData!A119)</f>
        <v/>
      </c>
      <c r="B1609">
        <f>IF(StageData!A119="","",StageData!B119)</f>
        <v/>
      </c>
    </row>
    <row r="1610">
      <c r="A1610">
        <f>IF(StageData!A120="","",StageData!A120)</f>
        <v/>
      </c>
      <c r="B1610">
        <f>IF(StageData!A120="","",StageData!B120)</f>
        <v/>
      </c>
    </row>
    <row r="1611">
      <c r="A1611">
        <f>IF(StageData!A121="","",StageData!A121)</f>
        <v/>
      </c>
      <c r="B1611">
        <f>IF(StageData!A121="","",StageData!B121)</f>
        <v/>
      </c>
    </row>
    <row r="1612">
      <c r="A1612">
        <f>IF(StageData!A122="","",StageData!A122)</f>
        <v/>
      </c>
      <c r="B1612">
        <f>IF(StageData!A122="","",StageData!B122)</f>
        <v/>
      </c>
    </row>
    <row r="1613">
      <c r="A1613">
        <f>IF(StageData!A123="","",StageData!A123)</f>
        <v/>
      </c>
      <c r="B1613">
        <f>IF(StageData!A123="","",StageData!B123)</f>
        <v/>
      </c>
    </row>
    <row r="1614">
      <c r="A1614">
        <f>IF(StageData!A124="","",StageData!A124)</f>
        <v/>
      </c>
      <c r="B1614">
        <f>IF(StageData!A124="","",StageData!B124)</f>
        <v/>
      </c>
    </row>
    <row r="1615">
      <c r="A1615">
        <f>IF(StageData!A125="","",StageData!A125)</f>
        <v/>
      </c>
      <c r="B1615">
        <f>IF(StageData!A125="","",StageData!B125)</f>
        <v/>
      </c>
    </row>
    <row r="1616">
      <c r="A1616">
        <f>IF(StageData!A126="","",StageData!A126)</f>
        <v/>
      </c>
      <c r="B1616">
        <f>IF(StageData!A126="","",StageData!B126)</f>
        <v/>
      </c>
    </row>
    <row r="1617">
      <c r="A1617">
        <f>IF(StageData!A127="","",StageData!A127)</f>
        <v/>
      </c>
      <c r="B1617">
        <f>IF(StageData!A127="","",StageData!B127)</f>
        <v/>
      </c>
    </row>
    <row r="1618">
      <c r="A1618">
        <f>IF(StageData!A128="","",StageData!A128)</f>
        <v/>
      </c>
      <c r="B1618">
        <f>IF(StageData!A128="","",StageData!B128)</f>
        <v/>
      </c>
    </row>
    <row r="1619">
      <c r="A1619">
        <f>IF(StageData!A129="","",StageData!A129)</f>
        <v/>
      </c>
      <c r="B1619">
        <f>IF(StageData!A129="","",StageData!B129)</f>
        <v/>
      </c>
    </row>
    <row r="1620">
      <c r="A1620">
        <f>IF(StageData!A130="","",StageData!A130)</f>
        <v/>
      </c>
      <c r="B1620">
        <f>IF(StageData!A130="","",StageData!B130)</f>
        <v/>
      </c>
    </row>
    <row r="1621">
      <c r="A1621">
        <f>IF(StageData!A131="","",StageData!A131)</f>
        <v/>
      </c>
      <c r="B1621">
        <f>IF(StageData!A131="","",StageData!B131)</f>
        <v/>
      </c>
    </row>
    <row r="1622">
      <c r="A1622">
        <f>IF(StageData!A132="","",StageData!A132)</f>
        <v/>
      </c>
      <c r="B1622">
        <f>IF(StageData!A132="","",StageData!B132)</f>
        <v/>
      </c>
    </row>
    <row r="1623">
      <c r="A1623">
        <f>IF(StageData!A133="","",StageData!A133)</f>
        <v/>
      </c>
      <c r="B1623">
        <f>IF(StageData!A133="","",StageData!B133)</f>
        <v/>
      </c>
    </row>
    <row r="1624">
      <c r="A1624">
        <f>IF(StageData!A134="","",StageData!A134)</f>
        <v/>
      </c>
      <c r="B1624">
        <f>IF(StageData!A134="","",StageData!B134)</f>
        <v/>
      </c>
    </row>
    <row r="1625">
      <c r="A1625">
        <f>IF(StageData!A135="","",StageData!A135)</f>
        <v/>
      </c>
      <c r="B1625">
        <f>IF(StageData!A135="","",StageData!B135)</f>
        <v/>
      </c>
    </row>
    <row r="1626">
      <c r="A1626">
        <f>IF(StageData!A136="","",StageData!A136)</f>
        <v/>
      </c>
      <c r="B1626">
        <f>IF(StageData!A136="","",StageData!B136)</f>
        <v/>
      </c>
    </row>
    <row r="1627">
      <c r="A1627">
        <f>IF(StageData!A137="","",StageData!A137)</f>
        <v/>
      </c>
      <c r="B1627">
        <f>IF(StageData!A137="","",StageData!B137)</f>
        <v/>
      </c>
    </row>
    <row r="1628">
      <c r="A1628">
        <f>IF(StageData!A138="","",StageData!A138)</f>
        <v/>
      </c>
      <c r="B1628">
        <f>IF(StageData!A138="","",StageData!B138)</f>
        <v/>
      </c>
    </row>
    <row r="1629">
      <c r="A1629">
        <f>IF(StageData!A139="","",StageData!A139)</f>
        <v/>
      </c>
      <c r="B1629">
        <f>IF(StageData!A139="","",StageData!B139)</f>
        <v/>
      </c>
    </row>
    <row r="1630">
      <c r="A1630">
        <f>IF(StageData!A140="","",StageData!A140)</f>
        <v/>
      </c>
      <c r="B1630">
        <f>IF(StageData!A140="","",StageData!B140)</f>
        <v/>
      </c>
    </row>
    <row r="1631">
      <c r="A1631">
        <f>IF(StageData!A141="","",StageData!A141)</f>
        <v/>
      </c>
      <c r="B1631">
        <f>IF(StageData!A141="","",StageData!B141)</f>
        <v/>
      </c>
    </row>
    <row r="1632">
      <c r="A1632">
        <f>IF(StageData!A142="","",StageData!A142)</f>
        <v/>
      </c>
      <c r="B1632">
        <f>IF(StageData!A142="","",StageData!B142)</f>
        <v/>
      </c>
    </row>
    <row r="1633">
      <c r="A1633">
        <f>IF(StageData!A143="","",StageData!A143)</f>
        <v/>
      </c>
      <c r="B1633">
        <f>IF(StageData!A143="","",StageData!B143)</f>
        <v/>
      </c>
    </row>
    <row r="1634">
      <c r="A1634">
        <f>IF(StageData!A144="","",StageData!A144)</f>
        <v/>
      </c>
      <c r="B1634">
        <f>IF(StageData!A144="","",StageData!B144)</f>
        <v/>
      </c>
    </row>
    <row r="1635">
      <c r="A1635">
        <f>IF(StageData!A145="","",StageData!A145)</f>
        <v/>
      </c>
      <c r="B1635">
        <f>IF(StageData!A145="","",StageData!B145)</f>
        <v/>
      </c>
    </row>
    <row r="1636">
      <c r="A1636">
        <f>IF(StageData!A146="","",StageData!A146)</f>
        <v/>
      </c>
      <c r="B1636">
        <f>IF(StageData!A146="","",StageData!B146)</f>
        <v/>
      </c>
    </row>
    <row r="1637">
      <c r="A1637">
        <f>IF(StageData!A147="","",StageData!A147)</f>
        <v/>
      </c>
      <c r="B1637">
        <f>IF(StageData!A147="","",StageData!B147)</f>
        <v/>
      </c>
    </row>
    <row r="1638">
      <c r="A1638">
        <f>IF(StageData!A148="","",StageData!A148)</f>
        <v/>
      </c>
      <c r="B1638">
        <f>IF(StageData!A148="","",StageData!B148)</f>
        <v/>
      </c>
    </row>
    <row r="1639">
      <c r="A1639">
        <f>IF(StageData!A149="","",StageData!A149)</f>
        <v/>
      </c>
      <c r="B1639">
        <f>IF(StageData!A149="","",StageData!B149)</f>
        <v/>
      </c>
    </row>
    <row r="1640">
      <c r="A1640">
        <f>IF(StageData!A150="","",StageData!A150)</f>
        <v/>
      </c>
      <c r="B1640">
        <f>IF(StageData!A150="","",StageData!B150)</f>
        <v/>
      </c>
    </row>
    <row r="1641">
      <c r="A1641">
        <f>IF(StageData!A151="","",StageData!A151)</f>
        <v/>
      </c>
      <c r="B1641">
        <f>IF(StageData!A151="","",StageData!B151)</f>
        <v/>
      </c>
    </row>
    <row r="1642">
      <c r="A1642">
        <f>IF(StageData!A152="","",StageData!A152)</f>
        <v/>
      </c>
      <c r="B1642">
        <f>IF(StageData!A152="","",StageData!B152)</f>
        <v/>
      </c>
    </row>
    <row r="1643">
      <c r="A1643">
        <f>IF(StageData!A153="","",StageData!A153)</f>
        <v/>
      </c>
      <c r="B1643">
        <f>IF(StageData!A153="","",StageData!B153)</f>
        <v/>
      </c>
    </row>
    <row r="1644">
      <c r="A1644">
        <f>IF(StageData!A154="","",StageData!A154)</f>
        <v/>
      </c>
      <c r="B1644">
        <f>IF(StageData!A154="","",StageData!B154)</f>
        <v/>
      </c>
    </row>
    <row r="1645">
      <c r="A1645">
        <f>IF(StageData!A155="","",StageData!A155)</f>
        <v/>
      </c>
      <c r="B1645">
        <f>IF(StageData!A155="","",StageData!B155)</f>
        <v/>
      </c>
    </row>
    <row r="1646">
      <c r="A1646">
        <f>IF(StageData!A156="","",StageData!A156)</f>
        <v/>
      </c>
      <c r="B1646">
        <f>IF(StageData!A156="","",StageData!B156)</f>
        <v/>
      </c>
    </row>
    <row r="1647">
      <c r="A1647">
        <f>IF(StageData!A157="","",StageData!A157)</f>
        <v/>
      </c>
      <c r="B1647">
        <f>IF(StageData!A157="","",StageData!B157)</f>
        <v/>
      </c>
    </row>
    <row r="1648">
      <c r="A1648">
        <f>IF(StageData!A158="","",StageData!A158)</f>
        <v/>
      </c>
      <c r="B1648">
        <f>IF(StageData!A158="","",StageData!B158)</f>
        <v/>
      </c>
    </row>
    <row r="1649">
      <c r="A1649">
        <f>IF(StageData!A159="","",StageData!A159)</f>
        <v/>
      </c>
      <c r="B1649">
        <f>IF(StageData!A159="","",StageData!B159)</f>
        <v/>
      </c>
    </row>
    <row r="1650">
      <c r="A1650">
        <f>IF(StageData!A160="","",StageData!A160)</f>
        <v/>
      </c>
      <c r="B1650">
        <f>IF(StageData!A160="","",StageData!B160)</f>
        <v/>
      </c>
    </row>
    <row r="1651">
      <c r="A1651">
        <f>IF(StageData!A161="","",StageData!A161)</f>
        <v/>
      </c>
      <c r="B1651">
        <f>IF(StageData!A161="","",StageData!B161)</f>
        <v/>
      </c>
    </row>
    <row r="1652">
      <c r="A1652">
        <f>IF(StageData!A162="","",StageData!A162)</f>
        <v/>
      </c>
      <c r="B1652">
        <f>IF(StageData!A162="","",StageData!B162)</f>
        <v/>
      </c>
    </row>
    <row r="1653">
      <c r="A1653">
        <f>IF(StageData!A163="","",StageData!A163)</f>
        <v/>
      </c>
      <c r="B1653">
        <f>IF(StageData!A163="","",StageData!B163)</f>
        <v/>
      </c>
    </row>
    <row r="1654">
      <c r="A1654">
        <f>IF(StageData!A164="","",StageData!A164)</f>
        <v/>
      </c>
      <c r="B1654">
        <f>IF(StageData!A164="","",StageData!B164)</f>
        <v/>
      </c>
    </row>
    <row r="1655">
      <c r="A1655">
        <f>IF(StageData!A165="","",StageData!A165)</f>
        <v/>
      </c>
      <c r="B1655">
        <f>IF(StageData!A165="","",StageData!B165)</f>
        <v/>
      </c>
    </row>
    <row r="1656">
      <c r="A1656">
        <f>IF(StageData!A166="","",StageData!A166)</f>
        <v/>
      </c>
      <c r="B1656">
        <f>IF(StageData!A166="","",StageData!B166)</f>
        <v/>
      </c>
    </row>
    <row r="1657">
      <c r="A1657">
        <f>IF(StageData!A167="","",StageData!A167)</f>
        <v/>
      </c>
      <c r="B1657">
        <f>IF(StageData!A167="","",StageData!B167)</f>
        <v/>
      </c>
    </row>
    <row r="1658">
      <c r="A1658">
        <f>IF(StageData!A168="","",StageData!A168)</f>
        <v/>
      </c>
      <c r="B1658">
        <f>IF(StageData!A168="","",StageData!B168)</f>
        <v/>
      </c>
    </row>
    <row r="1659">
      <c r="A1659">
        <f>IF(StageData!A169="","",StageData!A169)</f>
        <v/>
      </c>
      <c r="B1659">
        <f>IF(StageData!A169="","",StageData!B169)</f>
        <v/>
      </c>
    </row>
    <row r="1660">
      <c r="A1660">
        <f>IF(StageData!A170="","",StageData!A170)</f>
        <v/>
      </c>
      <c r="B1660">
        <f>IF(StageData!A170="","",StageData!B170)</f>
        <v/>
      </c>
    </row>
    <row r="1661">
      <c r="A1661">
        <f>IF(StageData!A171="","",StageData!A171)</f>
        <v/>
      </c>
      <c r="B1661">
        <f>IF(StageData!A171="","",StageData!B171)</f>
        <v/>
      </c>
    </row>
    <row r="1662">
      <c r="A1662">
        <f>IF(StageData!A172="","",StageData!A172)</f>
        <v/>
      </c>
      <c r="B1662">
        <f>IF(StageData!A172="","",StageData!B172)</f>
        <v/>
      </c>
    </row>
    <row r="1663">
      <c r="A1663">
        <f>IF(StageData!A173="","",StageData!A173)</f>
        <v/>
      </c>
      <c r="B1663">
        <f>IF(StageData!A173="","",StageData!B173)</f>
        <v/>
      </c>
    </row>
    <row r="1664">
      <c r="A1664">
        <f>IF(StageData!A174="","",StageData!A174)</f>
        <v/>
      </c>
      <c r="B1664">
        <f>IF(StageData!A174="","",StageData!B174)</f>
        <v/>
      </c>
    </row>
    <row r="1665">
      <c r="A1665">
        <f>IF(StageData!A175="","",StageData!A175)</f>
        <v/>
      </c>
      <c r="B1665">
        <f>IF(StageData!A175="","",StageData!B175)</f>
        <v/>
      </c>
    </row>
    <row r="1666">
      <c r="A1666">
        <f>IF(StageData!A176="","",StageData!A176)</f>
        <v/>
      </c>
      <c r="B1666">
        <f>IF(StageData!A176="","",StageData!B176)</f>
        <v/>
      </c>
    </row>
    <row r="1667">
      <c r="A1667">
        <f>IF(StageData!A177="","",StageData!A177)</f>
        <v/>
      </c>
      <c r="B1667">
        <f>IF(StageData!A177="","",StageData!B177)</f>
        <v/>
      </c>
    </row>
    <row r="1668">
      <c r="A1668">
        <f>IF(StageData!A178="","",StageData!A178)</f>
        <v/>
      </c>
      <c r="B1668">
        <f>IF(StageData!A178="","",StageData!B178)</f>
        <v/>
      </c>
    </row>
    <row r="1669">
      <c r="A1669">
        <f>IF(StageData!A179="","",StageData!A179)</f>
        <v/>
      </c>
      <c r="B1669">
        <f>IF(StageData!A179="","",StageData!B179)</f>
        <v/>
      </c>
    </row>
    <row r="1670">
      <c r="A1670">
        <f>IF(StageData!A180="","",StageData!A180)</f>
        <v/>
      </c>
      <c r="B1670">
        <f>IF(StageData!A180="","",StageData!B180)</f>
        <v/>
      </c>
    </row>
    <row r="1671">
      <c r="A1671">
        <f>IF(StageData!A181="","",StageData!A181)</f>
        <v/>
      </c>
      <c r="B1671">
        <f>IF(StageData!A181="","",StageData!B181)</f>
        <v/>
      </c>
    </row>
    <row r="1672">
      <c r="A1672">
        <f>IF(StageData!A182="","",StageData!A182)</f>
        <v/>
      </c>
      <c r="B1672">
        <f>IF(StageData!A182="","",StageData!B182)</f>
        <v/>
      </c>
    </row>
    <row r="1673">
      <c r="A1673">
        <f>IF(StageData!A183="","",StageData!A183)</f>
        <v/>
      </c>
      <c r="B1673">
        <f>IF(StageData!A183="","",StageData!B183)</f>
        <v/>
      </c>
    </row>
    <row r="1674">
      <c r="A1674">
        <f>IF(StageData!A184="","",StageData!A184)</f>
        <v/>
      </c>
      <c r="B1674">
        <f>IF(StageData!A184="","",StageData!B184)</f>
        <v/>
      </c>
    </row>
    <row r="1675">
      <c r="A1675">
        <f>IF(StageData!A185="","",StageData!A185)</f>
        <v/>
      </c>
      <c r="B1675">
        <f>IF(StageData!A185="","",StageData!B185)</f>
        <v/>
      </c>
    </row>
    <row r="1676">
      <c r="A1676">
        <f>IF(StageData!A186="","",StageData!A186)</f>
        <v/>
      </c>
      <c r="B1676">
        <f>IF(StageData!A186="","",StageData!B186)</f>
        <v/>
      </c>
    </row>
    <row r="1677">
      <c r="A1677">
        <f>IF(StageData!A187="","",StageData!A187)</f>
        <v/>
      </c>
      <c r="B1677">
        <f>IF(StageData!A187="","",StageData!B187)</f>
        <v/>
      </c>
    </row>
    <row r="1678">
      <c r="A1678">
        <f>IF(StageData!A188="","",StageData!A188)</f>
        <v/>
      </c>
      <c r="B1678">
        <f>IF(StageData!A188="","",StageData!B188)</f>
        <v/>
      </c>
    </row>
    <row r="1679">
      <c r="A1679">
        <f>IF(StageData!A189="","",StageData!A189)</f>
        <v/>
      </c>
      <c r="B1679">
        <f>IF(StageData!A189="","",StageData!B189)</f>
        <v/>
      </c>
    </row>
    <row r="1680">
      <c r="A1680">
        <f>IF(StageData!A190="","",StageData!A190)</f>
        <v/>
      </c>
      <c r="B1680">
        <f>IF(StageData!A190="","",StageData!B190)</f>
        <v/>
      </c>
    </row>
    <row r="1681">
      <c r="A1681">
        <f>IF(StageData!A191="","",StageData!A191)</f>
        <v/>
      </c>
      <c r="B1681">
        <f>IF(StageData!A191="","",StageData!B191)</f>
        <v/>
      </c>
    </row>
    <row r="1682">
      <c r="A1682">
        <f>IF(StageData!A192="","",StageData!A192)</f>
        <v/>
      </c>
      <c r="B1682">
        <f>IF(StageData!A192="","",StageData!B192)</f>
        <v/>
      </c>
    </row>
    <row r="1683">
      <c r="A1683">
        <f>IF(StageData!A193="","",StageData!A193)</f>
        <v/>
      </c>
      <c r="B1683">
        <f>IF(StageData!A193="","",StageData!B193)</f>
        <v/>
      </c>
    </row>
    <row r="1684">
      <c r="A1684">
        <f>IF(StageData!A194="","",StageData!A194)</f>
        <v/>
      </c>
      <c r="B1684">
        <f>IF(StageData!A194="","",StageData!B194)</f>
        <v/>
      </c>
    </row>
    <row r="1685">
      <c r="A1685">
        <f>IF(StageData!A195="","",StageData!A195)</f>
        <v/>
      </c>
      <c r="B1685">
        <f>IF(StageData!A195="","",StageData!B195)</f>
        <v/>
      </c>
    </row>
    <row r="1686">
      <c r="A1686">
        <f>IF(StageData!A196="","",StageData!A196)</f>
        <v/>
      </c>
      <c r="B1686">
        <f>IF(StageData!A196="","",StageData!B196)</f>
        <v/>
      </c>
    </row>
    <row r="1687">
      <c r="A1687">
        <f>IF(StageData!A197="","",StageData!A197)</f>
        <v/>
      </c>
      <c r="B1687">
        <f>IF(StageData!A197="","",StageData!B197)</f>
        <v/>
      </c>
    </row>
    <row r="1688">
      <c r="A1688">
        <f>IF(StageData!A198="","",StageData!A198)</f>
        <v/>
      </c>
      <c r="B1688">
        <f>IF(StageData!A198="","",StageData!B198)</f>
        <v/>
      </c>
    </row>
    <row r="1689">
      <c r="A1689">
        <f>IF(StageData!A199="","",StageData!A199)</f>
        <v/>
      </c>
      <c r="B1689">
        <f>IF(StageData!A199="","",StageData!B199)</f>
        <v/>
      </c>
    </row>
    <row r="1690">
      <c r="A1690">
        <f>IF(StageData!A200="","",StageData!A200)</f>
        <v/>
      </c>
      <c r="B1690">
        <f>IF(StageData!A200="","",StageData!B200)</f>
        <v/>
      </c>
    </row>
    <row r="1691">
      <c r="A1691">
        <f>IF(StageData!A201="","",StageData!A201)</f>
        <v/>
      </c>
      <c r="B1691">
        <f>IF(StageData!A201="","",StageData!B201)</f>
        <v/>
      </c>
    </row>
    <row r="1692">
      <c r="A1692">
        <f>IF(StageData!A202="","",StageData!A202)</f>
        <v/>
      </c>
      <c r="B1692">
        <f>IF(StageData!A202="","",StageData!B202)</f>
        <v/>
      </c>
    </row>
    <row r="1693">
      <c r="A1693">
        <f>IF(StageData!A203="","",StageData!A203)</f>
        <v/>
      </c>
      <c r="B1693">
        <f>IF(StageData!A203="","",StageData!B203)</f>
        <v/>
      </c>
    </row>
    <row r="1694">
      <c r="A1694">
        <f>IF(StageData!A204="","",StageData!A204)</f>
        <v/>
      </c>
      <c r="B1694">
        <f>IF(StageData!A204="","",StageData!B204)</f>
        <v/>
      </c>
    </row>
    <row r="1695">
      <c r="A1695">
        <f>IF(StageData!A205="","",StageData!A205)</f>
        <v/>
      </c>
      <c r="B1695">
        <f>IF(StageData!A205="","",StageData!B205)</f>
        <v/>
      </c>
    </row>
    <row r="1696">
      <c r="A1696">
        <f>IF(StageData!A206="","",StageData!A206)</f>
        <v/>
      </c>
      <c r="B1696">
        <f>IF(StageData!A206="","",StageData!B206)</f>
        <v/>
      </c>
    </row>
    <row r="1697">
      <c r="A1697">
        <f>IF(StageData!A207="","",StageData!A207)</f>
        <v/>
      </c>
      <c r="B1697">
        <f>IF(StageData!A207="","",StageData!B207)</f>
        <v/>
      </c>
    </row>
    <row r="1698">
      <c r="A1698">
        <f>IF(StageData!A208="","",StageData!A208)</f>
        <v/>
      </c>
      <c r="B1698">
        <f>IF(StageData!A208="","",StageData!B208)</f>
        <v/>
      </c>
    </row>
    <row r="1699">
      <c r="A1699">
        <f>IF(StageData!A209="","",StageData!A209)</f>
        <v/>
      </c>
      <c r="B1699">
        <f>IF(StageData!A209="","",StageData!B209)</f>
        <v/>
      </c>
    </row>
    <row r="1700">
      <c r="A1700">
        <f>IF(StageData!A210="","",StageData!A210)</f>
        <v/>
      </c>
      <c r="B1700">
        <f>IF(StageData!A210="","",StageData!B210)</f>
        <v/>
      </c>
    </row>
    <row r="1701">
      <c r="A1701">
        <f>IF(StageData!A211="","",StageData!A211)</f>
        <v/>
      </c>
      <c r="B1701">
        <f>IF(StageData!A211="","",StageData!B211)</f>
        <v/>
      </c>
    </row>
    <row r="1702">
      <c r="A1702">
        <f>IF(StageData!A212="","",StageData!A212)</f>
        <v/>
      </c>
      <c r="B1702">
        <f>IF(StageData!A212="","",StageData!B212)</f>
        <v/>
      </c>
    </row>
    <row r="1703">
      <c r="A1703">
        <f>IF(StageData!A213="","",StageData!A213)</f>
        <v/>
      </c>
      <c r="B1703">
        <f>IF(StageData!A213="","",StageData!B213)</f>
        <v/>
      </c>
    </row>
    <row r="1704">
      <c r="A1704">
        <f>IF(StageData!A214="","",StageData!A214)</f>
        <v/>
      </c>
      <c r="B1704">
        <f>IF(StageData!A214="","",StageData!B214)</f>
        <v/>
      </c>
    </row>
    <row r="1705">
      <c r="A1705">
        <f>IF(StageData!A215="","",StageData!A215)</f>
        <v/>
      </c>
      <c r="B1705">
        <f>IF(StageData!A215="","",StageData!B215)</f>
        <v/>
      </c>
    </row>
    <row r="1706">
      <c r="A1706">
        <f>IF(StageData!A216="","",StageData!A216)</f>
        <v/>
      </c>
      <c r="B1706">
        <f>IF(StageData!A216="","",StageData!B216)</f>
        <v/>
      </c>
    </row>
    <row r="1707">
      <c r="A1707">
        <f>IF(StageData!A217="","",StageData!A217)</f>
        <v/>
      </c>
      <c r="B1707">
        <f>IF(StageData!A217="","",StageData!B217)</f>
        <v/>
      </c>
    </row>
    <row r="1708">
      <c r="A1708">
        <f>IF(StageData!A218="","",StageData!A218)</f>
        <v/>
      </c>
      <c r="B1708">
        <f>IF(StageData!A218="","",StageData!B218)</f>
        <v/>
      </c>
    </row>
    <row r="1709">
      <c r="A1709">
        <f>IF(StageData!A219="","",StageData!A219)</f>
        <v/>
      </c>
      <c r="B1709">
        <f>IF(StageData!A219="","",StageData!B219)</f>
        <v/>
      </c>
    </row>
    <row r="1710">
      <c r="A1710">
        <f>IF(StageData!A220="","",StageData!A220)</f>
        <v/>
      </c>
      <c r="B1710">
        <f>IF(StageData!A220="","",StageData!B220)</f>
        <v/>
      </c>
    </row>
    <row r="1711">
      <c r="A1711">
        <f>IF(StageData!A221="","",StageData!A221)</f>
        <v/>
      </c>
      <c r="B1711">
        <f>IF(StageData!A221="","",StageData!B221)</f>
        <v/>
      </c>
    </row>
    <row r="1712">
      <c r="A1712">
        <f>IF(StageData!A222="","",StageData!A222)</f>
        <v/>
      </c>
      <c r="B1712">
        <f>IF(StageData!A222="","",StageData!B222)</f>
        <v/>
      </c>
    </row>
    <row r="1713">
      <c r="A1713">
        <f>IF(StageData!A223="","",StageData!A223)</f>
        <v/>
      </c>
      <c r="B1713">
        <f>IF(StageData!A223="","",StageData!B223)</f>
        <v/>
      </c>
    </row>
    <row r="1714">
      <c r="A1714">
        <f>IF(StageData!A224="","",StageData!A224)</f>
        <v/>
      </c>
      <c r="B1714">
        <f>IF(StageData!A224="","",StageData!B224)</f>
        <v/>
      </c>
    </row>
    <row r="1715">
      <c r="A1715">
        <f>IF(StageData!A225="","",StageData!A225)</f>
        <v/>
      </c>
      <c r="B1715">
        <f>IF(StageData!A225="","",StageData!B225)</f>
        <v/>
      </c>
    </row>
    <row r="1716">
      <c r="A1716">
        <f>IF(StageData!A226="","",StageData!A226)</f>
        <v/>
      </c>
      <c r="B1716">
        <f>IF(StageData!A226="","",StageData!B226)</f>
        <v/>
      </c>
    </row>
    <row r="1717">
      <c r="A1717">
        <f>IF(StageData!A227="","",StageData!A227)</f>
        <v/>
      </c>
      <c r="B1717">
        <f>IF(StageData!A227="","",StageData!B227)</f>
        <v/>
      </c>
    </row>
    <row r="1718">
      <c r="A1718">
        <f>IF(StageData!A228="","",StageData!A228)</f>
        <v/>
      </c>
      <c r="B1718">
        <f>IF(StageData!A228="","",StageData!B228)</f>
        <v/>
      </c>
    </row>
    <row r="1719">
      <c r="A1719">
        <f>IF(StageData!A229="","",StageData!A229)</f>
        <v/>
      </c>
      <c r="B1719">
        <f>IF(StageData!A229="","",StageData!B229)</f>
        <v/>
      </c>
    </row>
    <row r="1720">
      <c r="A1720">
        <f>IF(StageData!A230="","",StageData!A230)</f>
        <v/>
      </c>
      <c r="B1720">
        <f>IF(StageData!A230="","",StageData!B230)</f>
        <v/>
      </c>
    </row>
    <row r="1721">
      <c r="A1721">
        <f>IF(StageData!A231="","",StageData!A231)</f>
        <v/>
      </c>
      <c r="B1721">
        <f>IF(StageData!A231="","",StageData!B231)</f>
        <v/>
      </c>
    </row>
    <row r="1722">
      <c r="A1722">
        <f>IF(StageData!A232="","",StageData!A232)</f>
        <v/>
      </c>
      <c r="B1722">
        <f>IF(StageData!A232="","",StageData!B232)</f>
        <v/>
      </c>
    </row>
    <row r="1723">
      <c r="A1723">
        <f>IF(StageData!A233="","",StageData!A233)</f>
        <v/>
      </c>
      <c r="B1723">
        <f>IF(StageData!A233="","",StageData!B233)</f>
        <v/>
      </c>
    </row>
    <row r="1724">
      <c r="A1724">
        <f>IF(StageData!A234="","",StageData!A234)</f>
        <v/>
      </c>
      <c r="B1724">
        <f>IF(StageData!A234="","",StageData!B234)</f>
        <v/>
      </c>
    </row>
    <row r="1725">
      <c r="A1725">
        <f>IF(StageData!A235="","",StageData!A235)</f>
        <v/>
      </c>
      <c r="B1725">
        <f>IF(StageData!A235="","",StageData!B235)</f>
        <v/>
      </c>
    </row>
    <row r="1726">
      <c r="A1726">
        <f>IF(StageData!A236="","",StageData!A236)</f>
        <v/>
      </c>
      <c r="B1726">
        <f>IF(StageData!A236="","",StageData!B236)</f>
        <v/>
      </c>
    </row>
    <row r="1727">
      <c r="A1727">
        <f>IF(StageData!A237="","",StageData!A237)</f>
        <v/>
      </c>
      <c r="B1727">
        <f>IF(StageData!A237="","",StageData!B237)</f>
        <v/>
      </c>
    </row>
    <row r="1728">
      <c r="A1728">
        <f>IF(StageData!A238="","",StageData!A238)</f>
        <v/>
      </c>
      <c r="B1728">
        <f>IF(StageData!A238="","",StageData!B238)</f>
        <v/>
      </c>
    </row>
    <row r="1729">
      <c r="A1729">
        <f>IF(StageData!A239="","",StageData!A239)</f>
        <v/>
      </c>
      <c r="B1729">
        <f>IF(StageData!A239="","",StageData!B239)</f>
        <v/>
      </c>
    </row>
    <row r="1730">
      <c r="A1730">
        <f>IF(StageData!A240="","",StageData!A240)</f>
        <v/>
      </c>
      <c r="B1730">
        <f>IF(StageData!A240="","",StageData!B240)</f>
        <v/>
      </c>
    </row>
    <row r="1731">
      <c r="A1731">
        <f>IF(StageData!A241="","",StageData!A241)</f>
        <v/>
      </c>
      <c r="B1731">
        <f>IF(StageData!A241="","",StageData!B241)</f>
        <v/>
      </c>
    </row>
    <row r="1732">
      <c r="A1732">
        <f>IF(StageData!A242="","",StageData!A242)</f>
        <v/>
      </c>
      <c r="B1732">
        <f>IF(StageData!A242="","",StageData!B242)</f>
        <v/>
      </c>
    </row>
    <row r="1733">
      <c r="A1733">
        <f>IF(StageData!A243="","",StageData!A243)</f>
        <v/>
      </c>
      <c r="B1733">
        <f>IF(StageData!A243="","",StageData!B243)</f>
        <v/>
      </c>
    </row>
    <row r="1734">
      <c r="A1734">
        <f>IF(StageData!A244="","",StageData!A244)</f>
        <v/>
      </c>
      <c r="B1734">
        <f>IF(StageData!A244="","",StageData!B244)</f>
        <v/>
      </c>
    </row>
    <row r="1735">
      <c r="A1735">
        <f>IF(StageData!A245="","",StageData!A245)</f>
        <v/>
      </c>
      <c r="B1735">
        <f>IF(StageData!A245="","",StageData!B245)</f>
        <v/>
      </c>
    </row>
    <row r="1736">
      <c r="A1736">
        <f>IF(StageData!A246="","",StageData!A246)</f>
        <v/>
      </c>
      <c r="B1736">
        <f>IF(StageData!A246="","",StageData!B246)</f>
        <v/>
      </c>
    </row>
    <row r="1737">
      <c r="A1737">
        <f>IF(StageData!A247="","",StageData!A247)</f>
        <v/>
      </c>
      <c r="B1737">
        <f>IF(StageData!A247="","",StageData!B247)</f>
        <v/>
      </c>
    </row>
    <row r="1738">
      <c r="A1738">
        <f>IF(StageData!A248="","",StageData!A248)</f>
        <v/>
      </c>
      <c r="B1738">
        <f>IF(StageData!A248="","",StageData!B248)</f>
        <v/>
      </c>
    </row>
    <row r="1739">
      <c r="A1739">
        <f>IF(StageData!A249="","",StageData!A249)</f>
        <v/>
      </c>
      <c r="B1739">
        <f>IF(StageData!A249="","",StageData!B249)</f>
        <v/>
      </c>
    </row>
    <row r="1740">
      <c r="A1740">
        <f>IF(StageData!A250="","",StageData!A250)</f>
        <v/>
      </c>
      <c r="B1740">
        <f>IF(StageData!A250="","",StageData!B250)</f>
        <v/>
      </c>
    </row>
    <row r="1741">
      <c r="A1741">
        <f>IF(StageData!A251="","",StageData!A251)</f>
        <v/>
      </c>
      <c r="B1741">
        <f>IF(StageData!A251="","",StageData!B251)</f>
        <v/>
      </c>
    </row>
    <row r="1742">
      <c r="A1742">
        <f>IF(StageData!A252="","",StageData!A252)</f>
        <v/>
      </c>
      <c r="B1742">
        <f>IF(StageData!A252="","",StageData!B252)</f>
        <v/>
      </c>
    </row>
    <row r="1743">
      <c r="A1743">
        <f>IF(StageData!A253="","",StageData!A253)</f>
        <v/>
      </c>
      <c r="B1743">
        <f>IF(StageData!A253="","",StageData!B253)</f>
        <v/>
      </c>
    </row>
    <row r="1744">
      <c r="A1744">
        <f>IF(StageData!A254="","",StageData!A254)</f>
        <v/>
      </c>
      <c r="B1744">
        <f>IF(StageData!A254="","",StageData!B254)</f>
        <v/>
      </c>
    </row>
    <row r="1745">
      <c r="A1745">
        <f>IF(StageData!A255="","",StageData!A255)</f>
        <v/>
      </c>
      <c r="B1745">
        <f>IF(StageData!A255="","",StageData!B255)</f>
        <v/>
      </c>
    </row>
    <row r="1746">
      <c r="A1746">
        <f>IF(StageData!A256="","",StageData!A256)</f>
        <v/>
      </c>
      <c r="B1746">
        <f>IF(StageData!A256="","",StageData!B256)</f>
        <v/>
      </c>
    </row>
    <row r="1747">
      <c r="A1747">
        <f>IF(StageData!A257="","",StageData!A257)</f>
        <v/>
      </c>
      <c r="B1747">
        <f>IF(StageData!A257="","",StageData!B257)</f>
        <v/>
      </c>
    </row>
    <row r="1748">
      <c r="A1748">
        <f>IF(StageData!A258="","",StageData!A258)</f>
        <v/>
      </c>
      <c r="B1748">
        <f>IF(StageData!A258="","",StageData!B258)</f>
        <v/>
      </c>
    </row>
    <row r="1749">
      <c r="A1749">
        <f>IF(StageData!A259="","",StageData!A259)</f>
        <v/>
      </c>
      <c r="B1749">
        <f>IF(StageData!A259="","",StageData!B259)</f>
        <v/>
      </c>
    </row>
    <row r="1750">
      <c r="A1750">
        <f>IF(StageData!A260="","",StageData!A260)</f>
        <v/>
      </c>
      <c r="B1750">
        <f>IF(StageData!A260="","",StageData!B260)</f>
        <v/>
      </c>
    </row>
    <row r="1751">
      <c r="A1751">
        <f>IF(StageData!A261="","",StageData!A261)</f>
        <v/>
      </c>
      <c r="B1751">
        <f>IF(StageData!A261="","",StageData!B261)</f>
        <v/>
      </c>
    </row>
    <row r="1752">
      <c r="A1752">
        <f>IF(StageData!A262="","",StageData!A262)</f>
        <v/>
      </c>
      <c r="B1752">
        <f>IF(StageData!A262="","",StageData!B262)</f>
        <v/>
      </c>
    </row>
    <row r="1753">
      <c r="A1753">
        <f>IF(StageData!A263="","",StageData!A263)</f>
        <v/>
      </c>
      <c r="B1753">
        <f>IF(StageData!A263="","",StageData!B263)</f>
        <v/>
      </c>
    </row>
    <row r="1754">
      <c r="A1754">
        <f>IF(StageData!A264="","",StageData!A264)</f>
        <v/>
      </c>
      <c r="B1754">
        <f>IF(StageData!A264="","",StageData!B264)</f>
        <v/>
      </c>
    </row>
    <row r="1755">
      <c r="A1755">
        <f>IF(StageData!A265="","",StageData!A265)</f>
        <v/>
      </c>
      <c r="B1755">
        <f>IF(StageData!A265="","",StageData!B265)</f>
        <v/>
      </c>
    </row>
    <row r="1756">
      <c r="A1756">
        <f>IF(StageData!A266="","",StageData!A266)</f>
        <v/>
      </c>
      <c r="B1756">
        <f>IF(StageData!A266="","",StageData!B266)</f>
        <v/>
      </c>
    </row>
    <row r="1757">
      <c r="A1757">
        <f>IF(StageData!A267="","",StageData!A267)</f>
        <v/>
      </c>
      <c r="B1757">
        <f>IF(StageData!A267="","",StageData!B267)</f>
        <v/>
      </c>
    </row>
    <row r="1758">
      <c r="A1758">
        <f>IF(StageData!A268="","",StageData!A268)</f>
        <v/>
      </c>
      <c r="B1758">
        <f>IF(StageData!A268="","",StageData!B268)</f>
        <v/>
      </c>
    </row>
    <row r="1759">
      <c r="A1759">
        <f>IF(StageData!A269="","",StageData!A269)</f>
        <v/>
      </c>
      <c r="B1759">
        <f>IF(StageData!A269="","",StageData!B269)</f>
        <v/>
      </c>
    </row>
    <row r="1760">
      <c r="A1760">
        <f>IF(StageData!A270="","",StageData!A270)</f>
        <v/>
      </c>
      <c r="B1760">
        <f>IF(StageData!A270="","",StageData!B270)</f>
        <v/>
      </c>
    </row>
    <row r="1761">
      <c r="A1761">
        <f>IF(StageData!A271="","",StageData!A271)</f>
        <v/>
      </c>
      <c r="B1761">
        <f>IF(StageData!A271="","",StageData!B271)</f>
        <v/>
      </c>
    </row>
    <row r="1762">
      <c r="A1762">
        <f>IF(StageData!A272="","",StageData!A272)</f>
        <v/>
      </c>
      <c r="B1762">
        <f>IF(StageData!A272="","",StageData!B272)</f>
        <v/>
      </c>
    </row>
    <row r="1763">
      <c r="A1763">
        <f>IF(StageData!A273="","",StageData!A273)</f>
        <v/>
      </c>
      <c r="B1763">
        <f>IF(StageData!A273="","",StageData!B273)</f>
        <v/>
      </c>
    </row>
    <row r="1764">
      <c r="A1764">
        <f>IF(StageData!A274="","",StageData!A274)</f>
        <v/>
      </c>
      <c r="B1764">
        <f>IF(StageData!A274="","",StageData!B274)</f>
        <v/>
      </c>
    </row>
    <row r="1765">
      <c r="A1765">
        <f>IF(StageData!A275="","",StageData!A275)</f>
        <v/>
      </c>
      <c r="B1765">
        <f>IF(StageData!A275="","",StageData!B275)</f>
        <v/>
      </c>
    </row>
    <row r="1766">
      <c r="A1766">
        <f>IF(StageData!A276="","",StageData!A276)</f>
        <v/>
      </c>
      <c r="B1766">
        <f>IF(StageData!A276="","",StageData!B276)</f>
        <v/>
      </c>
    </row>
    <row r="1767">
      <c r="A1767">
        <f>IF(StageData!A277="","",StageData!A277)</f>
        <v/>
      </c>
      <c r="B1767">
        <f>IF(StageData!A277="","",StageData!B277)</f>
        <v/>
      </c>
    </row>
    <row r="1768">
      <c r="A1768">
        <f>IF(StageData!A278="","",StageData!A278)</f>
        <v/>
      </c>
      <c r="B1768">
        <f>IF(StageData!A278="","",StageData!B278)</f>
        <v/>
      </c>
    </row>
    <row r="1769">
      <c r="A1769">
        <f>IF(StageData!A279="","",StageData!A279)</f>
        <v/>
      </c>
      <c r="B1769">
        <f>IF(StageData!A279="","",StageData!B279)</f>
        <v/>
      </c>
    </row>
    <row r="1770">
      <c r="A1770">
        <f>IF(StageData!A280="","",StageData!A280)</f>
        <v/>
      </c>
      <c r="B1770">
        <f>IF(StageData!A280="","",StageData!B280)</f>
        <v/>
      </c>
    </row>
    <row r="1771">
      <c r="A1771">
        <f>IF(StageData!A281="","",StageData!A281)</f>
        <v/>
      </c>
      <c r="B1771">
        <f>IF(StageData!A281="","",StageData!B281)</f>
        <v/>
      </c>
    </row>
    <row r="1772">
      <c r="A1772">
        <f>IF(StageData!A282="","",StageData!A282)</f>
        <v/>
      </c>
      <c r="B1772">
        <f>IF(StageData!A282="","",StageData!B282)</f>
        <v/>
      </c>
    </row>
    <row r="1773">
      <c r="A1773">
        <f>IF(StageData!A283="","",StageData!A283)</f>
        <v/>
      </c>
      <c r="B1773">
        <f>IF(StageData!A283="","",StageData!B283)</f>
        <v/>
      </c>
    </row>
    <row r="1774">
      <c r="A1774">
        <f>IF(StageData!A284="","",StageData!A284)</f>
        <v/>
      </c>
      <c r="B1774">
        <f>IF(StageData!A284="","",StageData!B284)</f>
        <v/>
      </c>
    </row>
    <row r="1775">
      <c r="A1775">
        <f>IF(StageData!A285="","",StageData!A285)</f>
        <v/>
      </c>
      <c r="B1775">
        <f>IF(StageData!A285="","",StageData!B285)</f>
        <v/>
      </c>
    </row>
    <row r="1776">
      <c r="A1776">
        <f>IF(StageData!A286="","",StageData!A286)</f>
        <v/>
      </c>
      <c r="B1776">
        <f>IF(StageData!A286="","",StageData!B286)</f>
        <v/>
      </c>
    </row>
    <row r="1777">
      <c r="A1777">
        <f>IF(StageData!A287="","",StageData!A287)</f>
        <v/>
      </c>
      <c r="B1777">
        <f>IF(StageData!A287="","",StageData!B287)</f>
        <v/>
      </c>
    </row>
    <row r="1778">
      <c r="A1778">
        <f>IF(StageData!A288="","",StageData!A288)</f>
        <v/>
      </c>
      <c r="B1778">
        <f>IF(StageData!A288="","",StageData!B288)</f>
        <v/>
      </c>
    </row>
    <row r="1779">
      <c r="A1779">
        <f>IF(StageData!A289="","",StageData!A289)</f>
        <v/>
      </c>
      <c r="B1779">
        <f>IF(StageData!A289="","",StageData!B289)</f>
        <v/>
      </c>
    </row>
    <row r="1780">
      <c r="A1780">
        <f>IF(StageData!A290="","",StageData!A290)</f>
        <v/>
      </c>
      <c r="B1780">
        <f>IF(StageData!A290="","",StageData!B290)</f>
        <v/>
      </c>
    </row>
    <row r="1781">
      <c r="A1781">
        <f>IF(StageData!A291="","",StageData!A291)</f>
        <v/>
      </c>
      <c r="B1781">
        <f>IF(StageData!A291="","",StageData!B291)</f>
        <v/>
      </c>
    </row>
    <row r="1782">
      <c r="A1782">
        <f>IF(StageData!A292="","",StageData!A292)</f>
        <v/>
      </c>
      <c r="B1782">
        <f>IF(StageData!A292="","",StageData!B292)</f>
        <v/>
      </c>
    </row>
    <row r="1783">
      <c r="A1783">
        <f>IF(StageData!A293="","",StageData!A293)</f>
        <v/>
      </c>
      <c r="B1783">
        <f>IF(StageData!A293="","",StageData!B293)</f>
        <v/>
      </c>
    </row>
    <row r="1784">
      <c r="A1784">
        <f>IF(StageData!A294="","",StageData!A294)</f>
        <v/>
      </c>
      <c r="B1784">
        <f>IF(StageData!A294="","",StageData!B294)</f>
        <v/>
      </c>
    </row>
    <row r="1785">
      <c r="A1785">
        <f>IF(StageData!A295="","",StageData!A295)</f>
        <v/>
      </c>
      <c r="B1785">
        <f>IF(StageData!A295="","",StageData!B295)</f>
        <v/>
      </c>
    </row>
    <row r="1786">
      <c r="A1786">
        <f>IF(StageData!A296="","",StageData!A296)</f>
        <v/>
      </c>
      <c r="B1786">
        <f>IF(StageData!A296="","",StageData!B296)</f>
        <v/>
      </c>
    </row>
    <row r="1787">
      <c r="A1787">
        <f>IF(StageData!A297="","",StageData!A297)</f>
        <v/>
      </c>
      <c r="B1787">
        <f>IF(StageData!A297="","",StageData!B297)</f>
        <v/>
      </c>
    </row>
    <row r="1788">
      <c r="A1788">
        <f>IF(StageData!A298="","",StageData!A298)</f>
        <v/>
      </c>
      <c r="B1788">
        <f>IF(StageData!A298="","",StageData!B298)</f>
        <v/>
      </c>
    </row>
    <row r="1789">
      <c r="A1789">
        <f>IF(StageData!A299="","",StageData!A299)</f>
        <v/>
      </c>
      <c r="B1789">
        <f>IF(StageData!A299="","",StageData!B299)</f>
        <v/>
      </c>
    </row>
    <row r="1790">
      <c r="A1790">
        <f>IF(StageData!A300="","",StageData!A300)</f>
        <v/>
      </c>
      <c r="B1790">
        <f>IF(StageData!A300="","",StageData!B300)</f>
        <v/>
      </c>
    </row>
    <row r="1791">
      <c r="A1791">
        <f>IF(LicenseData!A3="","",LicenseData!A3)</f>
        <v/>
      </c>
      <c r="B1791">
        <f>IF(LicenseData!A3="","",LicenseData!B3)</f>
        <v/>
      </c>
      <c r="C1791" t="inlineStr">
        <is>
          <t>LicenseData</t>
        </is>
      </c>
    </row>
    <row r="1792">
      <c r="A1792">
        <f>IF(LicenseData!A4="","",LicenseData!A4)</f>
        <v/>
      </c>
      <c r="B1792">
        <f>IF(LicenseData!A4="","",LicenseData!B4)</f>
        <v/>
      </c>
    </row>
    <row r="1793">
      <c r="A1793">
        <f>IF(LicenseData!A5="","",LicenseData!A5)</f>
        <v/>
      </c>
      <c r="B1793">
        <f>IF(LicenseData!A5="","",LicenseData!B5)</f>
        <v/>
      </c>
    </row>
    <row r="1794">
      <c r="A1794">
        <f>IF(LicenseData!A6="","",LicenseData!A6)</f>
        <v/>
      </c>
      <c r="B1794">
        <f>IF(LicenseData!A6="","",LicenseData!B6)</f>
        <v/>
      </c>
    </row>
    <row r="1795">
      <c r="A1795">
        <f>IF(LicenseData!A7="","",LicenseData!A7)</f>
        <v/>
      </c>
      <c r="B1795">
        <f>IF(LicenseData!A7="","",LicenseData!B7)</f>
        <v/>
      </c>
    </row>
    <row r="1796">
      <c r="A1796">
        <f>IF(LicenseData!A8="","",LicenseData!A8)</f>
        <v/>
      </c>
      <c r="B1796">
        <f>IF(LicenseData!A8="","",LicenseData!B8)</f>
        <v/>
      </c>
    </row>
    <row r="1797">
      <c r="A1797">
        <f>IF(LicenseData!A9="","",LicenseData!A9)</f>
        <v/>
      </c>
      <c r="B1797">
        <f>IF(LicenseData!A9="","",LicenseData!B9)</f>
        <v/>
      </c>
    </row>
    <row r="1798">
      <c r="A1798">
        <f>IF(LicenseData!A10="","",LicenseData!A10)</f>
        <v/>
      </c>
      <c r="B1798">
        <f>IF(LicenseData!A10="","",LicenseData!B10)</f>
        <v/>
      </c>
    </row>
    <row r="1799">
      <c r="A1799">
        <f>IF(LicenseData!A11="","",LicenseData!A11)</f>
        <v/>
      </c>
      <c r="B1799">
        <f>IF(LicenseData!A11="","",LicenseData!B11)</f>
        <v/>
      </c>
    </row>
    <row r="1800">
      <c r="A1800">
        <f>IF(LicenseData!A12="","",LicenseData!A12)</f>
        <v/>
      </c>
      <c r="B1800">
        <f>IF(LicenseData!A12="","",LicenseData!B12)</f>
        <v/>
      </c>
    </row>
    <row r="1801">
      <c r="A1801">
        <f>IF(LicenseData!A13="","",LicenseData!A13)</f>
        <v/>
      </c>
      <c r="B1801">
        <f>IF(LicenseData!A13="","",LicenseData!B13)</f>
        <v/>
      </c>
    </row>
    <row r="1802">
      <c r="A1802">
        <f>IF(LicenseData!A14="","",LicenseData!A14)</f>
        <v/>
      </c>
      <c r="B1802">
        <f>IF(LicenseData!A14="","",LicenseData!B14)</f>
        <v/>
      </c>
    </row>
    <row r="1803">
      <c r="A1803">
        <f>IF(LicenseData!A15="","",LicenseData!A15)</f>
        <v/>
      </c>
      <c r="B1803">
        <f>IF(LicenseData!A15="","",LicenseData!B15)</f>
        <v/>
      </c>
    </row>
    <row r="1804">
      <c r="A1804">
        <f>IF(LicenseData!A16="","",LicenseData!A16)</f>
        <v/>
      </c>
      <c r="B1804">
        <f>IF(LicenseData!A16="","",LicenseData!B16)</f>
        <v/>
      </c>
    </row>
    <row r="1805">
      <c r="A1805">
        <f>IF(LicenseData!A17="","",LicenseData!A17)</f>
        <v/>
      </c>
      <c r="B1805">
        <f>IF(LicenseData!A17="","",LicenseData!B17)</f>
        <v/>
      </c>
    </row>
    <row r="1806">
      <c r="A1806">
        <f>IF(LicenseData!A18="","",LicenseData!A18)</f>
        <v/>
      </c>
      <c r="B1806">
        <f>IF(LicenseData!A18="","",LicenseData!B18)</f>
        <v/>
      </c>
    </row>
    <row r="1807">
      <c r="A1807">
        <f>IF(LicenseData!A19="","",LicenseData!A19)</f>
        <v/>
      </c>
      <c r="B1807">
        <f>IF(LicenseData!A19="","",LicenseData!B19)</f>
        <v/>
      </c>
    </row>
    <row r="1808">
      <c r="A1808">
        <f>IF(LicenseData!A20="","",LicenseData!A20)</f>
        <v/>
      </c>
      <c r="B1808">
        <f>IF(LicenseData!A20="","",LicenseData!B20)</f>
        <v/>
      </c>
    </row>
    <row r="1809">
      <c r="A1809">
        <f>IF(LicenseData!A21="","",LicenseData!A21)</f>
        <v/>
      </c>
      <c r="B1809">
        <f>IF(LicenseData!A21="","",LicenseData!B21)</f>
        <v/>
      </c>
    </row>
    <row r="1810">
      <c r="A1810">
        <f>IF(LicenseData!A22="","",LicenseData!A22)</f>
        <v/>
      </c>
      <c r="B1810">
        <f>IF(LicenseData!A22="","",LicenseData!B22)</f>
        <v/>
      </c>
    </row>
    <row r="1811">
      <c r="A1811">
        <f>IF(LicenseData!A23="","",LicenseData!A23)</f>
        <v/>
      </c>
      <c r="B1811">
        <f>IF(LicenseData!A23="","",LicenseData!B23)</f>
        <v/>
      </c>
    </row>
    <row r="1812">
      <c r="A1812">
        <f>IF(LicenseData!A24="","",LicenseData!A24)</f>
        <v/>
      </c>
      <c r="B1812">
        <f>IF(LicenseData!A24="","",LicenseData!B24)</f>
        <v/>
      </c>
    </row>
    <row r="1813">
      <c r="A1813">
        <f>IF(LicenseData!A25="","",LicenseData!A25)</f>
        <v/>
      </c>
      <c r="B1813">
        <f>IF(LicenseData!A25="","",LicenseData!B25)</f>
        <v/>
      </c>
    </row>
    <row r="1814">
      <c r="A1814">
        <f>IF(LicenseData!A26="","",LicenseData!A26)</f>
        <v/>
      </c>
      <c r="B1814">
        <f>IF(LicenseData!A26="","",LicenseData!B26)</f>
        <v/>
      </c>
    </row>
    <row r="1815">
      <c r="A1815">
        <f>IF(LicenseData!A27="","",LicenseData!A27)</f>
        <v/>
      </c>
      <c r="B1815">
        <f>IF(LicenseData!A27="","",LicenseData!B27)</f>
        <v/>
      </c>
    </row>
    <row r="1816">
      <c r="A1816">
        <f>IF(LicenseData!A28="","",LicenseData!A28)</f>
        <v/>
      </c>
      <c r="B1816">
        <f>IF(LicenseData!A28="","",LicenseData!B28)</f>
        <v/>
      </c>
    </row>
    <row r="1817">
      <c r="A1817">
        <f>IF(LicenseData!A29="","",LicenseData!A29)</f>
        <v/>
      </c>
      <c r="B1817">
        <f>IF(LicenseData!A29="","",LicenseData!B29)</f>
        <v/>
      </c>
    </row>
    <row r="1818">
      <c r="A1818">
        <f>IF(LicenseData!A30="","",LicenseData!A30)</f>
        <v/>
      </c>
      <c r="B1818">
        <f>IF(LicenseData!A30="","",LicenseData!B30)</f>
        <v/>
      </c>
    </row>
    <row r="1819">
      <c r="A1819">
        <f>IF(LicenseData!A31="","",LicenseData!A31)</f>
        <v/>
      </c>
      <c r="B1819">
        <f>IF(LicenseData!A31="","",LicenseData!B31)</f>
        <v/>
      </c>
    </row>
    <row r="1820">
      <c r="A1820">
        <f>IF(LicenseData!A32="","",LicenseData!A32)</f>
        <v/>
      </c>
      <c r="B1820">
        <f>IF(LicenseData!A32="","",LicenseData!B32)</f>
        <v/>
      </c>
    </row>
    <row r="1821">
      <c r="A1821">
        <f>IF(LicenseData!A33="","",LicenseData!A33)</f>
        <v/>
      </c>
      <c r="B1821">
        <f>IF(LicenseData!A33="","",LicenseData!B33)</f>
        <v/>
      </c>
    </row>
    <row r="1822">
      <c r="A1822">
        <f>IF(LicenseData!A34="","",LicenseData!A34)</f>
        <v/>
      </c>
      <c r="B1822">
        <f>IF(LicenseData!A34="","",LicenseData!B34)</f>
        <v/>
      </c>
    </row>
    <row r="1823">
      <c r="A1823">
        <f>IF(LicenseData!A35="","",LicenseData!A35)</f>
        <v/>
      </c>
      <c r="B1823">
        <f>IF(LicenseData!A35="","",LicenseData!B35)</f>
        <v/>
      </c>
    </row>
    <row r="1824">
      <c r="A1824">
        <f>IF(LicenseData!A36="","",LicenseData!A36)</f>
        <v/>
      </c>
      <c r="B1824">
        <f>IF(LicenseData!A36="","",LicenseData!B36)</f>
        <v/>
      </c>
    </row>
    <row r="1825">
      <c r="A1825">
        <f>IF(LicenseData!A37="","",LicenseData!A37)</f>
        <v/>
      </c>
      <c r="B1825">
        <f>IF(LicenseData!A37="","",LicenseData!B37)</f>
        <v/>
      </c>
    </row>
    <row r="1826">
      <c r="A1826">
        <f>IF(LicenseData!A38="","",LicenseData!A38)</f>
        <v/>
      </c>
      <c r="B1826">
        <f>IF(LicenseData!A38="","",LicenseData!B38)</f>
        <v/>
      </c>
    </row>
    <row r="1827">
      <c r="A1827">
        <f>IF(LicenseData!A39="","",LicenseData!A39)</f>
        <v/>
      </c>
      <c r="B1827">
        <f>IF(LicenseData!A39="","",LicenseData!B39)</f>
        <v/>
      </c>
    </row>
    <row r="1828">
      <c r="A1828">
        <f>IF(LicenseData!A40="","",LicenseData!A40)</f>
        <v/>
      </c>
      <c r="B1828">
        <f>IF(LicenseData!A40="","",LicenseData!B40)</f>
        <v/>
      </c>
    </row>
    <row r="1829">
      <c r="A1829">
        <f>IF(LicenseData!A41="","",LicenseData!A41)</f>
        <v/>
      </c>
      <c r="B1829">
        <f>IF(LicenseData!A41="","",LicenseData!B41)</f>
        <v/>
      </c>
    </row>
    <row r="1830">
      <c r="A1830">
        <f>IF(LicenseData!A42="","",LicenseData!A42)</f>
        <v/>
      </c>
      <c r="B1830">
        <f>IF(LicenseData!A42="","",LicenseData!B42)</f>
        <v/>
      </c>
    </row>
    <row r="1831">
      <c r="A1831">
        <f>IF(LicenseData!A43="","",LicenseData!A43)</f>
        <v/>
      </c>
      <c r="B1831">
        <f>IF(LicenseData!A43="","",LicenseData!B43)</f>
        <v/>
      </c>
    </row>
    <row r="1832">
      <c r="A1832">
        <f>IF(LicenseData!A44="","",LicenseData!A44)</f>
        <v/>
      </c>
      <c r="B1832">
        <f>IF(LicenseData!A44="","",LicenseData!B44)</f>
        <v/>
      </c>
    </row>
    <row r="1833">
      <c r="A1833">
        <f>IF(LicenseData!A45="","",LicenseData!A45)</f>
        <v/>
      </c>
      <c r="B1833">
        <f>IF(LicenseData!A45="","",LicenseData!B45)</f>
        <v/>
      </c>
    </row>
    <row r="1834">
      <c r="A1834">
        <f>IF(LicenseData!A46="","",LicenseData!A46)</f>
        <v/>
      </c>
      <c r="B1834">
        <f>IF(LicenseData!A46="","",LicenseData!B46)</f>
        <v/>
      </c>
    </row>
    <row r="1835">
      <c r="A1835">
        <f>IF(LicenseData!A47="","",LicenseData!A47)</f>
        <v/>
      </c>
      <c r="B1835">
        <f>IF(LicenseData!A47="","",LicenseData!B47)</f>
        <v/>
      </c>
    </row>
    <row r="1836">
      <c r="A1836">
        <f>IF(LicenseData!A48="","",LicenseData!A48)</f>
        <v/>
      </c>
      <c r="B1836">
        <f>IF(LicenseData!A48="","",LicenseData!B48)</f>
        <v/>
      </c>
    </row>
    <row r="1837">
      <c r="A1837">
        <f>IF(LicenseData!A49="","",LicenseData!A49)</f>
        <v/>
      </c>
      <c r="B1837">
        <f>IF(LicenseData!A49="","",LicenseData!B49)</f>
        <v/>
      </c>
    </row>
    <row r="1838">
      <c r="A1838">
        <f>IF(LicenseData!A50="","",LicenseData!A50)</f>
        <v/>
      </c>
      <c r="B1838">
        <f>IF(LicenseData!A50="","",LicenseData!B50)</f>
        <v/>
      </c>
    </row>
    <row r="1839">
      <c r="A1839">
        <f>IF(LicenseData!A51="","",LicenseData!A51)</f>
        <v/>
      </c>
      <c r="B1839">
        <f>IF(LicenseData!A51="","",LicenseData!B51)</f>
        <v/>
      </c>
    </row>
    <row r="1840">
      <c r="A1840">
        <f>IF(LicenseData!A52="","",LicenseData!A52)</f>
        <v/>
      </c>
      <c r="B1840">
        <f>IF(LicenseData!A52="","",LicenseData!B52)</f>
        <v/>
      </c>
    </row>
    <row r="1841">
      <c r="A1841">
        <f>IF(LicenseData!A53="","",LicenseData!A53)</f>
        <v/>
      </c>
      <c r="B1841">
        <f>IF(LicenseData!A53="","",LicenseData!B53)</f>
        <v/>
      </c>
    </row>
    <row r="1842">
      <c r="A1842">
        <f>IF(LicenseData!A54="","",LicenseData!A54)</f>
        <v/>
      </c>
      <c r="B1842">
        <f>IF(LicenseData!A54="","",LicenseData!B54)</f>
        <v/>
      </c>
    </row>
    <row r="1843">
      <c r="A1843">
        <f>IF(LicenseData!A55="","",LicenseData!A55)</f>
        <v/>
      </c>
      <c r="B1843">
        <f>IF(LicenseData!A55="","",LicenseData!B55)</f>
        <v/>
      </c>
    </row>
    <row r="1844">
      <c r="A1844">
        <f>IF(LicenseData!A56="","",LicenseData!A56)</f>
        <v/>
      </c>
      <c r="B1844">
        <f>IF(LicenseData!A56="","",LicenseData!B56)</f>
        <v/>
      </c>
    </row>
    <row r="1845">
      <c r="A1845">
        <f>IF(LicenseData!A57="","",LicenseData!A57)</f>
        <v/>
      </c>
      <c r="B1845">
        <f>IF(LicenseData!A57="","",LicenseData!B57)</f>
        <v/>
      </c>
    </row>
    <row r="1846">
      <c r="A1846">
        <f>IF(LicenseData!A58="","",LicenseData!A58)</f>
        <v/>
      </c>
      <c r="B1846">
        <f>IF(LicenseData!A58="","",LicenseData!B58)</f>
        <v/>
      </c>
    </row>
    <row r="1847">
      <c r="A1847">
        <f>IF(LicenseData!A59="","",LicenseData!A59)</f>
        <v/>
      </c>
      <c r="B1847">
        <f>IF(LicenseData!A59="","",LicenseData!B59)</f>
        <v/>
      </c>
    </row>
    <row r="1848">
      <c r="A1848">
        <f>IF(LicenseData!A60="","",LicenseData!A60)</f>
        <v/>
      </c>
      <c r="B1848">
        <f>IF(LicenseData!A60="","",LicenseData!B60)</f>
        <v/>
      </c>
    </row>
    <row r="1849">
      <c r="A1849">
        <f>IF(LicenseData!A61="","",LicenseData!A61)</f>
        <v/>
      </c>
      <c r="B1849">
        <f>IF(LicenseData!A61="","",LicenseData!B61)</f>
        <v/>
      </c>
    </row>
    <row r="1850">
      <c r="A1850">
        <f>IF(LicenseData!A62="","",LicenseData!A62)</f>
        <v/>
      </c>
      <c r="B1850">
        <f>IF(LicenseData!A62="","",LicenseData!B62)</f>
        <v/>
      </c>
    </row>
    <row r="1851">
      <c r="A1851">
        <f>IF(LicenseData!A63="","",LicenseData!A63)</f>
        <v/>
      </c>
      <c r="B1851">
        <f>IF(LicenseData!A63="","",LicenseData!B63)</f>
        <v/>
      </c>
    </row>
    <row r="1852">
      <c r="A1852">
        <f>IF(LicenseData!A64="","",LicenseData!A64)</f>
        <v/>
      </c>
      <c r="B1852">
        <f>IF(LicenseData!A64="","",LicenseData!B64)</f>
        <v/>
      </c>
    </row>
    <row r="1853">
      <c r="A1853">
        <f>IF(LicenseData!A65="","",LicenseData!A65)</f>
        <v/>
      </c>
      <c r="B1853">
        <f>IF(LicenseData!A65="","",LicenseData!B65)</f>
        <v/>
      </c>
    </row>
    <row r="1854">
      <c r="A1854">
        <f>IF(LicenseData!A66="","",LicenseData!A66)</f>
        <v/>
      </c>
      <c r="B1854">
        <f>IF(LicenseData!A66="","",LicenseData!B66)</f>
        <v/>
      </c>
    </row>
    <row r="1855">
      <c r="A1855">
        <f>IF(LicenseData!A67="","",LicenseData!A67)</f>
        <v/>
      </c>
      <c r="B1855">
        <f>IF(LicenseData!A67="","",LicenseData!B67)</f>
        <v/>
      </c>
    </row>
    <row r="1856">
      <c r="A1856">
        <f>IF(LicenseData!A68="","",LicenseData!A68)</f>
        <v/>
      </c>
      <c r="B1856">
        <f>IF(LicenseData!A68="","",LicenseData!B68)</f>
        <v/>
      </c>
    </row>
    <row r="1857">
      <c r="A1857">
        <f>IF(LicenseData!A69="","",LicenseData!A69)</f>
        <v/>
      </c>
      <c r="B1857">
        <f>IF(LicenseData!A69="","",LicenseData!B69)</f>
        <v/>
      </c>
    </row>
    <row r="1858">
      <c r="A1858">
        <f>IF(LicenseData!A70="","",LicenseData!A70)</f>
        <v/>
      </c>
      <c r="B1858">
        <f>IF(LicenseData!A70="","",LicenseData!B70)</f>
        <v/>
      </c>
    </row>
    <row r="1859">
      <c r="A1859">
        <f>IF(LicenseData!A71="","",LicenseData!A71)</f>
        <v/>
      </c>
      <c r="B1859">
        <f>IF(LicenseData!A71="","",LicenseData!B71)</f>
        <v/>
      </c>
    </row>
    <row r="1860">
      <c r="A1860">
        <f>IF(LicenseData!A72="","",LicenseData!A72)</f>
        <v/>
      </c>
      <c r="B1860">
        <f>IF(LicenseData!A72="","",LicenseData!B72)</f>
        <v/>
      </c>
    </row>
    <row r="1861">
      <c r="A1861">
        <f>IF(LicenseData!A73="","",LicenseData!A73)</f>
        <v/>
      </c>
      <c r="B1861">
        <f>IF(LicenseData!A73="","",LicenseData!B73)</f>
        <v/>
      </c>
    </row>
    <row r="1862">
      <c r="A1862">
        <f>IF(LicenseData!A74="","",LicenseData!A74)</f>
        <v/>
      </c>
      <c r="B1862">
        <f>IF(LicenseData!A74="","",LicenseData!B74)</f>
        <v/>
      </c>
    </row>
    <row r="1863">
      <c r="A1863">
        <f>IF(LicenseData!A75="","",LicenseData!A75)</f>
        <v/>
      </c>
      <c r="B1863">
        <f>IF(LicenseData!A75="","",LicenseData!B75)</f>
        <v/>
      </c>
    </row>
    <row r="1864">
      <c r="A1864">
        <f>IF(LicenseData!A76="","",LicenseData!A76)</f>
        <v/>
      </c>
      <c r="B1864">
        <f>IF(LicenseData!A76="","",LicenseData!B76)</f>
        <v/>
      </c>
    </row>
    <row r="1865">
      <c r="A1865">
        <f>IF(LicenseData!A77="","",LicenseData!A77)</f>
        <v/>
      </c>
      <c r="B1865">
        <f>IF(LicenseData!A77="","",LicenseData!B77)</f>
        <v/>
      </c>
    </row>
    <row r="1866">
      <c r="A1866">
        <f>IF(LicenseData!A78="","",LicenseData!A78)</f>
        <v/>
      </c>
      <c r="B1866">
        <f>IF(LicenseData!A78="","",LicenseData!B78)</f>
        <v/>
      </c>
    </row>
    <row r="1867">
      <c r="A1867">
        <f>IF(LicenseData!A79="","",LicenseData!A79)</f>
        <v/>
      </c>
      <c r="B1867">
        <f>IF(LicenseData!A79="","",LicenseData!B79)</f>
        <v/>
      </c>
    </row>
    <row r="1868">
      <c r="A1868">
        <f>IF(LicenseData!A80="","",LicenseData!A80)</f>
        <v/>
      </c>
      <c r="B1868">
        <f>IF(LicenseData!A80="","",LicenseData!B80)</f>
        <v/>
      </c>
    </row>
    <row r="1869">
      <c r="A1869">
        <f>IF(LicenseData!A81="","",LicenseData!A81)</f>
        <v/>
      </c>
      <c r="B1869">
        <f>IF(LicenseData!A81="","",LicenseData!B81)</f>
        <v/>
      </c>
    </row>
    <row r="1870">
      <c r="A1870">
        <f>IF(LicenseData!A82="","",LicenseData!A82)</f>
        <v/>
      </c>
      <c r="B1870">
        <f>IF(LicenseData!A82="","",LicenseData!B82)</f>
        <v/>
      </c>
    </row>
    <row r="1871">
      <c r="A1871">
        <f>IF(LicenseData!A83="","",LicenseData!A83)</f>
        <v/>
      </c>
      <c r="B1871">
        <f>IF(LicenseData!A83="","",LicenseData!B83)</f>
        <v/>
      </c>
    </row>
    <row r="1872">
      <c r="A1872">
        <f>IF(LicenseData!A84="","",LicenseData!A84)</f>
        <v/>
      </c>
      <c r="B1872">
        <f>IF(LicenseData!A84="","",LicenseData!B84)</f>
        <v/>
      </c>
    </row>
    <row r="1873">
      <c r="A1873">
        <f>IF(LicenseData!A85="","",LicenseData!A85)</f>
        <v/>
      </c>
      <c r="B1873">
        <f>IF(LicenseData!A85="","",LicenseData!B85)</f>
        <v/>
      </c>
    </row>
    <row r="1874">
      <c r="A1874">
        <f>IF(LicenseData!A86="","",LicenseData!A86)</f>
        <v/>
      </c>
      <c r="B1874">
        <f>IF(LicenseData!A86="","",LicenseData!B86)</f>
        <v/>
      </c>
    </row>
    <row r="1875">
      <c r="A1875">
        <f>IF(LicenseData!A87="","",LicenseData!A87)</f>
        <v/>
      </c>
      <c r="B1875">
        <f>IF(LicenseData!A87="","",LicenseData!B87)</f>
        <v/>
      </c>
    </row>
    <row r="1876">
      <c r="A1876">
        <f>IF(LicenseData!A88="","",LicenseData!A88)</f>
        <v/>
      </c>
      <c r="B1876">
        <f>IF(LicenseData!A88="","",LicenseData!B88)</f>
        <v/>
      </c>
    </row>
    <row r="1877">
      <c r="A1877">
        <f>IF(LicenseData!A89="","",LicenseData!A89)</f>
        <v/>
      </c>
      <c r="B1877">
        <f>IF(LicenseData!A89="","",LicenseData!B89)</f>
        <v/>
      </c>
    </row>
    <row r="1878">
      <c r="A1878">
        <f>IF(LicenseData!A90="","",LicenseData!A90)</f>
        <v/>
      </c>
      <c r="B1878">
        <f>IF(LicenseData!A90="","",LicenseData!B90)</f>
        <v/>
      </c>
    </row>
    <row r="1879">
      <c r="A1879">
        <f>IF(LicenseData!A91="","",LicenseData!A91)</f>
        <v/>
      </c>
      <c r="B1879">
        <f>IF(LicenseData!A91="","",LicenseData!B91)</f>
        <v/>
      </c>
    </row>
    <row r="1880">
      <c r="A1880">
        <f>IF(LicenseData!A92="","",LicenseData!A92)</f>
        <v/>
      </c>
      <c r="B1880">
        <f>IF(LicenseData!A92="","",LicenseData!B92)</f>
        <v/>
      </c>
    </row>
    <row r="1881">
      <c r="A1881">
        <f>IF(LicenseData!A93="","",LicenseData!A93)</f>
        <v/>
      </c>
      <c r="B1881">
        <f>IF(LicenseData!A93="","",LicenseData!B93)</f>
        <v/>
      </c>
    </row>
    <row r="1882">
      <c r="A1882">
        <f>IF(LicenseData!A94="","",LicenseData!A94)</f>
        <v/>
      </c>
      <c r="B1882">
        <f>IF(LicenseData!A94="","",LicenseData!B94)</f>
        <v/>
      </c>
    </row>
    <row r="1883">
      <c r="A1883">
        <f>IF(LicenseData!A95="","",LicenseData!A95)</f>
        <v/>
      </c>
      <c r="B1883">
        <f>IF(LicenseData!A95="","",LicenseData!B95)</f>
        <v/>
      </c>
    </row>
    <row r="1884">
      <c r="A1884">
        <f>IF(LicenseData!A96="","",LicenseData!A96)</f>
        <v/>
      </c>
      <c r="B1884">
        <f>IF(LicenseData!A96="","",LicenseData!B96)</f>
        <v/>
      </c>
    </row>
    <row r="1885">
      <c r="A1885">
        <f>IF(LicenseData!A97="","",LicenseData!A97)</f>
        <v/>
      </c>
      <c r="B1885">
        <f>IF(LicenseData!A97="","",LicenseData!B97)</f>
        <v/>
      </c>
    </row>
    <row r="1886">
      <c r="A1886">
        <f>IF(LicenseData!A98="","",LicenseData!A98)</f>
        <v/>
      </c>
      <c r="B1886">
        <f>IF(LicenseData!A98="","",LicenseData!B98)</f>
        <v/>
      </c>
    </row>
    <row r="1887">
      <c r="A1887">
        <f>IF(LicenseData!A99="","",LicenseData!A99)</f>
        <v/>
      </c>
      <c r="B1887">
        <f>IF(LicenseData!A99="","",LicenseData!B99)</f>
        <v/>
      </c>
    </row>
    <row r="1888">
      <c r="A1888">
        <f>IF(LicenseData!A100="","",LicenseData!A100)</f>
        <v/>
      </c>
      <c r="B1888">
        <f>IF(LicenseData!A100="","",LicenseData!B100)</f>
        <v/>
      </c>
    </row>
    <row r="1889">
      <c r="A1889">
        <f>IF(LicenseData!A101="","",LicenseData!A101)</f>
        <v/>
      </c>
      <c r="B1889">
        <f>IF(LicenseData!A101="","",LicenseData!B101)</f>
        <v/>
      </c>
    </row>
    <row r="1890">
      <c r="A1890">
        <f>IF(LicenseData!A102="","",LicenseData!A102)</f>
        <v/>
      </c>
      <c r="B1890">
        <f>IF(LicenseData!A102="","",LicenseData!B102)</f>
        <v/>
      </c>
    </row>
    <row r="1891">
      <c r="A1891">
        <f>IF(LicenseData!A103="","",LicenseData!A103)</f>
        <v/>
      </c>
      <c r="B1891">
        <f>IF(LicenseData!A103="","",LicenseData!B103)</f>
        <v/>
      </c>
    </row>
    <row r="1892">
      <c r="A1892">
        <f>IF(LicenseData!A104="","",LicenseData!A104)</f>
        <v/>
      </c>
      <c r="B1892">
        <f>IF(LicenseData!A104="","",LicenseData!B104)</f>
        <v/>
      </c>
    </row>
    <row r="1893">
      <c r="A1893">
        <f>IF(LicenseData!A105="","",LicenseData!A105)</f>
        <v/>
      </c>
      <c r="B1893">
        <f>IF(LicenseData!A105="","",LicenseData!B105)</f>
        <v/>
      </c>
    </row>
    <row r="1894">
      <c r="A1894">
        <f>IF(LicenseData!A106="","",LicenseData!A106)</f>
        <v/>
      </c>
      <c r="B1894">
        <f>IF(LicenseData!A106="","",LicenseData!B106)</f>
        <v/>
      </c>
    </row>
    <row r="1895">
      <c r="A1895">
        <f>IF(LicenseData!A107="","",LicenseData!A107)</f>
        <v/>
      </c>
      <c r="B1895">
        <f>IF(LicenseData!A107="","",LicenseData!B107)</f>
        <v/>
      </c>
    </row>
    <row r="1896">
      <c r="A1896">
        <f>IF(LicenseData!A108="","",LicenseData!A108)</f>
        <v/>
      </c>
      <c r="B1896">
        <f>IF(LicenseData!A108="","",LicenseData!B108)</f>
        <v/>
      </c>
    </row>
    <row r="1897">
      <c r="A1897">
        <f>IF(LicenseData!A109="","",LicenseData!A109)</f>
        <v/>
      </c>
      <c r="B1897">
        <f>IF(LicenseData!A109="","",LicenseData!B109)</f>
        <v/>
      </c>
    </row>
    <row r="1898">
      <c r="A1898">
        <f>IF(LicenseData!A110="","",LicenseData!A110)</f>
        <v/>
      </c>
      <c r="B1898">
        <f>IF(LicenseData!A110="","",LicenseData!B110)</f>
        <v/>
      </c>
    </row>
    <row r="1899">
      <c r="A1899">
        <f>IF(LicenseData!A111="","",LicenseData!A111)</f>
        <v/>
      </c>
      <c r="B1899">
        <f>IF(LicenseData!A111="","",LicenseData!B111)</f>
        <v/>
      </c>
    </row>
    <row r="1900">
      <c r="A1900">
        <f>IF(LicenseData!A112="","",LicenseData!A112)</f>
        <v/>
      </c>
      <c r="B1900">
        <f>IF(LicenseData!A112="","",LicenseData!B112)</f>
        <v/>
      </c>
    </row>
    <row r="1901">
      <c r="A1901">
        <f>IF(LicenseData!A113="","",LicenseData!A113)</f>
        <v/>
      </c>
      <c r="B1901">
        <f>IF(LicenseData!A113="","",LicenseData!B113)</f>
        <v/>
      </c>
    </row>
    <row r="1902">
      <c r="A1902">
        <f>IF(LicenseData!A114="","",LicenseData!A114)</f>
        <v/>
      </c>
      <c r="B1902">
        <f>IF(LicenseData!A114="","",LicenseData!B114)</f>
        <v/>
      </c>
    </row>
    <row r="1903">
      <c r="A1903">
        <f>IF(LicenseData!A115="","",LicenseData!A115)</f>
        <v/>
      </c>
      <c r="B1903">
        <f>IF(LicenseData!A115="","",LicenseData!B115)</f>
        <v/>
      </c>
    </row>
    <row r="1904">
      <c r="A1904">
        <f>IF(LicenseData!A116="","",LicenseData!A116)</f>
        <v/>
      </c>
      <c r="B1904">
        <f>IF(LicenseData!A116="","",LicenseData!B116)</f>
        <v/>
      </c>
    </row>
    <row r="1905">
      <c r="A1905">
        <f>IF(LicenseData!A117="","",LicenseData!A117)</f>
        <v/>
      </c>
      <c r="B1905">
        <f>IF(LicenseData!A117="","",LicenseData!B117)</f>
        <v/>
      </c>
    </row>
    <row r="1906">
      <c r="A1906">
        <f>IF(LicenseData!A118="","",LicenseData!A118)</f>
        <v/>
      </c>
      <c r="B1906">
        <f>IF(LicenseData!A118="","",LicenseData!B118)</f>
        <v/>
      </c>
    </row>
    <row r="1907">
      <c r="A1907">
        <f>IF(LicenseData!A119="","",LicenseData!A119)</f>
        <v/>
      </c>
      <c r="B1907">
        <f>IF(LicenseData!A119="","",LicenseData!B119)</f>
        <v/>
      </c>
    </row>
    <row r="1908">
      <c r="A1908">
        <f>IF(LicenseData!A120="","",LicenseData!A120)</f>
        <v/>
      </c>
      <c r="B1908">
        <f>IF(LicenseData!A120="","",LicenseData!B120)</f>
        <v/>
      </c>
    </row>
    <row r="1909">
      <c r="A1909">
        <f>IF(LicenseData!A121="","",LicenseData!A121)</f>
        <v/>
      </c>
      <c r="B1909">
        <f>IF(LicenseData!A121="","",LicenseData!B121)</f>
        <v/>
      </c>
    </row>
    <row r="1910">
      <c r="A1910">
        <f>IF(LicenseData!A122="","",LicenseData!A122)</f>
        <v/>
      </c>
      <c r="B1910">
        <f>IF(LicenseData!A122="","",LicenseData!B122)</f>
        <v/>
      </c>
    </row>
    <row r="1911">
      <c r="A1911">
        <f>IF(LicenseData!A123="","",LicenseData!A123)</f>
        <v/>
      </c>
      <c r="B1911">
        <f>IF(LicenseData!A123="","",LicenseData!B123)</f>
        <v/>
      </c>
    </row>
    <row r="1912">
      <c r="A1912">
        <f>IF(LicenseData!A124="","",LicenseData!A124)</f>
        <v/>
      </c>
      <c r="B1912">
        <f>IF(LicenseData!A124="","",LicenseData!B124)</f>
        <v/>
      </c>
    </row>
    <row r="1913">
      <c r="A1913">
        <f>IF(LicenseData!A125="","",LicenseData!A125)</f>
        <v/>
      </c>
      <c r="B1913">
        <f>IF(LicenseData!A125="","",LicenseData!B125)</f>
        <v/>
      </c>
    </row>
    <row r="1914">
      <c r="A1914">
        <f>IF(LicenseData!A126="","",LicenseData!A126)</f>
        <v/>
      </c>
      <c r="B1914">
        <f>IF(LicenseData!A126="","",LicenseData!B126)</f>
        <v/>
      </c>
    </row>
    <row r="1915">
      <c r="A1915">
        <f>IF(LicenseData!A127="","",LicenseData!A127)</f>
        <v/>
      </c>
      <c r="B1915">
        <f>IF(LicenseData!A127="","",LicenseData!B127)</f>
        <v/>
      </c>
    </row>
    <row r="1916">
      <c r="A1916">
        <f>IF(LicenseData!A128="","",LicenseData!A128)</f>
        <v/>
      </c>
      <c r="B1916">
        <f>IF(LicenseData!A128="","",LicenseData!B128)</f>
        <v/>
      </c>
    </row>
    <row r="1917">
      <c r="A1917">
        <f>IF(LicenseData!A129="","",LicenseData!A129)</f>
        <v/>
      </c>
      <c r="B1917">
        <f>IF(LicenseData!A129="","",LicenseData!B129)</f>
        <v/>
      </c>
    </row>
    <row r="1918">
      <c r="A1918">
        <f>IF(LicenseData!A130="","",LicenseData!A130)</f>
        <v/>
      </c>
      <c r="B1918">
        <f>IF(LicenseData!A130="","",LicenseData!B130)</f>
        <v/>
      </c>
    </row>
    <row r="1919">
      <c r="A1919">
        <f>IF(LicenseData!A131="","",LicenseData!A131)</f>
        <v/>
      </c>
      <c r="B1919">
        <f>IF(LicenseData!A131="","",LicenseData!B131)</f>
        <v/>
      </c>
    </row>
    <row r="1920">
      <c r="A1920">
        <f>IF(LicenseData!A132="","",LicenseData!A132)</f>
        <v/>
      </c>
      <c r="B1920">
        <f>IF(LicenseData!A132="","",LicenseData!B132)</f>
        <v/>
      </c>
    </row>
    <row r="1921">
      <c r="A1921">
        <f>IF(LicenseData!A133="","",LicenseData!A133)</f>
        <v/>
      </c>
      <c r="B1921">
        <f>IF(LicenseData!A133="","",LicenseData!B133)</f>
        <v/>
      </c>
    </row>
    <row r="1922">
      <c r="A1922">
        <f>IF(LicenseData!A134="","",LicenseData!A134)</f>
        <v/>
      </c>
      <c r="B1922">
        <f>IF(LicenseData!A134="","",LicenseData!B134)</f>
        <v/>
      </c>
    </row>
    <row r="1923">
      <c r="A1923">
        <f>IF(LicenseData!A135="","",LicenseData!A135)</f>
        <v/>
      </c>
      <c r="B1923">
        <f>IF(LicenseData!A135="","",LicenseData!B135)</f>
        <v/>
      </c>
    </row>
    <row r="1924">
      <c r="A1924">
        <f>IF(LicenseData!A136="","",LicenseData!A136)</f>
        <v/>
      </c>
      <c r="B1924">
        <f>IF(LicenseData!A136="","",LicenseData!B136)</f>
        <v/>
      </c>
    </row>
    <row r="1925">
      <c r="A1925">
        <f>IF(LicenseData!A137="","",LicenseData!A137)</f>
        <v/>
      </c>
      <c r="B1925">
        <f>IF(LicenseData!A137="","",LicenseData!B137)</f>
        <v/>
      </c>
    </row>
    <row r="1926">
      <c r="A1926">
        <f>IF(LicenseData!A138="","",LicenseData!A138)</f>
        <v/>
      </c>
      <c r="B1926">
        <f>IF(LicenseData!A138="","",LicenseData!B138)</f>
        <v/>
      </c>
    </row>
    <row r="1927">
      <c r="A1927">
        <f>IF(LicenseData!A139="","",LicenseData!A139)</f>
        <v/>
      </c>
      <c r="B1927">
        <f>IF(LicenseData!A139="","",LicenseData!B139)</f>
        <v/>
      </c>
    </row>
    <row r="1928">
      <c r="A1928">
        <f>IF(LicenseData!A140="","",LicenseData!A140)</f>
        <v/>
      </c>
      <c r="B1928">
        <f>IF(LicenseData!A140="","",LicenseData!B140)</f>
        <v/>
      </c>
    </row>
    <row r="1929">
      <c r="A1929">
        <f>IF(LicenseData!A141="","",LicenseData!A141)</f>
        <v/>
      </c>
      <c r="B1929">
        <f>IF(LicenseData!A141="","",LicenseData!B141)</f>
        <v/>
      </c>
    </row>
    <row r="1930">
      <c r="A1930">
        <f>IF(LicenseData!A142="","",LicenseData!A142)</f>
        <v/>
      </c>
      <c r="B1930">
        <f>IF(LicenseData!A142="","",LicenseData!B142)</f>
        <v/>
      </c>
    </row>
    <row r="1931">
      <c r="A1931">
        <f>IF(LicenseData!A143="","",LicenseData!A143)</f>
        <v/>
      </c>
      <c r="B1931">
        <f>IF(LicenseData!A143="","",LicenseData!B143)</f>
        <v/>
      </c>
    </row>
    <row r="1932">
      <c r="A1932">
        <f>IF(LicenseData!A144="","",LicenseData!A144)</f>
        <v/>
      </c>
      <c r="B1932">
        <f>IF(LicenseData!A144="","",LicenseData!B144)</f>
        <v/>
      </c>
    </row>
    <row r="1933">
      <c r="A1933">
        <f>IF(LicenseData!A145="","",LicenseData!A145)</f>
        <v/>
      </c>
      <c r="B1933">
        <f>IF(LicenseData!A145="","",LicenseData!B145)</f>
        <v/>
      </c>
    </row>
    <row r="1934">
      <c r="A1934">
        <f>IF(LicenseData!A146="","",LicenseData!A146)</f>
        <v/>
      </c>
      <c r="B1934">
        <f>IF(LicenseData!A146="","",LicenseData!B146)</f>
        <v/>
      </c>
    </row>
    <row r="1935">
      <c r="A1935">
        <f>IF(LicenseData!A147="","",LicenseData!A147)</f>
        <v/>
      </c>
      <c r="B1935">
        <f>IF(LicenseData!A147="","",LicenseData!B147)</f>
        <v/>
      </c>
    </row>
    <row r="1936">
      <c r="A1936">
        <f>IF(LicenseData!A148="","",LicenseData!A148)</f>
        <v/>
      </c>
      <c r="B1936">
        <f>IF(LicenseData!A148="","",LicenseData!B148)</f>
        <v/>
      </c>
    </row>
    <row r="1937">
      <c r="A1937">
        <f>IF(LicenseData!A149="","",LicenseData!A149)</f>
        <v/>
      </c>
      <c r="B1937">
        <f>IF(LicenseData!A149="","",LicenseData!B149)</f>
        <v/>
      </c>
    </row>
    <row r="1938">
      <c r="A1938">
        <f>IF(LicenseData!A150="","",LicenseData!A150)</f>
        <v/>
      </c>
      <c r="B1938">
        <f>IF(LicenseData!A150="","",LicenseData!B150)</f>
        <v/>
      </c>
    </row>
    <row r="1939">
      <c r="A1939">
        <f>IF(LicenseData!A151="","",LicenseData!A151)</f>
        <v/>
      </c>
      <c r="B1939">
        <f>IF(LicenseData!A151="","",LicenseData!B151)</f>
        <v/>
      </c>
    </row>
    <row r="1940">
      <c r="A1940">
        <f>IF(LicenseData!A152="","",LicenseData!A152)</f>
        <v/>
      </c>
      <c r="B1940">
        <f>IF(LicenseData!A152="","",LicenseData!B152)</f>
        <v/>
      </c>
    </row>
    <row r="1941">
      <c r="A1941">
        <f>IF(LicenseData!A153="","",LicenseData!A153)</f>
        <v/>
      </c>
      <c r="B1941">
        <f>IF(LicenseData!A153="","",LicenseData!B153)</f>
        <v/>
      </c>
    </row>
    <row r="1942">
      <c r="A1942">
        <f>IF(LicenseData!A154="","",LicenseData!A154)</f>
        <v/>
      </c>
      <c r="B1942">
        <f>IF(LicenseData!A154="","",LicenseData!B154)</f>
        <v/>
      </c>
    </row>
    <row r="1943">
      <c r="A1943">
        <f>IF(LicenseData!A155="","",LicenseData!A155)</f>
        <v/>
      </c>
      <c r="B1943">
        <f>IF(LicenseData!A155="","",LicenseData!B155)</f>
        <v/>
      </c>
    </row>
    <row r="1944">
      <c r="A1944">
        <f>IF(LicenseData!A156="","",LicenseData!A156)</f>
        <v/>
      </c>
      <c r="B1944">
        <f>IF(LicenseData!A156="","",LicenseData!B156)</f>
        <v/>
      </c>
    </row>
    <row r="1945">
      <c r="A1945">
        <f>IF(LicenseData!A157="","",LicenseData!A157)</f>
        <v/>
      </c>
      <c r="B1945">
        <f>IF(LicenseData!A157="","",LicenseData!B157)</f>
        <v/>
      </c>
    </row>
    <row r="1946">
      <c r="A1946">
        <f>IF(LicenseData!A158="","",LicenseData!A158)</f>
        <v/>
      </c>
      <c r="B1946">
        <f>IF(LicenseData!A158="","",LicenseData!B158)</f>
        <v/>
      </c>
    </row>
    <row r="1947">
      <c r="A1947">
        <f>IF(LicenseData!A159="","",LicenseData!A159)</f>
        <v/>
      </c>
      <c r="B1947">
        <f>IF(LicenseData!A159="","",LicenseData!B159)</f>
        <v/>
      </c>
    </row>
    <row r="1948">
      <c r="A1948">
        <f>IF(LicenseData!A160="","",LicenseData!A160)</f>
        <v/>
      </c>
      <c r="B1948">
        <f>IF(LicenseData!A160="","",LicenseData!B160)</f>
        <v/>
      </c>
    </row>
    <row r="1949">
      <c r="A1949">
        <f>IF(LicenseData!A161="","",LicenseData!A161)</f>
        <v/>
      </c>
      <c r="B1949">
        <f>IF(LicenseData!A161="","",LicenseData!B161)</f>
        <v/>
      </c>
    </row>
    <row r="1950">
      <c r="A1950">
        <f>IF(LicenseData!A162="","",LicenseData!A162)</f>
        <v/>
      </c>
      <c r="B1950">
        <f>IF(LicenseData!A162="","",LicenseData!B162)</f>
        <v/>
      </c>
    </row>
    <row r="1951">
      <c r="A1951">
        <f>IF(LicenseData!A163="","",LicenseData!A163)</f>
        <v/>
      </c>
      <c r="B1951">
        <f>IF(LicenseData!A163="","",LicenseData!B163)</f>
        <v/>
      </c>
    </row>
    <row r="1952">
      <c r="A1952">
        <f>IF(LicenseData!A164="","",LicenseData!A164)</f>
        <v/>
      </c>
      <c r="B1952">
        <f>IF(LicenseData!A164="","",LicenseData!B164)</f>
        <v/>
      </c>
    </row>
    <row r="1953">
      <c r="A1953">
        <f>IF(LicenseData!A165="","",LicenseData!A165)</f>
        <v/>
      </c>
      <c r="B1953">
        <f>IF(LicenseData!A165="","",LicenseData!B165)</f>
        <v/>
      </c>
    </row>
    <row r="1954">
      <c r="A1954">
        <f>IF(LicenseData!A166="","",LicenseData!A166)</f>
        <v/>
      </c>
      <c r="B1954">
        <f>IF(LicenseData!A166="","",LicenseData!B166)</f>
        <v/>
      </c>
    </row>
    <row r="1955">
      <c r="A1955">
        <f>IF(LicenseData!A167="","",LicenseData!A167)</f>
        <v/>
      </c>
      <c r="B1955">
        <f>IF(LicenseData!A167="","",LicenseData!B167)</f>
        <v/>
      </c>
    </row>
    <row r="1956">
      <c r="A1956">
        <f>IF(LicenseData!A168="","",LicenseData!A168)</f>
        <v/>
      </c>
      <c r="B1956">
        <f>IF(LicenseData!A168="","",LicenseData!B168)</f>
        <v/>
      </c>
    </row>
    <row r="1957">
      <c r="A1957">
        <f>IF(LicenseData!A169="","",LicenseData!A169)</f>
        <v/>
      </c>
      <c r="B1957">
        <f>IF(LicenseData!A169="","",LicenseData!B169)</f>
        <v/>
      </c>
    </row>
    <row r="1958">
      <c r="A1958">
        <f>IF(LicenseData!A170="","",LicenseData!A170)</f>
        <v/>
      </c>
      <c r="B1958">
        <f>IF(LicenseData!A170="","",LicenseData!B170)</f>
        <v/>
      </c>
    </row>
    <row r="1959">
      <c r="A1959">
        <f>IF(LicenseData!A171="","",LicenseData!A171)</f>
        <v/>
      </c>
      <c r="B1959">
        <f>IF(LicenseData!A171="","",LicenseData!B171)</f>
        <v/>
      </c>
    </row>
    <row r="1960">
      <c r="A1960">
        <f>IF(LicenseData!A172="","",LicenseData!A172)</f>
        <v/>
      </c>
      <c r="B1960">
        <f>IF(LicenseData!A172="","",LicenseData!B172)</f>
        <v/>
      </c>
    </row>
    <row r="1961">
      <c r="A1961">
        <f>IF(LicenseData!A173="","",LicenseData!A173)</f>
        <v/>
      </c>
      <c r="B1961">
        <f>IF(LicenseData!A173="","",LicenseData!B173)</f>
        <v/>
      </c>
    </row>
    <row r="1962">
      <c r="A1962">
        <f>IF(LicenseData!A174="","",LicenseData!A174)</f>
        <v/>
      </c>
      <c r="B1962">
        <f>IF(LicenseData!A174="","",LicenseData!B174)</f>
        <v/>
      </c>
    </row>
    <row r="1963">
      <c r="A1963">
        <f>IF(LicenseData!A175="","",LicenseData!A175)</f>
        <v/>
      </c>
      <c r="B1963">
        <f>IF(LicenseData!A175="","",LicenseData!B175)</f>
        <v/>
      </c>
    </row>
    <row r="1964">
      <c r="A1964">
        <f>IF(LicenseData!A176="","",LicenseData!A176)</f>
        <v/>
      </c>
      <c r="B1964">
        <f>IF(LicenseData!A176="","",LicenseData!B176)</f>
        <v/>
      </c>
    </row>
    <row r="1965">
      <c r="A1965">
        <f>IF(LicenseData!A177="","",LicenseData!A177)</f>
        <v/>
      </c>
      <c r="B1965">
        <f>IF(LicenseData!A177="","",LicenseData!B177)</f>
        <v/>
      </c>
    </row>
    <row r="1966">
      <c r="A1966">
        <f>IF(LicenseData!A178="","",LicenseData!A178)</f>
        <v/>
      </c>
      <c r="B1966">
        <f>IF(LicenseData!A178="","",LicenseData!B178)</f>
        <v/>
      </c>
    </row>
    <row r="1967">
      <c r="A1967">
        <f>IF(LicenseData!A179="","",LicenseData!A179)</f>
        <v/>
      </c>
      <c r="B1967">
        <f>IF(LicenseData!A179="","",LicenseData!B179)</f>
        <v/>
      </c>
    </row>
    <row r="1968">
      <c r="A1968">
        <f>IF(LicenseData!A180="","",LicenseData!A180)</f>
        <v/>
      </c>
      <c r="B1968">
        <f>IF(LicenseData!A180="","",LicenseData!B180)</f>
        <v/>
      </c>
    </row>
    <row r="1969">
      <c r="A1969">
        <f>IF(LicenseData!A181="","",LicenseData!A181)</f>
        <v/>
      </c>
      <c r="B1969">
        <f>IF(LicenseData!A181="","",LicenseData!B181)</f>
        <v/>
      </c>
    </row>
    <row r="1970">
      <c r="A1970">
        <f>IF(LicenseData!A182="","",LicenseData!A182)</f>
        <v/>
      </c>
      <c r="B1970">
        <f>IF(LicenseData!A182="","",LicenseData!B182)</f>
        <v/>
      </c>
    </row>
    <row r="1971">
      <c r="A1971">
        <f>IF(LicenseData!A183="","",LicenseData!A183)</f>
        <v/>
      </c>
      <c r="B1971">
        <f>IF(LicenseData!A183="","",LicenseData!B183)</f>
        <v/>
      </c>
    </row>
    <row r="1972">
      <c r="A1972">
        <f>IF(LicenseData!A184="","",LicenseData!A184)</f>
        <v/>
      </c>
      <c r="B1972">
        <f>IF(LicenseData!A184="","",LicenseData!B184)</f>
        <v/>
      </c>
    </row>
    <row r="1973">
      <c r="A1973">
        <f>IF(LicenseData!A185="","",LicenseData!A185)</f>
        <v/>
      </c>
      <c r="B1973">
        <f>IF(LicenseData!A185="","",LicenseData!B185)</f>
        <v/>
      </c>
    </row>
    <row r="1974">
      <c r="A1974">
        <f>IF(LicenseData!A186="","",LicenseData!A186)</f>
        <v/>
      </c>
      <c r="B1974">
        <f>IF(LicenseData!A186="","",LicenseData!B186)</f>
        <v/>
      </c>
    </row>
    <row r="1975">
      <c r="A1975">
        <f>IF(LicenseData!A187="","",LicenseData!A187)</f>
        <v/>
      </c>
      <c r="B1975">
        <f>IF(LicenseData!A187="","",LicenseData!B187)</f>
        <v/>
      </c>
    </row>
    <row r="1976">
      <c r="A1976">
        <f>IF(LicenseData!A188="","",LicenseData!A188)</f>
        <v/>
      </c>
      <c r="B1976">
        <f>IF(LicenseData!A188="","",LicenseData!B188)</f>
        <v/>
      </c>
    </row>
    <row r="1977">
      <c r="A1977">
        <f>IF(LicenseData!A189="","",LicenseData!A189)</f>
        <v/>
      </c>
      <c r="B1977">
        <f>IF(LicenseData!A189="","",LicenseData!B189)</f>
        <v/>
      </c>
    </row>
    <row r="1978">
      <c r="A1978">
        <f>IF(LicenseData!A190="","",LicenseData!A190)</f>
        <v/>
      </c>
      <c r="B1978">
        <f>IF(LicenseData!A190="","",LicenseData!B190)</f>
        <v/>
      </c>
    </row>
    <row r="1979">
      <c r="A1979">
        <f>IF(LicenseData!A191="","",LicenseData!A191)</f>
        <v/>
      </c>
      <c r="B1979">
        <f>IF(LicenseData!A191="","",LicenseData!B191)</f>
        <v/>
      </c>
    </row>
    <row r="1980">
      <c r="A1980">
        <f>IF(LicenseData!A192="","",LicenseData!A192)</f>
        <v/>
      </c>
      <c r="B1980">
        <f>IF(LicenseData!A192="","",LicenseData!B192)</f>
        <v/>
      </c>
    </row>
    <row r="1981">
      <c r="A1981">
        <f>IF(LicenseData!A193="","",LicenseData!A193)</f>
        <v/>
      </c>
      <c r="B1981">
        <f>IF(LicenseData!A193="","",LicenseData!B193)</f>
        <v/>
      </c>
    </row>
    <row r="1982">
      <c r="A1982">
        <f>IF(LicenseData!A194="","",LicenseData!A194)</f>
        <v/>
      </c>
      <c r="B1982">
        <f>IF(LicenseData!A194="","",LicenseData!B194)</f>
        <v/>
      </c>
    </row>
    <row r="1983">
      <c r="A1983">
        <f>IF(LicenseData!A195="","",LicenseData!A195)</f>
        <v/>
      </c>
      <c r="B1983">
        <f>IF(LicenseData!A195="","",LicenseData!B195)</f>
        <v/>
      </c>
    </row>
    <row r="1984">
      <c r="A1984">
        <f>IF(LicenseData!A196="","",LicenseData!A196)</f>
        <v/>
      </c>
      <c r="B1984">
        <f>IF(LicenseData!A196="","",LicenseData!B196)</f>
        <v/>
      </c>
    </row>
    <row r="1985">
      <c r="A1985">
        <f>IF(LicenseData!A197="","",LicenseData!A197)</f>
        <v/>
      </c>
      <c r="B1985">
        <f>IF(LicenseData!A197="","",LicenseData!B197)</f>
        <v/>
      </c>
    </row>
    <row r="1986">
      <c r="A1986">
        <f>IF(LicenseData!A198="","",LicenseData!A198)</f>
        <v/>
      </c>
      <c r="B1986">
        <f>IF(LicenseData!A198="","",LicenseData!B198)</f>
        <v/>
      </c>
    </row>
    <row r="1987">
      <c r="A1987">
        <f>IF(LicenseData!A199="","",LicenseData!A199)</f>
        <v/>
      </c>
      <c r="B1987">
        <f>IF(LicenseData!A199="","",LicenseData!B199)</f>
        <v/>
      </c>
    </row>
    <row r="1988">
      <c r="A1988">
        <f>IF(LicenseData!A200="","",LicenseData!A200)</f>
        <v/>
      </c>
      <c r="B1988">
        <f>IF(LicenseData!A200="","",LicenseData!B200)</f>
        <v/>
      </c>
    </row>
    <row r="1989">
      <c r="A1989">
        <f>IF(LicenseData!A201="","",LicenseData!A201)</f>
        <v/>
      </c>
      <c r="B1989">
        <f>IF(LicenseData!A201="","",LicenseData!B201)</f>
        <v/>
      </c>
    </row>
    <row r="1990">
      <c r="A1990">
        <f>IF(LicenseData!A202="","",LicenseData!A202)</f>
        <v/>
      </c>
      <c r="B1990">
        <f>IF(LicenseData!A202="","",LicenseData!B202)</f>
        <v/>
      </c>
    </row>
    <row r="1991">
      <c r="A1991">
        <f>IF(LicenseData!A203="","",LicenseData!A203)</f>
        <v/>
      </c>
      <c r="B1991">
        <f>IF(LicenseData!A203="","",LicenseData!B203)</f>
        <v/>
      </c>
    </row>
    <row r="1992">
      <c r="A1992">
        <f>IF(LicenseData!A204="","",LicenseData!A204)</f>
        <v/>
      </c>
      <c r="B1992">
        <f>IF(LicenseData!A204="","",LicenseData!B204)</f>
        <v/>
      </c>
    </row>
    <row r="1993">
      <c r="A1993">
        <f>IF(LicenseData!A205="","",LicenseData!A205)</f>
        <v/>
      </c>
      <c r="B1993">
        <f>IF(LicenseData!A205="","",LicenseData!B205)</f>
        <v/>
      </c>
    </row>
    <row r="1994">
      <c r="A1994">
        <f>IF(LicenseData!A206="","",LicenseData!A206)</f>
        <v/>
      </c>
      <c r="B1994">
        <f>IF(LicenseData!A206="","",LicenseData!B206)</f>
        <v/>
      </c>
    </row>
    <row r="1995">
      <c r="A1995">
        <f>IF(LicenseData!A207="","",LicenseData!A207)</f>
        <v/>
      </c>
      <c r="B1995">
        <f>IF(LicenseData!A207="","",LicenseData!B207)</f>
        <v/>
      </c>
    </row>
    <row r="1996">
      <c r="A1996">
        <f>IF(LicenseData!A208="","",LicenseData!A208)</f>
        <v/>
      </c>
      <c r="B1996">
        <f>IF(LicenseData!A208="","",LicenseData!B208)</f>
        <v/>
      </c>
    </row>
    <row r="1997">
      <c r="A1997">
        <f>IF(LicenseData!A209="","",LicenseData!A209)</f>
        <v/>
      </c>
      <c r="B1997">
        <f>IF(LicenseData!A209="","",LicenseData!B209)</f>
        <v/>
      </c>
    </row>
    <row r="1998">
      <c r="A1998">
        <f>IF(LicenseData!A210="","",LicenseData!A210)</f>
        <v/>
      </c>
      <c r="B1998">
        <f>IF(LicenseData!A210="","",LicenseData!B210)</f>
        <v/>
      </c>
    </row>
    <row r="1999">
      <c r="A1999">
        <f>IF(LicenseData!A211="","",LicenseData!A211)</f>
        <v/>
      </c>
      <c r="B1999">
        <f>IF(LicenseData!A211="","",LicenseData!B211)</f>
        <v/>
      </c>
    </row>
    <row r="2000">
      <c r="A2000">
        <f>IF(LicenseData!A212="","",LicenseData!A212)</f>
        <v/>
      </c>
      <c r="B2000">
        <f>IF(LicenseData!A212="","",LicenseData!B212)</f>
        <v/>
      </c>
    </row>
    <row r="2001">
      <c r="A2001">
        <f>IF(LicenseData!A213="","",LicenseData!A213)</f>
        <v/>
      </c>
      <c r="B2001">
        <f>IF(LicenseData!A213="","",LicenseData!B213)</f>
        <v/>
      </c>
    </row>
    <row r="2002">
      <c r="A2002">
        <f>IF(LicenseData!A214="","",LicenseData!A214)</f>
        <v/>
      </c>
      <c r="B2002">
        <f>IF(LicenseData!A214="","",LicenseData!B214)</f>
        <v/>
      </c>
    </row>
    <row r="2003">
      <c r="A2003">
        <f>IF(LicenseData!A215="","",LicenseData!A215)</f>
        <v/>
      </c>
      <c r="B2003">
        <f>IF(LicenseData!A215="","",LicenseData!B215)</f>
        <v/>
      </c>
    </row>
    <row r="2004">
      <c r="A2004">
        <f>IF(LicenseData!A216="","",LicenseData!A216)</f>
        <v/>
      </c>
      <c r="B2004">
        <f>IF(LicenseData!A216="","",LicenseData!B216)</f>
        <v/>
      </c>
    </row>
    <row r="2005">
      <c r="A2005">
        <f>IF(LicenseData!A217="","",LicenseData!A217)</f>
        <v/>
      </c>
      <c r="B2005">
        <f>IF(LicenseData!A217="","",LicenseData!B217)</f>
        <v/>
      </c>
    </row>
    <row r="2006">
      <c r="A2006">
        <f>IF(LicenseData!A218="","",LicenseData!A218)</f>
        <v/>
      </c>
      <c r="B2006">
        <f>IF(LicenseData!A218="","",LicenseData!B218)</f>
        <v/>
      </c>
    </row>
    <row r="2007">
      <c r="A2007">
        <f>IF(LicenseData!A219="","",LicenseData!A219)</f>
        <v/>
      </c>
      <c r="B2007">
        <f>IF(LicenseData!A219="","",LicenseData!B219)</f>
        <v/>
      </c>
    </row>
    <row r="2008">
      <c r="A2008">
        <f>IF(LicenseData!A220="","",LicenseData!A220)</f>
        <v/>
      </c>
      <c r="B2008">
        <f>IF(LicenseData!A220="","",LicenseData!B220)</f>
        <v/>
      </c>
    </row>
    <row r="2009">
      <c r="A2009">
        <f>IF(LicenseData!A221="","",LicenseData!A221)</f>
        <v/>
      </c>
      <c r="B2009">
        <f>IF(LicenseData!A221="","",LicenseData!B221)</f>
        <v/>
      </c>
    </row>
    <row r="2010">
      <c r="A2010">
        <f>IF(LicenseData!A222="","",LicenseData!A222)</f>
        <v/>
      </c>
      <c r="B2010">
        <f>IF(LicenseData!A222="","",LicenseData!B222)</f>
        <v/>
      </c>
    </row>
    <row r="2011">
      <c r="A2011">
        <f>IF(LicenseData!A223="","",LicenseData!A223)</f>
        <v/>
      </c>
      <c r="B2011">
        <f>IF(LicenseData!A223="","",LicenseData!B223)</f>
        <v/>
      </c>
    </row>
    <row r="2012">
      <c r="A2012">
        <f>IF(LicenseData!A224="","",LicenseData!A224)</f>
        <v/>
      </c>
      <c r="B2012">
        <f>IF(LicenseData!A224="","",LicenseData!B224)</f>
        <v/>
      </c>
    </row>
    <row r="2013">
      <c r="A2013">
        <f>IF(LicenseData!A225="","",LicenseData!A225)</f>
        <v/>
      </c>
      <c r="B2013">
        <f>IF(LicenseData!A225="","",LicenseData!B225)</f>
        <v/>
      </c>
    </row>
    <row r="2014">
      <c r="A2014">
        <f>IF(LicenseData!A226="","",LicenseData!A226)</f>
        <v/>
      </c>
      <c r="B2014">
        <f>IF(LicenseData!A226="","",LicenseData!B226)</f>
        <v/>
      </c>
    </row>
    <row r="2015">
      <c r="A2015">
        <f>IF(LicenseData!A227="","",LicenseData!A227)</f>
        <v/>
      </c>
      <c r="B2015">
        <f>IF(LicenseData!A227="","",LicenseData!B227)</f>
        <v/>
      </c>
    </row>
    <row r="2016">
      <c r="A2016">
        <f>IF(LicenseData!A228="","",LicenseData!A228)</f>
        <v/>
      </c>
      <c r="B2016">
        <f>IF(LicenseData!A228="","",LicenseData!B228)</f>
        <v/>
      </c>
    </row>
    <row r="2017">
      <c r="A2017">
        <f>IF(LicenseData!A229="","",LicenseData!A229)</f>
        <v/>
      </c>
      <c r="B2017">
        <f>IF(LicenseData!A229="","",LicenseData!B229)</f>
        <v/>
      </c>
    </row>
    <row r="2018">
      <c r="A2018">
        <f>IF(LicenseData!A230="","",LicenseData!A230)</f>
        <v/>
      </c>
      <c r="B2018">
        <f>IF(LicenseData!A230="","",LicenseData!B230)</f>
        <v/>
      </c>
    </row>
    <row r="2019">
      <c r="A2019">
        <f>IF(LicenseData!A231="","",LicenseData!A231)</f>
        <v/>
      </c>
      <c r="B2019">
        <f>IF(LicenseData!A231="","",LicenseData!B231)</f>
        <v/>
      </c>
    </row>
    <row r="2020">
      <c r="A2020">
        <f>IF(LicenseData!A232="","",LicenseData!A232)</f>
        <v/>
      </c>
      <c r="B2020">
        <f>IF(LicenseData!A232="","",LicenseData!B232)</f>
        <v/>
      </c>
    </row>
    <row r="2021">
      <c r="A2021">
        <f>IF(LicenseData!A233="","",LicenseData!A233)</f>
        <v/>
      </c>
      <c r="B2021">
        <f>IF(LicenseData!A233="","",LicenseData!B233)</f>
        <v/>
      </c>
    </row>
    <row r="2022">
      <c r="A2022">
        <f>IF(LicenseData!A234="","",LicenseData!A234)</f>
        <v/>
      </c>
      <c r="B2022">
        <f>IF(LicenseData!A234="","",LicenseData!B234)</f>
        <v/>
      </c>
    </row>
    <row r="2023">
      <c r="A2023">
        <f>IF(LicenseData!A235="","",LicenseData!A235)</f>
        <v/>
      </c>
      <c r="B2023">
        <f>IF(LicenseData!A235="","",LicenseData!B235)</f>
        <v/>
      </c>
    </row>
    <row r="2024">
      <c r="A2024">
        <f>IF(LicenseData!A236="","",LicenseData!A236)</f>
        <v/>
      </c>
      <c r="B2024">
        <f>IF(LicenseData!A236="","",LicenseData!B236)</f>
        <v/>
      </c>
    </row>
    <row r="2025">
      <c r="A2025">
        <f>IF(LicenseData!A237="","",LicenseData!A237)</f>
        <v/>
      </c>
      <c r="B2025">
        <f>IF(LicenseData!A237="","",LicenseData!B237)</f>
        <v/>
      </c>
    </row>
    <row r="2026">
      <c r="A2026">
        <f>IF(LicenseData!A238="","",LicenseData!A238)</f>
        <v/>
      </c>
      <c r="B2026">
        <f>IF(LicenseData!A238="","",LicenseData!B238)</f>
        <v/>
      </c>
    </row>
    <row r="2027">
      <c r="A2027">
        <f>IF(LicenseData!A239="","",LicenseData!A239)</f>
        <v/>
      </c>
      <c r="B2027">
        <f>IF(LicenseData!A239="","",LicenseData!B239)</f>
        <v/>
      </c>
    </row>
    <row r="2028">
      <c r="A2028">
        <f>IF(LicenseData!A240="","",LicenseData!A240)</f>
        <v/>
      </c>
      <c r="B2028">
        <f>IF(LicenseData!A240="","",LicenseData!B240)</f>
        <v/>
      </c>
    </row>
    <row r="2029">
      <c r="A2029">
        <f>IF(LicenseData!A241="","",LicenseData!A241)</f>
        <v/>
      </c>
      <c r="B2029">
        <f>IF(LicenseData!A241="","",LicenseData!B241)</f>
        <v/>
      </c>
    </row>
    <row r="2030">
      <c r="A2030">
        <f>IF(LicenseData!A242="","",LicenseData!A242)</f>
        <v/>
      </c>
      <c r="B2030">
        <f>IF(LicenseData!A242="","",LicenseData!B242)</f>
        <v/>
      </c>
    </row>
    <row r="2031">
      <c r="A2031">
        <f>IF(LicenseData!A243="","",LicenseData!A243)</f>
        <v/>
      </c>
      <c r="B2031">
        <f>IF(LicenseData!A243="","",LicenseData!B243)</f>
        <v/>
      </c>
    </row>
    <row r="2032">
      <c r="A2032">
        <f>IF(LicenseData!A244="","",LicenseData!A244)</f>
        <v/>
      </c>
      <c r="B2032">
        <f>IF(LicenseData!A244="","",LicenseData!B244)</f>
        <v/>
      </c>
    </row>
    <row r="2033">
      <c r="A2033">
        <f>IF(LicenseData!A245="","",LicenseData!A245)</f>
        <v/>
      </c>
      <c r="B2033">
        <f>IF(LicenseData!A245="","",LicenseData!B245)</f>
        <v/>
      </c>
    </row>
    <row r="2034">
      <c r="A2034">
        <f>IF(LicenseData!A246="","",LicenseData!A246)</f>
        <v/>
      </c>
      <c r="B2034">
        <f>IF(LicenseData!A246="","",LicenseData!B246)</f>
        <v/>
      </c>
    </row>
    <row r="2035">
      <c r="A2035">
        <f>IF(LicenseData!A247="","",LicenseData!A247)</f>
        <v/>
      </c>
      <c r="B2035">
        <f>IF(LicenseData!A247="","",LicenseData!B247)</f>
        <v/>
      </c>
    </row>
    <row r="2036">
      <c r="A2036">
        <f>IF(LicenseData!A248="","",LicenseData!A248)</f>
        <v/>
      </c>
      <c r="B2036">
        <f>IF(LicenseData!A248="","",LicenseData!B248)</f>
        <v/>
      </c>
    </row>
    <row r="2037">
      <c r="A2037">
        <f>IF(LicenseData!A249="","",LicenseData!A249)</f>
        <v/>
      </c>
      <c r="B2037">
        <f>IF(LicenseData!A249="","",LicenseData!B249)</f>
        <v/>
      </c>
    </row>
    <row r="2038">
      <c r="A2038">
        <f>IF(LicenseData!A250="","",LicenseData!A250)</f>
        <v/>
      </c>
      <c r="B2038">
        <f>IF(LicenseData!A250="","",LicenseData!B250)</f>
        <v/>
      </c>
    </row>
    <row r="2039">
      <c r="A2039">
        <f>IF(LicenseData!A251="","",LicenseData!A251)</f>
        <v/>
      </c>
      <c r="B2039">
        <f>IF(LicenseData!A251="","",LicenseData!B251)</f>
        <v/>
      </c>
    </row>
    <row r="2040">
      <c r="A2040">
        <f>IF(LicenseData!A252="","",LicenseData!A252)</f>
        <v/>
      </c>
      <c r="B2040">
        <f>IF(LicenseData!A252="","",LicenseData!B252)</f>
        <v/>
      </c>
    </row>
    <row r="2041">
      <c r="A2041">
        <f>IF(LicenseData!A253="","",LicenseData!A253)</f>
        <v/>
      </c>
      <c r="B2041">
        <f>IF(LicenseData!A253="","",LicenseData!B253)</f>
        <v/>
      </c>
    </row>
    <row r="2042">
      <c r="A2042">
        <f>IF(LicenseData!A254="","",LicenseData!A254)</f>
        <v/>
      </c>
      <c r="B2042">
        <f>IF(LicenseData!A254="","",LicenseData!B254)</f>
        <v/>
      </c>
    </row>
    <row r="2043">
      <c r="A2043">
        <f>IF(LicenseData!A255="","",LicenseData!A255)</f>
        <v/>
      </c>
      <c r="B2043">
        <f>IF(LicenseData!A255="","",LicenseData!B255)</f>
        <v/>
      </c>
    </row>
    <row r="2044">
      <c r="A2044">
        <f>IF(LicenseData!A256="","",LicenseData!A256)</f>
        <v/>
      </c>
      <c r="B2044">
        <f>IF(LicenseData!A256="","",LicenseData!B256)</f>
        <v/>
      </c>
    </row>
    <row r="2045">
      <c r="A2045">
        <f>IF(LicenseData!A257="","",LicenseData!A257)</f>
        <v/>
      </c>
      <c r="B2045">
        <f>IF(LicenseData!A257="","",LicenseData!B257)</f>
        <v/>
      </c>
    </row>
    <row r="2046">
      <c r="A2046">
        <f>IF(LicenseData!A258="","",LicenseData!A258)</f>
        <v/>
      </c>
      <c r="B2046">
        <f>IF(LicenseData!A258="","",LicenseData!B258)</f>
        <v/>
      </c>
    </row>
    <row r="2047">
      <c r="A2047">
        <f>IF(LicenseData!A259="","",LicenseData!A259)</f>
        <v/>
      </c>
      <c r="B2047">
        <f>IF(LicenseData!A259="","",LicenseData!B259)</f>
        <v/>
      </c>
    </row>
    <row r="2048">
      <c r="A2048">
        <f>IF(LicenseData!A260="","",LicenseData!A260)</f>
        <v/>
      </c>
      <c r="B2048">
        <f>IF(LicenseData!A260="","",LicenseData!B260)</f>
        <v/>
      </c>
    </row>
    <row r="2049">
      <c r="A2049">
        <f>IF(LicenseData!A261="","",LicenseData!A261)</f>
        <v/>
      </c>
      <c r="B2049">
        <f>IF(LicenseData!A261="","",LicenseData!B261)</f>
        <v/>
      </c>
    </row>
    <row r="2050">
      <c r="A2050">
        <f>IF(LicenseData!A262="","",LicenseData!A262)</f>
        <v/>
      </c>
      <c r="B2050">
        <f>IF(LicenseData!A262="","",LicenseData!B262)</f>
        <v/>
      </c>
    </row>
    <row r="2051">
      <c r="A2051">
        <f>IF(LicenseData!A263="","",LicenseData!A263)</f>
        <v/>
      </c>
      <c r="B2051">
        <f>IF(LicenseData!A263="","",LicenseData!B263)</f>
        <v/>
      </c>
    </row>
    <row r="2052">
      <c r="A2052">
        <f>IF(LicenseData!A264="","",LicenseData!A264)</f>
        <v/>
      </c>
      <c r="B2052">
        <f>IF(LicenseData!A264="","",LicenseData!B264)</f>
        <v/>
      </c>
    </row>
    <row r="2053">
      <c r="A2053">
        <f>IF(LicenseData!A265="","",LicenseData!A265)</f>
        <v/>
      </c>
      <c r="B2053">
        <f>IF(LicenseData!A265="","",LicenseData!B265)</f>
        <v/>
      </c>
    </row>
    <row r="2054">
      <c r="A2054">
        <f>IF(LicenseData!A266="","",LicenseData!A266)</f>
        <v/>
      </c>
      <c r="B2054">
        <f>IF(LicenseData!A266="","",LicenseData!B266)</f>
        <v/>
      </c>
    </row>
    <row r="2055">
      <c r="A2055">
        <f>IF(LicenseData!A267="","",LicenseData!A267)</f>
        <v/>
      </c>
      <c r="B2055">
        <f>IF(LicenseData!A267="","",LicenseData!B267)</f>
        <v/>
      </c>
    </row>
    <row r="2056">
      <c r="A2056">
        <f>IF(LicenseData!A268="","",LicenseData!A268)</f>
        <v/>
      </c>
      <c r="B2056">
        <f>IF(LicenseData!A268="","",LicenseData!B268)</f>
        <v/>
      </c>
    </row>
    <row r="2057">
      <c r="A2057">
        <f>IF(LicenseData!A269="","",LicenseData!A269)</f>
        <v/>
      </c>
      <c r="B2057">
        <f>IF(LicenseData!A269="","",LicenseData!B269)</f>
        <v/>
      </c>
    </row>
    <row r="2058">
      <c r="A2058">
        <f>IF(LicenseData!A270="","",LicenseData!A270)</f>
        <v/>
      </c>
      <c r="B2058">
        <f>IF(LicenseData!A270="","",LicenseData!B270)</f>
        <v/>
      </c>
    </row>
    <row r="2059">
      <c r="A2059">
        <f>IF(LicenseData!A271="","",LicenseData!A271)</f>
        <v/>
      </c>
      <c r="B2059">
        <f>IF(LicenseData!A271="","",LicenseData!B271)</f>
        <v/>
      </c>
    </row>
    <row r="2060">
      <c r="A2060">
        <f>IF(LicenseData!A272="","",LicenseData!A272)</f>
        <v/>
      </c>
      <c r="B2060">
        <f>IF(LicenseData!A272="","",LicenseData!B272)</f>
        <v/>
      </c>
    </row>
    <row r="2061">
      <c r="A2061">
        <f>IF(LicenseData!A273="","",LicenseData!A273)</f>
        <v/>
      </c>
      <c r="B2061">
        <f>IF(LicenseData!A273="","",LicenseData!B273)</f>
        <v/>
      </c>
    </row>
    <row r="2062">
      <c r="A2062">
        <f>IF(LicenseData!A274="","",LicenseData!A274)</f>
        <v/>
      </c>
      <c r="B2062">
        <f>IF(LicenseData!A274="","",LicenseData!B274)</f>
        <v/>
      </c>
    </row>
    <row r="2063">
      <c r="A2063">
        <f>IF(LicenseData!A275="","",LicenseData!A275)</f>
        <v/>
      </c>
      <c r="B2063">
        <f>IF(LicenseData!A275="","",LicenseData!B275)</f>
        <v/>
      </c>
    </row>
    <row r="2064">
      <c r="A2064">
        <f>IF(LicenseData!A276="","",LicenseData!A276)</f>
        <v/>
      </c>
      <c r="B2064">
        <f>IF(LicenseData!A276="","",LicenseData!B276)</f>
        <v/>
      </c>
    </row>
    <row r="2065">
      <c r="A2065">
        <f>IF(LicenseData!A277="","",LicenseData!A277)</f>
        <v/>
      </c>
      <c r="B2065">
        <f>IF(LicenseData!A277="","",LicenseData!B277)</f>
        <v/>
      </c>
    </row>
    <row r="2066">
      <c r="A2066">
        <f>IF(LicenseData!A278="","",LicenseData!A278)</f>
        <v/>
      </c>
      <c r="B2066">
        <f>IF(LicenseData!A278="","",LicenseData!B278)</f>
        <v/>
      </c>
    </row>
    <row r="2067">
      <c r="A2067">
        <f>IF(LicenseData!A279="","",LicenseData!A279)</f>
        <v/>
      </c>
      <c r="B2067">
        <f>IF(LicenseData!A279="","",LicenseData!B279)</f>
        <v/>
      </c>
    </row>
    <row r="2068">
      <c r="A2068">
        <f>IF(LicenseData!A280="","",LicenseData!A280)</f>
        <v/>
      </c>
      <c r="B2068">
        <f>IF(LicenseData!A280="","",LicenseData!B280)</f>
        <v/>
      </c>
    </row>
    <row r="2069">
      <c r="A2069">
        <f>IF(LicenseData!A281="","",LicenseData!A281)</f>
        <v/>
      </c>
      <c r="B2069">
        <f>IF(LicenseData!A281="","",LicenseData!B281)</f>
        <v/>
      </c>
    </row>
    <row r="2070">
      <c r="A2070">
        <f>IF(LicenseData!A282="","",LicenseData!A282)</f>
        <v/>
      </c>
      <c r="B2070">
        <f>IF(LicenseData!A282="","",LicenseData!B282)</f>
        <v/>
      </c>
    </row>
    <row r="2071">
      <c r="A2071">
        <f>IF(LicenseData!A283="","",LicenseData!A283)</f>
        <v/>
      </c>
      <c r="B2071">
        <f>IF(LicenseData!A283="","",LicenseData!B283)</f>
        <v/>
      </c>
    </row>
    <row r="2072">
      <c r="A2072">
        <f>IF(LicenseData!A284="","",LicenseData!A284)</f>
        <v/>
      </c>
      <c r="B2072">
        <f>IF(LicenseData!A284="","",LicenseData!B284)</f>
        <v/>
      </c>
    </row>
    <row r="2073">
      <c r="A2073">
        <f>IF(LicenseData!A285="","",LicenseData!A285)</f>
        <v/>
      </c>
      <c r="B2073">
        <f>IF(LicenseData!A285="","",LicenseData!B285)</f>
        <v/>
      </c>
    </row>
    <row r="2074">
      <c r="A2074">
        <f>IF(LicenseData!A286="","",LicenseData!A286)</f>
        <v/>
      </c>
      <c r="B2074">
        <f>IF(LicenseData!A286="","",LicenseData!B286)</f>
        <v/>
      </c>
    </row>
    <row r="2075">
      <c r="A2075">
        <f>IF(LicenseData!A287="","",LicenseData!A287)</f>
        <v/>
      </c>
      <c r="B2075">
        <f>IF(LicenseData!A287="","",LicenseData!B287)</f>
        <v/>
      </c>
    </row>
    <row r="2076">
      <c r="A2076">
        <f>IF(LicenseData!A288="","",LicenseData!A288)</f>
        <v/>
      </c>
      <c r="B2076">
        <f>IF(LicenseData!A288="","",LicenseData!B288)</f>
        <v/>
      </c>
    </row>
    <row r="2077">
      <c r="A2077">
        <f>IF(LicenseData!A289="","",LicenseData!A289)</f>
        <v/>
      </c>
      <c r="B2077">
        <f>IF(LicenseData!A289="","",LicenseData!B289)</f>
        <v/>
      </c>
    </row>
    <row r="2078">
      <c r="A2078">
        <f>IF(LicenseData!A290="","",LicenseData!A290)</f>
        <v/>
      </c>
      <c r="B2078">
        <f>IF(LicenseData!A290="","",LicenseData!B290)</f>
        <v/>
      </c>
    </row>
    <row r="2079">
      <c r="A2079">
        <f>IF(LicenseData!A291="","",LicenseData!A291)</f>
        <v/>
      </c>
      <c r="B2079">
        <f>IF(LicenseData!A291="","",LicenseData!B291)</f>
        <v/>
      </c>
    </row>
    <row r="2080">
      <c r="A2080">
        <f>IF(LicenseData!A292="","",LicenseData!A292)</f>
        <v/>
      </c>
      <c r="B2080">
        <f>IF(LicenseData!A292="","",LicenseData!B292)</f>
        <v/>
      </c>
    </row>
    <row r="2081">
      <c r="A2081">
        <f>IF(LicenseData!A293="","",LicenseData!A293)</f>
        <v/>
      </c>
      <c r="B2081">
        <f>IF(LicenseData!A293="","",LicenseData!B293)</f>
        <v/>
      </c>
    </row>
    <row r="2082">
      <c r="A2082">
        <f>IF(LicenseData!A294="","",LicenseData!A294)</f>
        <v/>
      </c>
      <c r="B2082">
        <f>IF(LicenseData!A294="","",LicenseData!B294)</f>
        <v/>
      </c>
    </row>
    <row r="2083">
      <c r="A2083">
        <f>IF(LicenseData!A295="","",LicenseData!A295)</f>
        <v/>
      </c>
      <c r="B2083">
        <f>IF(LicenseData!A295="","",LicenseData!B295)</f>
        <v/>
      </c>
    </row>
    <row r="2084">
      <c r="A2084">
        <f>IF(LicenseData!A296="","",LicenseData!A296)</f>
        <v/>
      </c>
      <c r="B2084">
        <f>IF(LicenseData!A296="","",LicenseData!B296)</f>
        <v/>
      </c>
    </row>
    <row r="2085">
      <c r="A2085">
        <f>IF(LicenseData!A297="","",LicenseData!A297)</f>
        <v/>
      </c>
      <c r="B2085">
        <f>IF(LicenseData!A297="","",LicenseData!B297)</f>
        <v/>
      </c>
    </row>
    <row r="2086">
      <c r="A2086">
        <f>IF(LicenseData!A298="","",LicenseData!A298)</f>
        <v/>
      </c>
      <c r="B2086">
        <f>IF(LicenseData!A298="","",LicenseData!B298)</f>
        <v/>
      </c>
    </row>
    <row r="2087">
      <c r="A2087">
        <f>IF(LicenseData!A299="","",LicenseData!A299)</f>
        <v/>
      </c>
      <c r="B2087">
        <f>IF(LicenseData!A299="","",LicenseData!B299)</f>
        <v/>
      </c>
    </row>
    <row r="2088">
      <c r="A2088">
        <f>IF(LicenseData!A300="","",LicenseData!A300)</f>
        <v/>
      </c>
      <c r="B2088">
        <f>IF(LicenseData!A300="","",LicenseData!B300)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2026-07-04T11:00:03Z</dcterms:created>
  <dcterms:modified xsi:type="dcterms:W3CDTF">2026-07-06T02:17:48Z</dcterms:modified>
</cp:coreProperties>
</file>